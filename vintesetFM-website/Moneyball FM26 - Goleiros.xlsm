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/>
  <bookViews>
    <workbookView xWindow="-120" yWindow="-120" windowWidth="29040" windowHeight="15720" tabRatio="615"/>
  </bookViews>
  <sheets>
    <sheet name="🧤Goleiros" sheetId="17" r:id="rId1"/>
    <sheet name="🧱Zagueiros" sheetId="16" r:id="rId2"/>
    <sheet name="🛡️Laterais" sheetId="6" r:id="rId3"/>
    <sheet name="🛡️Volantes" sheetId="11" r:id="rId4"/>
    <sheet name="⚙️Box-To-Box" sheetId="14" r:id="rId5"/>
    <sheet name="⚙️Armadores" sheetId="2" r:id="rId6"/>
    <sheet name="🎯Avançados" sheetId="10" r:id="rId7"/>
    <sheet name="📊Time Estatísticas" sheetId="18" r:id="rId8"/>
    <sheet name="💪Placar de Esforço" sheetId="19" r:id="rId9"/>
    <sheet name="🌎Overall Análise" sheetId="15" r:id="rId10"/>
  </sheets>
  <definedNames>
    <definedName name="_xlnm._FilterDatabase" localSheetId="5" hidden="1">'⚙️Armadores'!$B$1:$EU$871</definedName>
    <definedName name="_xlnm._FilterDatabase" localSheetId="4" hidden="1">'⚙️Box-To-Box'!$B$1:$FC$939</definedName>
    <definedName name="_xlnm._FilterDatabase" localSheetId="9" hidden="1">'🌎Overall Análise'!$B$1:$GH$1</definedName>
    <definedName name="_xlnm._FilterDatabase" localSheetId="6" hidden="1">'🎯Avançados'!$B$1:$GH$1</definedName>
    <definedName name="_xlnm._FilterDatabase" localSheetId="8" hidden="1">'💪Placar de Esforço'!$C$1:$AS$1</definedName>
    <definedName name="_xlnm._FilterDatabase" localSheetId="7" hidden="1">'📊Time Estatísticas'!$E$1:$CU$28</definedName>
    <definedName name="_xlnm._FilterDatabase" localSheetId="2" hidden="1">'🛡️Laterais'!$B$1:$FD$11</definedName>
    <definedName name="_xlnm._FilterDatabase" localSheetId="3" hidden="1">'🛡️Volantes'!$B$1:$EU$724</definedName>
    <definedName name="_xlnm._FilterDatabase" localSheetId="0" hidden="1">'🧤Goleiros'!$E$1:$DV$1</definedName>
    <definedName name="_xlnm._FilterDatabase" localSheetId="1" hidden="1">'🧱Zagueiros'!$B$1:$FT$1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17" l="1"/>
  <c r="B12" i="17"/>
  <c r="C12" i="17"/>
  <c r="D12" i="17"/>
  <c r="E12" i="17"/>
  <c r="F12" i="17"/>
  <c r="G12" i="17"/>
  <c r="H12" i="17"/>
  <c r="I12" i="17"/>
  <c r="J12" i="17"/>
  <c r="L12" i="17"/>
  <c r="M12" i="17"/>
  <c r="O12" i="17" s="1"/>
  <c r="N12" i="17"/>
  <c r="P12" i="17"/>
  <c r="Q12" i="17"/>
  <c r="W12" i="17"/>
  <c r="X12" i="17" s="1"/>
  <c r="Y12" i="17"/>
  <c r="AA12" i="17" s="1"/>
  <c r="Z12" i="17"/>
  <c r="AB12" i="17"/>
  <c r="AC12" i="17" s="1"/>
  <c r="AD12" i="17"/>
  <c r="AE12" i="17"/>
  <c r="AF12" i="17"/>
  <c r="AG12" i="17"/>
  <c r="AH12" i="17"/>
  <c r="AI12" i="17"/>
  <c r="AJ12" i="17"/>
  <c r="AL12" i="17"/>
  <c r="AN12" i="17"/>
  <c r="AM12" i="17" s="1"/>
  <c r="AO12" i="17"/>
  <c r="AP12" i="17"/>
  <c r="AQ12" i="17"/>
  <c r="AR12" i="17"/>
  <c r="AX12" i="17"/>
  <c r="AY12" i="17"/>
  <c r="AZ12" i="17"/>
  <c r="BA12" i="17"/>
  <c r="BG12" i="17"/>
  <c r="BH12" i="17" s="1"/>
  <c r="BI12" i="17"/>
  <c r="BJ12" i="17"/>
  <c r="BK12" i="17"/>
  <c r="BL12" i="17"/>
  <c r="BM12" i="17"/>
  <c r="BN12" i="17" s="1"/>
  <c r="BO12" i="17"/>
  <c r="BP12" i="17"/>
  <c r="BR12" i="17"/>
  <c r="BQ12" i="17" s="1"/>
  <c r="BS12" i="17"/>
  <c r="BT12" i="17"/>
  <c r="BU12" i="17"/>
  <c r="BV12" i="17"/>
  <c r="BW12" i="17"/>
  <c r="BX12" i="17"/>
  <c r="BY12" i="17"/>
  <c r="BZ12" i="17" s="1"/>
  <c r="CA12" i="17"/>
  <c r="CB12" i="17"/>
  <c r="CC12" i="17"/>
  <c r="CD12" i="17"/>
  <c r="CE12" i="17"/>
  <c r="CF12" i="17"/>
  <c r="CG12" i="17"/>
  <c r="CH12" i="17"/>
  <c r="CI12" i="17" s="1"/>
  <c r="CK12" i="17"/>
  <c r="A13" i="17"/>
  <c r="B13" i="17"/>
  <c r="C13" i="17"/>
  <c r="D13" i="17"/>
  <c r="E13" i="17"/>
  <c r="F13" i="17"/>
  <c r="G13" i="17"/>
  <c r="H13" i="17"/>
  <c r="I13" i="17"/>
  <c r="J13" i="17"/>
  <c r="L13" i="17"/>
  <c r="AS13" i="17" s="1"/>
  <c r="M13" i="17"/>
  <c r="N13" i="17"/>
  <c r="P13" i="17"/>
  <c r="Q13" i="17"/>
  <c r="W13" i="17"/>
  <c r="X13" i="17" s="1"/>
  <c r="Y13" i="17"/>
  <c r="AA13" i="17"/>
  <c r="AB13" i="17"/>
  <c r="AD13" i="17"/>
  <c r="AG13" i="17"/>
  <c r="AI13" i="17"/>
  <c r="AJ13" i="17"/>
  <c r="AM13" i="17"/>
  <c r="AN13" i="17"/>
  <c r="AP13" i="17"/>
  <c r="AR13" i="17"/>
  <c r="AU13" i="17"/>
  <c r="AX13" i="17"/>
  <c r="AY13" i="17"/>
  <c r="AZ13" i="17"/>
  <c r="BA13" i="17"/>
  <c r="BB13" i="17" s="1"/>
  <c r="BG13" i="17"/>
  <c r="BH13" i="17" s="1"/>
  <c r="BI13" i="17"/>
  <c r="BK13" i="17"/>
  <c r="BL13" i="17"/>
  <c r="BM13" i="17"/>
  <c r="BO13" i="17"/>
  <c r="BR13" i="17"/>
  <c r="BT13" i="17"/>
  <c r="BU13" i="17"/>
  <c r="BW13" i="17"/>
  <c r="BY13" i="17"/>
  <c r="BZ13" i="17"/>
  <c r="CB13" i="17"/>
  <c r="CD13" i="17" s="1"/>
  <c r="CC13" i="17"/>
  <c r="CE13" i="17"/>
  <c r="CF13" i="17"/>
  <c r="CG13" i="17"/>
  <c r="CH13" i="17"/>
  <c r="CI13" i="17"/>
  <c r="CK13" i="17"/>
  <c r="A14" i="17"/>
  <c r="B14" i="17"/>
  <c r="C14" i="17"/>
  <c r="D14" i="17"/>
  <c r="E14" i="17"/>
  <c r="F14" i="17"/>
  <c r="G14" i="17"/>
  <c r="H14" i="17"/>
  <c r="I14" i="17"/>
  <c r="J14" i="17"/>
  <c r="L14" i="17"/>
  <c r="M14" i="17"/>
  <c r="P14" i="17"/>
  <c r="U14" i="17" s="1"/>
  <c r="Q14" i="17"/>
  <c r="S14" i="17"/>
  <c r="T14" i="17" s="1"/>
  <c r="V14" i="17"/>
  <c r="W14" i="17"/>
  <c r="X14" i="17"/>
  <c r="Y14" i="17"/>
  <c r="AB14" i="17"/>
  <c r="AD14" i="17"/>
  <c r="AG14" i="17"/>
  <c r="AH14" i="17"/>
  <c r="AJ14" i="17"/>
  <c r="AN14" i="17"/>
  <c r="AP14" i="17"/>
  <c r="AR14" i="17"/>
  <c r="AX14" i="17"/>
  <c r="AY14" i="17"/>
  <c r="AZ14" i="17"/>
  <c r="BA14" i="17"/>
  <c r="BC14" i="17"/>
  <c r="BD14" i="17" s="1"/>
  <c r="BF14" i="17"/>
  <c r="BG14" i="17"/>
  <c r="BH14" i="17"/>
  <c r="BI14" i="17"/>
  <c r="BK14" i="17"/>
  <c r="BL14" i="17"/>
  <c r="BM14" i="17"/>
  <c r="BO14" i="17"/>
  <c r="BP14" i="17" s="1"/>
  <c r="BR14" i="17"/>
  <c r="BT14" i="17"/>
  <c r="BU14" i="17"/>
  <c r="BW14" i="17"/>
  <c r="BY14" i="17"/>
  <c r="CB14" i="17"/>
  <c r="CC14" i="17"/>
  <c r="CD14" i="17"/>
  <c r="CE14" i="17"/>
  <c r="CF14" i="17"/>
  <c r="CG14" i="17"/>
  <c r="CI14" i="17" s="1"/>
  <c r="CH14" i="17"/>
  <c r="CK14" i="17"/>
  <c r="A15" i="17"/>
  <c r="B15" i="17"/>
  <c r="C15" i="17"/>
  <c r="D15" i="17"/>
  <c r="E15" i="17"/>
  <c r="F15" i="17"/>
  <c r="G15" i="17"/>
  <c r="H15" i="17"/>
  <c r="I15" i="17"/>
  <c r="J15" i="17"/>
  <c r="L15" i="17"/>
  <c r="M15" i="17"/>
  <c r="P15" i="17"/>
  <c r="Q15" i="17"/>
  <c r="S15" i="17"/>
  <c r="W15" i="17"/>
  <c r="X15" i="17" s="1"/>
  <c r="Y15" i="17"/>
  <c r="Z15" i="17"/>
  <c r="AB15" i="17"/>
  <c r="AC15" i="17"/>
  <c r="AD15" i="17"/>
  <c r="AE15" i="17"/>
  <c r="AF15" i="17"/>
  <c r="AG15" i="17"/>
  <c r="AH15" i="17"/>
  <c r="AI15" i="17"/>
  <c r="AJ15" i="17"/>
  <c r="AL15" i="17"/>
  <c r="AN15" i="17"/>
  <c r="AM15" i="17" s="1"/>
  <c r="AO15" i="17"/>
  <c r="AP15" i="17"/>
  <c r="AQ15" i="17"/>
  <c r="AR15" i="17"/>
  <c r="AX15" i="17"/>
  <c r="AY15" i="17"/>
  <c r="AZ15" i="17"/>
  <c r="BA15" i="17"/>
  <c r="BG15" i="17"/>
  <c r="BH15" i="17" s="1"/>
  <c r="BI15" i="17"/>
  <c r="BK15" i="17"/>
  <c r="BL15" i="17"/>
  <c r="BM15" i="17"/>
  <c r="BN15" i="17" s="1"/>
  <c r="BO15" i="17"/>
  <c r="BP15" i="17" s="1"/>
  <c r="BR15" i="17"/>
  <c r="BQ15" i="17" s="1"/>
  <c r="BS15" i="17"/>
  <c r="BT15" i="17"/>
  <c r="BU15" i="17"/>
  <c r="CA15" i="17" s="1"/>
  <c r="BV15" i="17"/>
  <c r="BW15" i="17"/>
  <c r="BX15" i="17"/>
  <c r="BY15" i="17"/>
  <c r="BZ15" i="17" s="1"/>
  <c r="CB15" i="17"/>
  <c r="CC15" i="17"/>
  <c r="CD15" i="17"/>
  <c r="CE15" i="17"/>
  <c r="CF15" i="17"/>
  <c r="CG15" i="17"/>
  <c r="CH15" i="17"/>
  <c r="CI15" i="17" s="1"/>
  <c r="CK15" i="17"/>
  <c r="A16" i="17"/>
  <c r="B16" i="17"/>
  <c r="C16" i="17"/>
  <c r="D16" i="17"/>
  <c r="E16" i="17"/>
  <c r="F16" i="17"/>
  <c r="G16" i="17"/>
  <c r="H16" i="17"/>
  <c r="I16" i="17"/>
  <c r="J16" i="17"/>
  <c r="L16" i="17"/>
  <c r="M16" i="17"/>
  <c r="N16" i="17"/>
  <c r="P16" i="17"/>
  <c r="Q16" i="17"/>
  <c r="R16" i="17" s="1"/>
  <c r="W16" i="17"/>
  <c r="Y16" i="17"/>
  <c r="AA16" i="17"/>
  <c r="AB16" i="17"/>
  <c r="AD16" i="17"/>
  <c r="AF16" i="17"/>
  <c r="AG16" i="17"/>
  <c r="AJ16" i="17"/>
  <c r="AN16" i="17"/>
  <c r="AO16" i="17"/>
  <c r="AP16" i="17"/>
  <c r="AR16" i="17"/>
  <c r="AX16" i="17"/>
  <c r="AY16" i="17"/>
  <c r="AZ16" i="17"/>
  <c r="BA16" i="17"/>
  <c r="BG16" i="17"/>
  <c r="BH16" i="17"/>
  <c r="BI16" i="17"/>
  <c r="BK16" i="17"/>
  <c r="BL16" i="17"/>
  <c r="BM16" i="17"/>
  <c r="BO16" i="17"/>
  <c r="BQ16" i="17"/>
  <c r="BR16" i="17"/>
  <c r="BT16" i="17"/>
  <c r="BU16" i="17"/>
  <c r="BW16" i="17"/>
  <c r="BY16" i="17"/>
  <c r="BZ16" i="17" s="1"/>
  <c r="CB16" i="17"/>
  <c r="CD16" i="17" s="1"/>
  <c r="CC16" i="17"/>
  <c r="CE16" i="17"/>
  <c r="CF16" i="17"/>
  <c r="CG16" i="17"/>
  <c r="CH16" i="17"/>
  <c r="CI16" i="17"/>
  <c r="CK16" i="17"/>
  <c r="A17" i="17"/>
  <c r="B17" i="17"/>
  <c r="C17" i="17"/>
  <c r="D17" i="17"/>
  <c r="E17" i="17"/>
  <c r="F17" i="17"/>
  <c r="G17" i="17"/>
  <c r="H17" i="17"/>
  <c r="I17" i="17"/>
  <c r="J17" i="17"/>
  <c r="L17" i="17"/>
  <c r="M17" i="17"/>
  <c r="N17" i="17" s="1"/>
  <c r="P17" i="17"/>
  <c r="S17" i="17" s="1"/>
  <c r="Q17" i="17"/>
  <c r="W17" i="17"/>
  <c r="X17" i="17"/>
  <c r="Y17" i="17"/>
  <c r="AA17" i="17"/>
  <c r="AB17" i="17"/>
  <c r="AD17" i="17"/>
  <c r="AE17" i="17"/>
  <c r="AG17" i="17"/>
  <c r="AJ17" i="17"/>
  <c r="AN17" i="17"/>
  <c r="AP17" i="17"/>
  <c r="AR17" i="17"/>
  <c r="AW17" i="17"/>
  <c r="AX17" i="17"/>
  <c r="AY17" i="17"/>
  <c r="AZ17" i="17"/>
  <c r="BA17" i="17"/>
  <c r="BB17" i="17"/>
  <c r="BC17" i="17"/>
  <c r="BD17" i="17" s="1"/>
  <c r="BF17" i="17"/>
  <c r="BG17" i="17"/>
  <c r="BI17" i="17"/>
  <c r="BK17" i="17"/>
  <c r="BL17" i="17"/>
  <c r="BM17" i="17"/>
  <c r="BO17" i="17"/>
  <c r="BR17" i="17"/>
  <c r="BQ17" i="17" s="1"/>
  <c r="BT17" i="17"/>
  <c r="BU17" i="17"/>
  <c r="BW17" i="17"/>
  <c r="BY17" i="17"/>
  <c r="CB17" i="17"/>
  <c r="CC17" i="17"/>
  <c r="CD17" i="17"/>
  <c r="CE17" i="17"/>
  <c r="CF17" i="17"/>
  <c r="CG17" i="17"/>
  <c r="CI17" i="17" s="1"/>
  <c r="CH17" i="17"/>
  <c r="CK17" i="17"/>
  <c r="A18" i="17"/>
  <c r="B18" i="17"/>
  <c r="C18" i="17"/>
  <c r="D18" i="17"/>
  <c r="E18" i="17"/>
  <c r="F18" i="17"/>
  <c r="G18" i="17"/>
  <c r="H18" i="17"/>
  <c r="I18" i="17"/>
  <c r="J18" i="17"/>
  <c r="L18" i="17"/>
  <c r="M18" i="17"/>
  <c r="P18" i="17"/>
  <c r="Q18" i="17"/>
  <c r="R18" i="17" s="1"/>
  <c r="W18" i="17"/>
  <c r="X18" i="17" s="1"/>
  <c r="Y18" i="17"/>
  <c r="AB18" i="17"/>
  <c r="AC18" i="17"/>
  <c r="AD18" i="17"/>
  <c r="AE18" i="17"/>
  <c r="AF18" i="17"/>
  <c r="AG18" i="17"/>
  <c r="AH18" i="17"/>
  <c r="AI18" i="17"/>
  <c r="AJ18" i="17"/>
  <c r="AK18" i="17"/>
  <c r="AL18" i="17"/>
  <c r="AN18" i="17"/>
  <c r="AM18" i="17" s="1"/>
  <c r="AO18" i="17"/>
  <c r="AP18" i="17"/>
  <c r="AQ18" i="17"/>
  <c r="AR18" i="17"/>
  <c r="AS18" i="17" s="1"/>
  <c r="AT18" i="17"/>
  <c r="AW18" i="17"/>
  <c r="AX18" i="17"/>
  <c r="AY18" i="17"/>
  <c r="AZ18" i="17"/>
  <c r="BA18" i="17"/>
  <c r="BF18" i="17"/>
  <c r="BG18" i="17"/>
  <c r="BH18" i="17" s="1"/>
  <c r="BI18" i="17"/>
  <c r="AU18" i="17" s="1"/>
  <c r="BJ18" i="17"/>
  <c r="BK18" i="17"/>
  <c r="BL18" i="17"/>
  <c r="BM18" i="17"/>
  <c r="BN18" i="17" s="1"/>
  <c r="AV18" i="17" s="1"/>
  <c r="BO18" i="17"/>
  <c r="BP18" i="17" s="1"/>
  <c r="BR18" i="17"/>
  <c r="BQ18" i="17" s="1"/>
  <c r="BS18" i="17"/>
  <c r="BT18" i="17"/>
  <c r="BU18" i="17"/>
  <c r="BV18" i="17"/>
  <c r="BW18" i="17"/>
  <c r="BX18" i="17"/>
  <c r="BY18" i="17"/>
  <c r="BZ18" i="17" s="1"/>
  <c r="CA18" i="17"/>
  <c r="CB18" i="17"/>
  <c r="CD18" i="17" s="1"/>
  <c r="CC18" i="17"/>
  <c r="CE18" i="17"/>
  <c r="CF18" i="17"/>
  <c r="CG18" i="17"/>
  <c r="CH18" i="17"/>
  <c r="CK18" i="17"/>
  <c r="A19" i="17"/>
  <c r="B19" i="17"/>
  <c r="C19" i="17"/>
  <c r="D19" i="17"/>
  <c r="E19" i="17"/>
  <c r="F19" i="17"/>
  <c r="G19" i="17"/>
  <c r="H19" i="17"/>
  <c r="I19" i="17"/>
  <c r="J19" i="17"/>
  <c r="L19" i="17"/>
  <c r="M19" i="17"/>
  <c r="N19" i="17"/>
  <c r="O19" i="17"/>
  <c r="P19" i="17"/>
  <c r="Q19" i="17"/>
  <c r="W19" i="17"/>
  <c r="X19" i="17"/>
  <c r="Y19" i="17"/>
  <c r="Z19" i="17"/>
  <c r="AA19" i="17"/>
  <c r="AB19" i="17"/>
  <c r="AC19" i="17"/>
  <c r="AD19" i="17"/>
  <c r="AE19" i="17" s="1"/>
  <c r="AF19" i="17"/>
  <c r="AG19" i="17"/>
  <c r="AJ19" i="17"/>
  <c r="AM19" i="17"/>
  <c r="AN19" i="17"/>
  <c r="AO19" i="17"/>
  <c r="AP19" i="17"/>
  <c r="AL19" i="17" s="1"/>
  <c r="AR19" i="17"/>
  <c r="AS19" i="17"/>
  <c r="AU19" i="17"/>
  <c r="AX19" i="17"/>
  <c r="AY19" i="17"/>
  <c r="AZ19" i="17"/>
  <c r="BA19" i="17"/>
  <c r="BB19" i="17"/>
  <c r="BE19" i="17" s="1"/>
  <c r="BG19" i="17"/>
  <c r="BH19" i="17" s="1"/>
  <c r="BI19" i="17"/>
  <c r="BJ19" i="17"/>
  <c r="BK19" i="17"/>
  <c r="BL19" i="17"/>
  <c r="BM19" i="17"/>
  <c r="BN19" i="17" s="1"/>
  <c r="AV19" i="17" s="1"/>
  <c r="BO19" i="17"/>
  <c r="BP19" i="17"/>
  <c r="BQ19" i="17"/>
  <c r="BR19" i="17"/>
  <c r="BS19" i="17"/>
  <c r="BT19" i="17"/>
  <c r="BU19" i="17"/>
  <c r="BV19" i="17"/>
  <c r="BW19" i="17"/>
  <c r="BY19" i="17"/>
  <c r="BZ19" i="17"/>
  <c r="CB19" i="17"/>
  <c r="CC19" i="17"/>
  <c r="CE19" i="17"/>
  <c r="CF19" i="17"/>
  <c r="CG19" i="17"/>
  <c r="CH19" i="17"/>
  <c r="CI19" i="17" s="1"/>
  <c r="CK19" i="17"/>
  <c r="A20" i="17"/>
  <c r="B20" i="17"/>
  <c r="C20" i="17"/>
  <c r="D20" i="17"/>
  <c r="E20" i="17"/>
  <c r="F20" i="17"/>
  <c r="G20" i="17"/>
  <c r="H20" i="17"/>
  <c r="I20" i="17"/>
  <c r="J20" i="17"/>
  <c r="L20" i="17"/>
  <c r="M20" i="17"/>
  <c r="P20" i="17"/>
  <c r="S20" i="17" s="1"/>
  <c r="T20" i="17" s="1"/>
  <c r="Q20" i="17"/>
  <c r="R20" i="17"/>
  <c r="U20" i="17"/>
  <c r="V20" i="17"/>
  <c r="W20" i="17"/>
  <c r="X20" i="17"/>
  <c r="Y20" i="17"/>
  <c r="AB20" i="17"/>
  <c r="AC20" i="17" s="1"/>
  <c r="AD20" i="17"/>
  <c r="AE20" i="17"/>
  <c r="AG20" i="17"/>
  <c r="AH20" i="17"/>
  <c r="AJ20" i="17"/>
  <c r="AK20" i="17"/>
  <c r="AN20" i="17"/>
  <c r="AO20" i="17" s="1"/>
  <c r="AP20" i="17"/>
  <c r="AQ20" i="17"/>
  <c r="AR20" i="17"/>
  <c r="AS20" i="17"/>
  <c r="AT20" i="17"/>
  <c r="AV20" i="17"/>
  <c r="AX20" i="17"/>
  <c r="AY20" i="17"/>
  <c r="AZ20" i="17"/>
  <c r="BA20" i="17"/>
  <c r="BB20" i="17"/>
  <c r="BE20" i="17"/>
  <c r="BF20" i="17"/>
  <c r="BG20" i="17"/>
  <c r="BH20" i="17"/>
  <c r="BI20" i="17"/>
  <c r="BK20" i="17"/>
  <c r="BL20" i="17"/>
  <c r="BM20" i="17"/>
  <c r="BN20" i="17"/>
  <c r="BO20" i="17"/>
  <c r="BP20" i="17" s="1"/>
  <c r="BQ20" i="17"/>
  <c r="BR20" i="17"/>
  <c r="BT20" i="17"/>
  <c r="BS20" i="17" s="1"/>
  <c r="BU20" i="17"/>
  <c r="BV20" i="17" s="1"/>
  <c r="BW20" i="17"/>
  <c r="BX20" i="17"/>
  <c r="BY20" i="17"/>
  <c r="BZ20" i="17"/>
  <c r="CA20" i="17"/>
  <c r="CB20" i="17"/>
  <c r="CC20" i="17"/>
  <c r="CD20" i="17"/>
  <c r="CE20" i="17"/>
  <c r="CF20" i="17"/>
  <c r="CG20" i="17"/>
  <c r="CI20" i="17" s="1"/>
  <c r="CH20" i="17"/>
  <c r="CK20" i="17"/>
  <c r="A21" i="17"/>
  <c r="B21" i="17"/>
  <c r="C21" i="17"/>
  <c r="D21" i="17"/>
  <c r="E21" i="17"/>
  <c r="F21" i="17"/>
  <c r="G21" i="17"/>
  <c r="H21" i="17"/>
  <c r="I21" i="17"/>
  <c r="J21" i="17"/>
  <c r="L21" i="17"/>
  <c r="M21" i="17"/>
  <c r="O21" i="17" s="1"/>
  <c r="N21" i="17"/>
  <c r="P21" i="17"/>
  <c r="Q21" i="17"/>
  <c r="T21" i="17" s="1"/>
  <c r="S21" i="17"/>
  <c r="W21" i="17"/>
  <c r="X21" i="17" s="1"/>
  <c r="Y21" i="17"/>
  <c r="Z21" i="17"/>
  <c r="AB21" i="17"/>
  <c r="AC21" i="17"/>
  <c r="AD21" i="17"/>
  <c r="AE21" i="17"/>
  <c r="AF21" i="17"/>
  <c r="AG21" i="17"/>
  <c r="AH21" i="17"/>
  <c r="AI21" i="17"/>
  <c r="AJ21" i="17"/>
  <c r="AL21" i="17"/>
  <c r="AN21" i="17"/>
  <c r="AM21" i="17" s="1"/>
  <c r="AO21" i="17"/>
  <c r="AP21" i="17"/>
  <c r="AQ21" i="17"/>
  <c r="AR21" i="17"/>
  <c r="AU21" i="17" s="1"/>
  <c r="AX21" i="17"/>
  <c r="AY21" i="17"/>
  <c r="AZ21" i="17"/>
  <c r="BA21" i="17"/>
  <c r="BB21" i="17" s="1"/>
  <c r="BC21" i="17"/>
  <c r="BD21" i="17" s="1"/>
  <c r="BF21" i="17"/>
  <c r="BG21" i="17"/>
  <c r="BH21" i="17" s="1"/>
  <c r="BI21" i="17"/>
  <c r="BJ21" i="17" s="1"/>
  <c r="BK21" i="17"/>
  <c r="BL21" i="17"/>
  <c r="BM21" i="17"/>
  <c r="BN21" i="17" s="1"/>
  <c r="BO21" i="17"/>
  <c r="BP21" i="17"/>
  <c r="BR21" i="17"/>
  <c r="BQ21" i="17" s="1"/>
  <c r="BS21" i="17"/>
  <c r="BT21" i="17"/>
  <c r="BU21" i="17"/>
  <c r="BV21" i="17" s="1"/>
  <c r="BW21" i="17"/>
  <c r="BX21" i="17"/>
  <c r="BY21" i="17"/>
  <c r="BZ21" i="17" s="1"/>
  <c r="CA21" i="17"/>
  <c r="CB21" i="17"/>
  <c r="CD21" i="17" s="1"/>
  <c r="CC21" i="17"/>
  <c r="CE21" i="17"/>
  <c r="CF21" i="17"/>
  <c r="CG21" i="17"/>
  <c r="CH21" i="17"/>
  <c r="CK21" i="17"/>
  <c r="A22" i="17"/>
  <c r="B22" i="17"/>
  <c r="C22" i="17"/>
  <c r="D22" i="17"/>
  <c r="E22" i="17"/>
  <c r="F22" i="17"/>
  <c r="G22" i="17"/>
  <c r="H22" i="17"/>
  <c r="I22" i="17"/>
  <c r="J22" i="17"/>
  <c r="L22" i="17"/>
  <c r="Z22" i="17" s="1"/>
  <c r="M22" i="17"/>
  <c r="N22" i="17"/>
  <c r="P22" i="17"/>
  <c r="S22" i="17" s="1"/>
  <c r="Q22" i="17"/>
  <c r="V22" i="17" s="1"/>
  <c r="R22" i="17"/>
  <c r="U22" i="17"/>
  <c r="W22" i="17"/>
  <c r="AA22" i="17" s="1"/>
  <c r="Y22" i="17"/>
  <c r="AB22" i="17"/>
  <c r="AD22" i="17"/>
  <c r="AG22" i="17"/>
  <c r="AJ22" i="17"/>
  <c r="AL22" i="17"/>
  <c r="AN22" i="17"/>
  <c r="AP22" i="17"/>
  <c r="AR22" i="17"/>
  <c r="AS22" i="17"/>
  <c r="AU22" i="17"/>
  <c r="AX22" i="17"/>
  <c r="AY22" i="17"/>
  <c r="AZ22" i="17"/>
  <c r="BA22" i="17"/>
  <c r="BB22" i="17"/>
  <c r="BG22" i="17"/>
  <c r="BI22" i="17"/>
  <c r="BK22" i="17"/>
  <c r="BL22" i="17"/>
  <c r="BM22" i="17"/>
  <c r="BO22" i="17"/>
  <c r="BR22" i="17"/>
  <c r="BT22" i="17"/>
  <c r="BS22" i="17" s="1"/>
  <c r="BU22" i="17"/>
  <c r="BW22" i="17"/>
  <c r="CA22" i="17" s="1"/>
  <c r="BY22" i="17"/>
  <c r="BZ22" i="17"/>
  <c r="CB22" i="17"/>
  <c r="CD22" i="17" s="1"/>
  <c r="CC22" i="17"/>
  <c r="CE22" i="17"/>
  <c r="CF22" i="17"/>
  <c r="CG22" i="17"/>
  <c r="CH22" i="17"/>
  <c r="CI22" i="17" s="1"/>
  <c r="CK22" i="17"/>
  <c r="A23" i="17"/>
  <c r="B23" i="17"/>
  <c r="C23" i="17"/>
  <c r="D23" i="17"/>
  <c r="E23" i="17"/>
  <c r="F23" i="17"/>
  <c r="G23" i="17"/>
  <c r="H23" i="17"/>
  <c r="I23" i="17"/>
  <c r="J23" i="17"/>
  <c r="L23" i="17"/>
  <c r="BJ23" i="17" s="1"/>
  <c r="M23" i="17"/>
  <c r="N23" i="17" s="1"/>
  <c r="O23" i="17"/>
  <c r="P23" i="17"/>
  <c r="Q23" i="17"/>
  <c r="S23" i="17"/>
  <c r="W23" i="17"/>
  <c r="X23" i="17"/>
  <c r="Y23" i="17"/>
  <c r="AA23" i="17"/>
  <c r="AB23" i="17"/>
  <c r="AC23" i="17"/>
  <c r="AD23" i="17"/>
  <c r="AF23" i="17" s="1"/>
  <c r="AE23" i="17"/>
  <c r="AG23" i="17"/>
  <c r="AI23" i="17" s="1"/>
  <c r="AH23" i="17"/>
  <c r="AJ23" i="17"/>
  <c r="AN23" i="17"/>
  <c r="AM23" i="17" s="1"/>
  <c r="AP23" i="17"/>
  <c r="AQ23" i="17"/>
  <c r="AR23" i="17"/>
  <c r="AS23" i="17"/>
  <c r="AT23" i="17"/>
  <c r="AU23" i="17"/>
  <c r="AW23" i="17"/>
  <c r="AX23" i="17"/>
  <c r="AY23" i="17"/>
  <c r="AZ23" i="17"/>
  <c r="BA23" i="17"/>
  <c r="BB23" i="17" s="1"/>
  <c r="BF23" i="17"/>
  <c r="BG23" i="17"/>
  <c r="BH23" i="17"/>
  <c r="BI23" i="17"/>
  <c r="BK23" i="17"/>
  <c r="BL23" i="17"/>
  <c r="BM23" i="17"/>
  <c r="BN23" i="17"/>
  <c r="AV23" i="17" s="1"/>
  <c r="BO23" i="17"/>
  <c r="BQ23" i="17"/>
  <c r="BR23" i="17"/>
  <c r="BT23" i="17"/>
  <c r="BS23" i="17" s="1"/>
  <c r="BU23" i="17"/>
  <c r="BW23" i="17"/>
  <c r="CA23" i="17" s="1"/>
  <c r="BX23" i="17"/>
  <c r="BY23" i="17"/>
  <c r="BZ23" i="17"/>
  <c r="CB23" i="17"/>
  <c r="CD23" i="17" s="1"/>
  <c r="CC23" i="17"/>
  <c r="CE23" i="17"/>
  <c r="CF23" i="17"/>
  <c r="CG23" i="17"/>
  <c r="CH23" i="17"/>
  <c r="CI23" i="17" s="1"/>
  <c r="CK23" i="17"/>
  <c r="A24" i="17"/>
  <c r="B24" i="17"/>
  <c r="C24" i="17"/>
  <c r="D24" i="17"/>
  <c r="E24" i="17"/>
  <c r="F24" i="17"/>
  <c r="G24" i="17"/>
  <c r="H24" i="17"/>
  <c r="I24" i="17"/>
  <c r="J24" i="17"/>
  <c r="L24" i="17"/>
  <c r="M24" i="17"/>
  <c r="N24" i="17" s="1"/>
  <c r="P24" i="17"/>
  <c r="Q24" i="17"/>
  <c r="R24" i="17"/>
  <c r="AK24" i="17" s="1"/>
  <c r="S24" i="17"/>
  <c r="W24" i="17"/>
  <c r="X24" i="17" s="1"/>
  <c r="Y24" i="17"/>
  <c r="Z24" i="17" s="1"/>
  <c r="AA24" i="17"/>
  <c r="AB24" i="17"/>
  <c r="AD24" i="17"/>
  <c r="AG24" i="17"/>
  <c r="AH24" i="17" s="1"/>
  <c r="AJ24" i="17"/>
  <c r="AL24" i="17" s="1"/>
  <c r="AN24" i="17"/>
  <c r="AM24" i="17" s="1"/>
  <c r="AO24" i="17"/>
  <c r="AP24" i="17"/>
  <c r="AR24" i="17"/>
  <c r="AT24" i="17"/>
  <c r="AU24" i="17"/>
  <c r="AX24" i="17"/>
  <c r="AY24" i="17"/>
  <c r="AZ24" i="17"/>
  <c r="BA24" i="17"/>
  <c r="BG24" i="17"/>
  <c r="BH24" i="17" s="1"/>
  <c r="BI24" i="17"/>
  <c r="BK24" i="17"/>
  <c r="BL24" i="17"/>
  <c r="BM24" i="17"/>
  <c r="BN24" i="17"/>
  <c r="BO24" i="17"/>
  <c r="BP24" i="17" s="1"/>
  <c r="BR24" i="17"/>
  <c r="BQ24" i="17" s="1"/>
  <c r="BS24" i="17"/>
  <c r="BT24" i="17"/>
  <c r="BU24" i="17"/>
  <c r="BV24" i="17" s="1"/>
  <c r="BW24" i="17"/>
  <c r="BY24" i="17"/>
  <c r="BZ24" i="17"/>
  <c r="CB24" i="17"/>
  <c r="CC24" i="17"/>
  <c r="CD24" i="17" s="1"/>
  <c r="CE24" i="17"/>
  <c r="CF24" i="17"/>
  <c r="CG24" i="17"/>
  <c r="CH24" i="17"/>
  <c r="CI24" i="17"/>
  <c r="CK24" i="17"/>
  <c r="A25" i="17"/>
  <c r="B25" i="17"/>
  <c r="C25" i="17"/>
  <c r="D25" i="17"/>
  <c r="E25" i="17"/>
  <c r="F25" i="17"/>
  <c r="G25" i="17"/>
  <c r="H25" i="17"/>
  <c r="I25" i="17"/>
  <c r="J25" i="17"/>
  <c r="L25" i="17"/>
  <c r="M25" i="17"/>
  <c r="P25" i="17"/>
  <c r="Q25" i="17"/>
  <c r="W25" i="17"/>
  <c r="X25" i="17" s="1"/>
  <c r="Y25" i="17"/>
  <c r="Z25" i="17"/>
  <c r="AB25" i="17"/>
  <c r="AC25" i="17" s="1"/>
  <c r="AD25" i="17"/>
  <c r="AF25" i="17" s="1"/>
  <c r="AE25" i="17"/>
  <c r="AG25" i="17"/>
  <c r="AH25" i="17"/>
  <c r="AJ25" i="17"/>
  <c r="AN25" i="17"/>
  <c r="AM25" i="17" s="1"/>
  <c r="AO25" i="17"/>
  <c r="AP25" i="17"/>
  <c r="AI25" i="17" s="1"/>
  <c r="AQ25" i="17"/>
  <c r="AR25" i="17"/>
  <c r="AX25" i="17"/>
  <c r="AY25" i="17"/>
  <c r="AZ25" i="17"/>
  <c r="BA25" i="17"/>
  <c r="BB25" i="17"/>
  <c r="BF25" i="17"/>
  <c r="BG25" i="17"/>
  <c r="BH25" i="17"/>
  <c r="BI25" i="17"/>
  <c r="BK25" i="17"/>
  <c r="BL25" i="17"/>
  <c r="BM25" i="17"/>
  <c r="BN25" i="17"/>
  <c r="BO25" i="17"/>
  <c r="BP25" i="17" s="1"/>
  <c r="BR25" i="17"/>
  <c r="BQ25" i="17" s="1"/>
  <c r="BS25" i="17"/>
  <c r="BT25" i="17"/>
  <c r="BU25" i="17"/>
  <c r="BV25" i="17"/>
  <c r="BW25" i="17"/>
  <c r="BX25" i="17"/>
  <c r="BY25" i="17"/>
  <c r="BZ25" i="17" s="1"/>
  <c r="CA25" i="17"/>
  <c r="CB25" i="17"/>
  <c r="CC25" i="17"/>
  <c r="CD25" i="17"/>
  <c r="CE25" i="17"/>
  <c r="CF25" i="17"/>
  <c r="CG25" i="17"/>
  <c r="CH25" i="17"/>
  <c r="CI25" i="17" s="1"/>
  <c r="CK25" i="17"/>
  <c r="A26" i="17"/>
  <c r="B26" i="17"/>
  <c r="C26" i="17"/>
  <c r="D26" i="17"/>
  <c r="E26" i="17"/>
  <c r="F26" i="17"/>
  <c r="G26" i="17"/>
  <c r="H26" i="17"/>
  <c r="I26" i="17"/>
  <c r="J26" i="17"/>
  <c r="L26" i="17"/>
  <c r="M26" i="17"/>
  <c r="P26" i="17"/>
  <c r="Q26" i="17"/>
  <c r="V26" i="17" s="1"/>
  <c r="R26" i="17"/>
  <c r="S26" i="17"/>
  <c r="T26" i="17" s="1"/>
  <c r="U26" i="17"/>
  <c r="W26" i="17"/>
  <c r="X26" i="17" s="1"/>
  <c r="Y26" i="17"/>
  <c r="Z26" i="17" s="1"/>
  <c r="AB26" i="17"/>
  <c r="AC26" i="17"/>
  <c r="AD26" i="17"/>
  <c r="AE26" i="17"/>
  <c r="AG26" i="17"/>
  <c r="AJ26" i="17"/>
  <c r="AK26" i="17" s="1"/>
  <c r="AM26" i="17"/>
  <c r="AN26" i="17"/>
  <c r="AP26" i="17"/>
  <c r="AR26" i="17"/>
  <c r="AS26" i="17"/>
  <c r="AW26" i="17"/>
  <c r="AX26" i="17"/>
  <c r="AY26" i="17"/>
  <c r="AZ26" i="17"/>
  <c r="BA26" i="17"/>
  <c r="BF26" i="17" s="1"/>
  <c r="BC26" i="17"/>
  <c r="BD26" i="17" s="1"/>
  <c r="BG26" i="17"/>
  <c r="BH26" i="17" s="1"/>
  <c r="BI26" i="17"/>
  <c r="AU26" i="17" s="1"/>
  <c r="BJ26" i="17"/>
  <c r="BK26" i="17"/>
  <c r="BL26" i="17"/>
  <c r="BM26" i="17"/>
  <c r="BN26" i="17" s="1"/>
  <c r="AV26" i="17" s="1"/>
  <c r="BO26" i="17"/>
  <c r="BP26" i="17"/>
  <c r="BR26" i="17"/>
  <c r="BS26" i="17"/>
  <c r="BT26" i="17"/>
  <c r="BU26" i="17"/>
  <c r="CA26" i="17" s="1"/>
  <c r="BV26" i="17"/>
  <c r="BW26" i="17"/>
  <c r="BY26" i="17"/>
  <c r="BZ26" i="17" s="1"/>
  <c r="CB26" i="17"/>
  <c r="CC26" i="17"/>
  <c r="CE26" i="17"/>
  <c r="CF26" i="17"/>
  <c r="CG26" i="17"/>
  <c r="CI26" i="17" s="1"/>
  <c r="CH26" i="17"/>
  <c r="CK26" i="17"/>
  <c r="A27" i="17"/>
  <c r="B27" i="17"/>
  <c r="C27" i="17"/>
  <c r="D27" i="17"/>
  <c r="E27" i="17"/>
  <c r="F27" i="17"/>
  <c r="G27" i="17"/>
  <c r="H27" i="17"/>
  <c r="I27" i="17"/>
  <c r="J27" i="17"/>
  <c r="L27" i="17"/>
  <c r="BB27" i="17" s="1"/>
  <c r="M27" i="17"/>
  <c r="N27" i="17" s="1"/>
  <c r="O27" i="17"/>
  <c r="P27" i="17"/>
  <c r="Q27" i="17"/>
  <c r="R27" i="17"/>
  <c r="S27" i="17"/>
  <c r="T27" i="17" s="1"/>
  <c r="U27" i="17"/>
  <c r="V27" i="17"/>
  <c r="W27" i="17"/>
  <c r="X27" i="17"/>
  <c r="Y27" i="17"/>
  <c r="Z27" i="17" s="1"/>
  <c r="AB27" i="17"/>
  <c r="AC27" i="17" s="1"/>
  <c r="AD27" i="17"/>
  <c r="AE27" i="17"/>
  <c r="AG27" i="17"/>
  <c r="AH27" i="17"/>
  <c r="AJ27" i="17"/>
  <c r="AW27" i="17" s="1"/>
  <c r="AM27" i="17"/>
  <c r="AN27" i="17"/>
  <c r="AP27" i="17"/>
  <c r="AT27" i="17" s="1"/>
  <c r="AR27" i="17"/>
  <c r="AS27" i="17"/>
  <c r="AX27" i="17"/>
  <c r="AY27" i="17"/>
  <c r="AZ27" i="17"/>
  <c r="BA27" i="17"/>
  <c r="BC27" i="17"/>
  <c r="BD27" i="17" s="1"/>
  <c r="BF27" i="17"/>
  <c r="BG27" i="17"/>
  <c r="BI27" i="17"/>
  <c r="AU27" i="17" s="1"/>
  <c r="BJ27" i="17"/>
  <c r="BK27" i="17"/>
  <c r="BL27" i="17"/>
  <c r="BM27" i="17"/>
  <c r="BO27" i="17"/>
  <c r="BP27" i="17" s="1"/>
  <c r="BR27" i="17"/>
  <c r="BQ27" i="17" s="1"/>
  <c r="BT27" i="17"/>
  <c r="BS27" i="17" s="1"/>
  <c r="BU27" i="17"/>
  <c r="BV27" i="17"/>
  <c r="BW27" i="17"/>
  <c r="BY27" i="17"/>
  <c r="BZ27" i="17"/>
  <c r="CB27" i="17"/>
  <c r="CD27" i="17" s="1"/>
  <c r="CC27" i="17"/>
  <c r="CE27" i="17"/>
  <c r="CF27" i="17"/>
  <c r="CG27" i="17"/>
  <c r="CH27" i="17"/>
  <c r="CI27" i="17"/>
  <c r="CK27" i="17"/>
  <c r="A28" i="17"/>
  <c r="B28" i="17"/>
  <c r="C28" i="17"/>
  <c r="D28" i="17"/>
  <c r="E28" i="17"/>
  <c r="F28" i="17"/>
  <c r="G28" i="17"/>
  <c r="H28" i="17"/>
  <c r="I28" i="17"/>
  <c r="J28" i="17"/>
  <c r="L28" i="17"/>
  <c r="M28" i="17"/>
  <c r="N28" i="17" s="1"/>
  <c r="O28" i="17"/>
  <c r="P28" i="17"/>
  <c r="Q28" i="17"/>
  <c r="R28" i="17" s="1"/>
  <c r="W28" i="17"/>
  <c r="X28" i="17" s="1"/>
  <c r="Y28" i="17"/>
  <c r="Z28" i="17"/>
  <c r="AA28" i="17"/>
  <c r="AB28" i="17"/>
  <c r="AC28" i="17"/>
  <c r="AD28" i="17"/>
  <c r="AE28" i="17"/>
  <c r="AF28" i="17"/>
  <c r="AG28" i="17"/>
  <c r="AH28" i="17" s="1"/>
  <c r="AI28" i="17"/>
  <c r="AJ28" i="17"/>
  <c r="AK28" i="17"/>
  <c r="AL28" i="17"/>
  <c r="AM28" i="17"/>
  <c r="AN28" i="17"/>
  <c r="AO28" i="17"/>
  <c r="AP28" i="17"/>
  <c r="AQ28" i="17"/>
  <c r="AR28" i="17"/>
  <c r="AT28" i="17" s="1"/>
  <c r="AS28" i="17"/>
  <c r="AW28" i="17"/>
  <c r="AX28" i="17"/>
  <c r="AY28" i="17"/>
  <c r="AZ28" i="17"/>
  <c r="BA28" i="17"/>
  <c r="BB28" i="17"/>
  <c r="BF28" i="17"/>
  <c r="BG28" i="17"/>
  <c r="BH28" i="17"/>
  <c r="BI28" i="17"/>
  <c r="BJ28" i="17" s="1"/>
  <c r="BK28" i="17"/>
  <c r="BL28" i="17"/>
  <c r="BM28" i="17"/>
  <c r="BN28" i="17"/>
  <c r="BO28" i="17"/>
  <c r="BP28" i="17" s="1"/>
  <c r="BR28" i="17"/>
  <c r="BQ28" i="17" s="1"/>
  <c r="BT28" i="17"/>
  <c r="BS28" i="17" s="1"/>
  <c r="BU28" i="17"/>
  <c r="BV28" i="17" s="1"/>
  <c r="BW28" i="17"/>
  <c r="BX28" i="17"/>
  <c r="BY28" i="17"/>
  <c r="BZ28" i="17"/>
  <c r="CB28" i="17"/>
  <c r="CC28" i="17"/>
  <c r="CD28" i="17"/>
  <c r="CE28" i="17"/>
  <c r="CF28" i="17"/>
  <c r="CG28" i="17"/>
  <c r="CI28" i="17" s="1"/>
  <c r="CH28" i="17"/>
  <c r="CK28" i="17"/>
  <c r="A29" i="17"/>
  <c r="B29" i="17"/>
  <c r="C29" i="17"/>
  <c r="D29" i="17"/>
  <c r="E29" i="17"/>
  <c r="F29" i="17"/>
  <c r="G29" i="17"/>
  <c r="H29" i="17"/>
  <c r="I29" i="17"/>
  <c r="J29" i="17"/>
  <c r="L29" i="17"/>
  <c r="M29" i="17"/>
  <c r="O29" i="17" s="1"/>
  <c r="P29" i="17"/>
  <c r="Q29" i="17"/>
  <c r="T29" i="17" s="1"/>
  <c r="S29" i="17"/>
  <c r="W29" i="17"/>
  <c r="X29" i="17" s="1"/>
  <c r="Y29" i="17"/>
  <c r="Z29" i="17" s="1"/>
  <c r="AB29" i="17"/>
  <c r="AC29" i="17"/>
  <c r="AD29" i="17"/>
  <c r="AE29" i="17"/>
  <c r="AF29" i="17"/>
  <c r="AG29" i="17"/>
  <c r="AH29" i="17"/>
  <c r="AI29" i="17"/>
  <c r="AJ29" i="17"/>
  <c r="AL29" i="17"/>
  <c r="AN29" i="17"/>
  <c r="AM29" i="17" s="1"/>
  <c r="AO29" i="17"/>
  <c r="AP29" i="17"/>
  <c r="AQ29" i="17"/>
  <c r="AR29" i="17"/>
  <c r="AX29" i="17"/>
  <c r="AY29" i="17"/>
  <c r="AZ29" i="17"/>
  <c r="BA29" i="17"/>
  <c r="BC29" i="17" s="1"/>
  <c r="BD29" i="17" s="1"/>
  <c r="BG29" i="17"/>
  <c r="BH29" i="17" s="1"/>
  <c r="BI29" i="17"/>
  <c r="BJ29" i="17" s="1"/>
  <c r="BK29" i="17"/>
  <c r="BL29" i="17"/>
  <c r="BM29" i="17"/>
  <c r="BN29" i="17" s="1"/>
  <c r="BO29" i="17"/>
  <c r="BP29" i="17"/>
  <c r="BR29" i="17"/>
  <c r="BQ29" i="17" s="1"/>
  <c r="BS29" i="17"/>
  <c r="BT29" i="17"/>
  <c r="BU29" i="17"/>
  <c r="BV29" i="17"/>
  <c r="BW29" i="17"/>
  <c r="BX29" i="17"/>
  <c r="BY29" i="17"/>
  <c r="BZ29" i="17" s="1"/>
  <c r="CA29" i="17"/>
  <c r="CB29" i="17"/>
  <c r="CD29" i="17" s="1"/>
  <c r="CC29" i="17"/>
  <c r="CE29" i="17"/>
  <c r="CF29" i="17"/>
  <c r="CG29" i="17"/>
  <c r="CH29" i="17"/>
  <c r="CK29" i="17"/>
  <c r="A30" i="17"/>
  <c r="B30" i="17"/>
  <c r="C30" i="17"/>
  <c r="D30" i="17"/>
  <c r="E30" i="17"/>
  <c r="F30" i="17"/>
  <c r="G30" i="17"/>
  <c r="H30" i="17"/>
  <c r="I30" i="17"/>
  <c r="J30" i="17"/>
  <c r="L30" i="17"/>
  <c r="BQ30" i="17" s="1"/>
  <c r="M30" i="17"/>
  <c r="N30" i="17"/>
  <c r="P30" i="17"/>
  <c r="S30" i="17" s="1"/>
  <c r="Q30" i="17"/>
  <c r="V30" i="17" s="1"/>
  <c r="R30" i="17"/>
  <c r="T30" i="17"/>
  <c r="U30" i="17"/>
  <c r="W30" i="17"/>
  <c r="Y30" i="17"/>
  <c r="Z30" i="17"/>
  <c r="AA30" i="17"/>
  <c r="AB30" i="17"/>
  <c r="AD30" i="17"/>
  <c r="AF30" i="17" s="1"/>
  <c r="AG30" i="17"/>
  <c r="AJ30" i="17"/>
  <c r="AK30" i="17" s="1"/>
  <c r="AN30" i="17"/>
  <c r="AP30" i="17"/>
  <c r="AR30" i="17"/>
  <c r="AU30" i="17" s="1"/>
  <c r="AX30" i="17"/>
  <c r="AY30" i="17"/>
  <c r="AZ30" i="17"/>
  <c r="BA30" i="17"/>
  <c r="BC30" i="17" s="1"/>
  <c r="BD30" i="17" s="1"/>
  <c r="BB30" i="17"/>
  <c r="BG30" i="17"/>
  <c r="BI30" i="17"/>
  <c r="BJ30" i="17"/>
  <c r="BK30" i="17"/>
  <c r="BL30" i="17"/>
  <c r="BM30" i="17"/>
  <c r="BO30" i="17"/>
  <c r="BP30" i="17"/>
  <c r="BR30" i="17"/>
  <c r="BT30" i="17"/>
  <c r="BS30" i="17" s="1"/>
  <c r="BU30" i="17"/>
  <c r="BV30" i="17"/>
  <c r="BW30" i="17"/>
  <c r="BY30" i="17"/>
  <c r="CB30" i="17"/>
  <c r="CD30" i="17" s="1"/>
  <c r="CC30" i="17"/>
  <c r="CE30" i="17"/>
  <c r="CF30" i="17"/>
  <c r="CG30" i="17"/>
  <c r="CH30" i="17"/>
  <c r="CI30" i="17"/>
  <c r="CK30" i="17"/>
  <c r="A31" i="17"/>
  <c r="B31" i="17"/>
  <c r="C31" i="17"/>
  <c r="D31" i="17"/>
  <c r="E31" i="17"/>
  <c r="F31" i="17"/>
  <c r="G31" i="17"/>
  <c r="H31" i="17"/>
  <c r="I31" i="17"/>
  <c r="J31" i="17"/>
  <c r="L31" i="17"/>
  <c r="M31" i="17"/>
  <c r="N31" i="17" s="1"/>
  <c r="O31" i="17"/>
  <c r="P31" i="17"/>
  <c r="S31" i="17" s="1"/>
  <c r="Q31" i="17"/>
  <c r="R31" i="17"/>
  <c r="V31" i="17"/>
  <c r="W31" i="17"/>
  <c r="X31" i="17"/>
  <c r="Y31" i="17"/>
  <c r="Z31" i="17" s="1"/>
  <c r="AA31" i="17"/>
  <c r="AB31" i="17"/>
  <c r="AC31" i="17" s="1"/>
  <c r="AD31" i="17"/>
  <c r="AF31" i="17" s="1"/>
  <c r="AE31" i="17"/>
  <c r="AG31" i="17"/>
  <c r="AI31" i="17" s="1"/>
  <c r="AH31" i="17"/>
  <c r="AJ31" i="17"/>
  <c r="AL31" i="17" s="1"/>
  <c r="AK31" i="17"/>
  <c r="AM31" i="17"/>
  <c r="AN31" i="17"/>
  <c r="AO31" i="17" s="1"/>
  <c r="BE31" i="17" s="1"/>
  <c r="AP31" i="17"/>
  <c r="AQ31" i="17"/>
  <c r="AR31" i="17"/>
  <c r="AS31" i="17"/>
  <c r="AT31" i="17"/>
  <c r="AW31" i="17"/>
  <c r="AX31" i="17"/>
  <c r="AY31" i="17"/>
  <c r="AZ31" i="17"/>
  <c r="BA31" i="17"/>
  <c r="BB31" i="17"/>
  <c r="BF31" i="17"/>
  <c r="BG31" i="17"/>
  <c r="BH31" i="17"/>
  <c r="BI31" i="17"/>
  <c r="BK31" i="17"/>
  <c r="BL31" i="17"/>
  <c r="BM31" i="17"/>
  <c r="BN31" i="17"/>
  <c r="AV31" i="17" s="1"/>
  <c r="BO31" i="17"/>
  <c r="BP31" i="17" s="1"/>
  <c r="BQ31" i="17"/>
  <c r="BR31" i="17"/>
  <c r="BT31" i="17"/>
  <c r="BS31" i="17" s="1"/>
  <c r="BU31" i="17"/>
  <c r="BV31" i="17" s="1"/>
  <c r="BW31" i="17"/>
  <c r="BX31" i="17" s="1"/>
  <c r="BY31" i="17"/>
  <c r="BZ31" i="17"/>
  <c r="CB31" i="17"/>
  <c r="CC31" i="17"/>
  <c r="CD31" i="17" s="1"/>
  <c r="CE31" i="17"/>
  <c r="CF31" i="17"/>
  <c r="CG31" i="17"/>
  <c r="CH31" i="17"/>
  <c r="CI31" i="17"/>
  <c r="CK31" i="17"/>
  <c r="A32" i="17"/>
  <c r="B32" i="17"/>
  <c r="C32" i="17"/>
  <c r="D32" i="17"/>
  <c r="E32" i="17"/>
  <c r="F32" i="17"/>
  <c r="G32" i="17"/>
  <c r="H32" i="17"/>
  <c r="I32" i="17"/>
  <c r="J32" i="17"/>
  <c r="L32" i="17"/>
  <c r="M32" i="17"/>
  <c r="O32" i="17" s="1"/>
  <c r="P32" i="17"/>
  <c r="S32" i="17" s="1"/>
  <c r="Q32" i="17"/>
  <c r="R32" i="17" s="1"/>
  <c r="AK32" i="17" s="1"/>
  <c r="T32" i="17"/>
  <c r="V32" i="17"/>
  <c r="W32" i="17"/>
  <c r="X32" i="17" s="1"/>
  <c r="Y32" i="17"/>
  <c r="AA32" i="17" s="1"/>
  <c r="Z32" i="17"/>
  <c r="AB32" i="17"/>
  <c r="AC32" i="17"/>
  <c r="AD32" i="17"/>
  <c r="AE32" i="17"/>
  <c r="AF32" i="17"/>
  <c r="AG32" i="17"/>
  <c r="AH32" i="17"/>
  <c r="AI32" i="17"/>
  <c r="AJ32" i="17"/>
  <c r="AL32" i="17"/>
  <c r="AN32" i="17"/>
  <c r="AM32" i="17" s="1"/>
  <c r="AP32" i="17"/>
  <c r="AQ32" i="17"/>
  <c r="AR32" i="17"/>
  <c r="AS32" i="17" s="1"/>
  <c r="AT32" i="17"/>
  <c r="AU32" i="17"/>
  <c r="AX32" i="17"/>
  <c r="AY32" i="17"/>
  <c r="AZ32" i="17"/>
  <c r="BA32" i="17"/>
  <c r="BB32" i="17" s="1"/>
  <c r="BC32" i="17"/>
  <c r="BD32" i="17" s="1"/>
  <c r="BF32" i="17"/>
  <c r="BG32" i="17"/>
  <c r="BH32" i="17" s="1"/>
  <c r="BI32" i="17"/>
  <c r="BJ32" i="17"/>
  <c r="BK32" i="17"/>
  <c r="BL32" i="17"/>
  <c r="BM32" i="17"/>
  <c r="BN32" i="17" s="1"/>
  <c r="AV32" i="17" s="1"/>
  <c r="BO32" i="17"/>
  <c r="BP32" i="17" s="1"/>
  <c r="BR32" i="17"/>
  <c r="BQ32" i="17" s="1"/>
  <c r="BS32" i="17"/>
  <c r="BT32" i="17"/>
  <c r="BU32" i="17"/>
  <c r="BW32" i="17"/>
  <c r="BX32" i="17"/>
  <c r="BY32" i="17"/>
  <c r="BZ32" i="17" s="1"/>
  <c r="CB32" i="17"/>
  <c r="CD32" i="17" s="1"/>
  <c r="CC32" i="17"/>
  <c r="CE32" i="17"/>
  <c r="CF32" i="17"/>
  <c r="CG32" i="17"/>
  <c r="CH32" i="17"/>
  <c r="CI32" i="17" s="1"/>
  <c r="CK32" i="17"/>
  <c r="A33" i="17"/>
  <c r="B33" i="17"/>
  <c r="C33" i="17"/>
  <c r="D33" i="17"/>
  <c r="E33" i="17"/>
  <c r="F33" i="17"/>
  <c r="G33" i="17"/>
  <c r="H33" i="17"/>
  <c r="I33" i="17"/>
  <c r="J33" i="17"/>
  <c r="L33" i="17"/>
  <c r="O33" i="17" s="1"/>
  <c r="M33" i="17"/>
  <c r="N33" i="17"/>
  <c r="P33" i="17"/>
  <c r="Q33" i="17"/>
  <c r="R33" i="17" s="1"/>
  <c r="W33" i="17"/>
  <c r="X33" i="17"/>
  <c r="Y33" i="17"/>
  <c r="Z33" i="17"/>
  <c r="AA33" i="17"/>
  <c r="AB33" i="17"/>
  <c r="AD33" i="17"/>
  <c r="AG33" i="17"/>
  <c r="AJ33" i="17"/>
  <c r="AL33" i="17" s="1"/>
  <c r="AM33" i="17"/>
  <c r="AN33" i="17"/>
  <c r="AO33" i="17"/>
  <c r="AP33" i="17"/>
  <c r="AR33" i="17"/>
  <c r="AS33" i="17" s="1"/>
  <c r="AU33" i="17"/>
  <c r="AX33" i="17"/>
  <c r="AY33" i="17"/>
  <c r="AZ33" i="17"/>
  <c r="BA33" i="17"/>
  <c r="BF33" i="17" s="1"/>
  <c r="BB33" i="17"/>
  <c r="BE33" i="17" s="1"/>
  <c r="BG33" i="17"/>
  <c r="BH33" i="17" s="1"/>
  <c r="BI33" i="17"/>
  <c r="BK33" i="17"/>
  <c r="BL33" i="17"/>
  <c r="BM33" i="17"/>
  <c r="BN33" i="17" s="1"/>
  <c r="AV33" i="17" s="1"/>
  <c r="BO33" i="17"/>
  <c r="BP33" i="17" s="1"/>
  <c r="BQ33" i="17"/>
  <c r="BR33" i="17"/>
  <c r="BS33" i="17"/>
  <c r="BT33" i="17"/>
  <c r="BU33" i="17"/>
  <c r="BV33" i="17" s="1"/>
  <c r="BW33" i="17"/>
  <c r="BX33" i="17" s="1"/>
  <c r="BY33" i="17"/>
  <c r="BZ33" i="17"/>
  <c r="CB33" i="17"/>
  <c r="CD33" i="17" s="1"/>
  <c r="CC33" i="17"/>
  <c r="CE33" i="17"/>
  <c r="CF33" i="17"/>
  <c r="CG33" i="17"/>
  <c r="CH33" i="17"/>
  <c r="CI33" i="17"/>
  <c r="CK33" i="17"/>
  <c r="A34" i="17"/>
  <c r="B34" i="17"/>
  <c r="C34" i="17"/>
  <c r="D34" i="17"/>
  <c r="E34" i="17"/>
  <c r="F34" i="17"/>
  <c r="G34" i="17"/>
  <c r="H34" i="17"/>
  <c r="I34" i="17"/>
  <c r="J34" i="17"/>
  <c r="L34" i="17"/>
  <c r="M34" i="17"/>
  <c r="O34" i="17" s="1"/>
  <c r="P34" i="17"/>
  <c r="U34" i="17" s="1"/>
  <c r="Q34" i="17"/>
  <c r="R34" i="17"/>
  <c r="S34" i="17"/>
  <c r="T34" i="17" s="1"/>
  <c r="V34" i="17"/>
  <c r="W34" i="17"/>
  <c r="X34" i="17"/>
  <c r="Y34" i="17"/>
  <c r="AA34" i="17" s="1"/>
  <c r="AB34" i="17"/>
  <c r="AD34" i="17"/>
  <c r="AE34" i="17"/>
  <c r="AF34" i="17"/>
  <c r="AG34" i="17"/>
  <c r="AJ34" i="17"/>
  <c r="AW34" i="17" s="1"/>
  <c r="AL34" i="17"/>
  <c r="AN34" i="17"/>
  <c r="AP34" i="17"/>
  <c r="AR34" i="17"/>
  <c r="AS34" i="17"/>
  <c r="AT34" i="17"/>
  <c r="AX34" i="17"/>
  <c r="AY34" i="17"/>
  <c r="AZ34" i="17"/>
  <c r="BA34" i="17"/>
  <c r="BF34" i="17"/>
  <c r="BG34" i="17"/>
  <c r="BI34" i="17"/>
  <c r="AU34" i="17" s="1"/>
  <c r="BK34" i="17"/>
  <c r="BL34" i="17"/>
  <c r="BM34" i="17"/>
  <c r="BO34" i="17"/>
  <c r="BR34" i="17"/>
  <c r="BT34" i="17"/>
  <c r="BU34" i="17"/>
  <c r="BW34" i="17"/>
  <c r="BX34" i="17" s="1"/>
  <c r="BY34" i="17"/>
  <c r="CB34" i="17"/>
  <c r="CD34" i="17" s="1"/>
  <c r="CC34" i="17"/>
  <c r="CE34" i="17"/>
  <c r="CF34" i="17"/>
  <c r="CG34" i="17"/>
  <c r="CH34" i="17"/>
  <c r="CI34" i="17"/>
  <c r="CK34" i="17"/>
  <c r="A35" i="17"/>
  <c r="B35" i="17"/>
  <c r="C35" i="17"/>
  <c r="D35" i="17"/>
  <c r="E35" i="17"/>
  <c r="F35" i="17"/>
  <c r="G35" i="17"/>
  <c r="H35" i="17"/>
  <c r="I35" i="17"/>
  <c r="J35" i="17"/>
  <c r="L35" i="17"/>
  <c r="M35" i="17"/>
  <c r="O35" i="17" s="1"/>
  <c r="P35" i="17"/>
  <c r="V35" i="17" s="1"/>
  <c r="Q35" i="17"/>
  <c r="R35" i="17" s="1"/>
  <c r="S35" i="17"/>
  <c r="T35" i="17" s="1"/>
  <c r="W35" i="17"/>
  <c r="X35" i="17" s="1"/>
  <c r="Y35" i="17"/>
  <c r="Z35" i="17"/>
  <c r="AA35" i="17"/>
  <c r="AB35" i="17"/>
  <c r="AC35" i="17"/>
  <c r="AD35" i="17"/>
  <c r="AE35" i="17"/>
  <c r="AF35" i="17"/>
  <c r="AG35" i="17"/>
  <c r="AI35" i="17" s="1"/>
  <c r="AJ35" i="17"/>
  <c r="AK35" i="17"/>
  <c r="AL35" i="17"/>
  <c r="AM35" i="17"/>
  <c r="AN35" i="17"/>
  <c r="AO35" i="17"/>
  <c r="AP35" i="17"/>
  <c r="AQ35" i="17"/>
  <c r="AR35" i="17"/>
  <c r="AX35" i="17"/>
  <c r="AY35" i="17"/>
  <c r="AZ35" i="17"/>
  <c r="BA35" i="17"/>
  <c r="BB35" i="17" s="1"/>
  <c r="BE35" i="17" s="1"/>
  <c r="BC35" i="17"/>
  <c r="BD35" i="17"/>
  <c r="BF35" i="17"/>
  <c r="BG35" i="17"/>
  <c r="BH35" i="17" s="1"/>
  <c r="BI35" i="17"/>
  <c r="BJ35" i="17"/>
  <c r="BK35" i="17"/>
  <c r="BL35" i="17"/>
  <c r="BM35" i="17"/>
  <c r="BN35" i="17" s="1"/>
  <c r="BO35" i="17"/>
  <c r="BP35" i="17" s="1"/>
  <c r="BR35" i="17"/>
  <c r="BQ35" i="17" s="1"/>
  <c r="BS35" i="17"/>
  <c r="BT35" i="17"/>
  <c r="BU35" i="17"/>
  <c r="BV35" i="17" s="1"/>
  <c r="BW35" i="17"/>
  <c r="BX35" i="17"/>
  <c r="BY35" i="17"/>
  <c r="BZ35" i="17" s="1"/>
  <c r="CA35" i="17"/>
  <c r="CB35" i="17"/>
  <c r="CD35" i="17" s="1"/>
  <c r="CC35" i="17"/>
  <c r="CE35" i="17"/>
  <c r="CF35" i="17"/>
  <c r="CG35" i="17"/>
  <c r="CH35" i="17"/>
  <c r="CK35" i="17"/>
  <c r="A36" i="17"/>
  <c r="B36" i="17"/>
  <c r="C36" i="17"/>
  <c r="D36" i="17"/>
  <c r="E36" i="17"/>
  <c r="F36" i="17"/>
  <c r="G36" i="17"/>
  <c r="H36" i="17"/>
  <c r="I36" i="17"/>
  <c r="J36" i="17"/>
  <c r="L36" i="17"/>
  <c r="BQ36" i="17" s="1"/>
  <c r="M36" i="17"/>
  <c r="N36" i="17"/>
  <c r="P36" i="17"/>
  <c r="S36" i="17" s="1"/>
  <c r="Q36" i="17"/>
  <c r="V36" i="17" s="1"/>
  <c r="R36" i="17"/>
  <c r="T36" i="17"/>
  <c r="U36" i="17"/>
  <c r="W36" i="17"/>
  <c r="Y36" i="17"/>
  <c r="Z36" i="17"/>
  <c r="AA36" i="17"/>
  <c r="AB36" i="17"/>
  <c r="AD36" i="17"/>
  <c r="AF36" i="17" s="1"/>
  <c r="AG36" i="17"/>
  <c r="AJ36" i="17"/>
  <c r="AK36" i="17" s="1"/>
  <c r="AN36" i="17"/>
  <c r="AP36" i="17"/>
  <c r="AR36" i="17"/>
  <c r="AU36" i="17" s="1"/>
  <c r="AX36" i="17"/>
  <c r="AY36" i="17"/>
  <c r="AZ36" i="17"/>
  <c r="BA36" i="17"/>
  <c r="BC36" i="17" s="1"/>
  <c r="BD36" i="17" s="1"/>
  <c r="BB36" i="17"/>
  <c r="BG36" i="17"/>
  <c r="BI36" i="17"/>
  <c r="BJ36" i="17"/>
  <c r="BK36" i="17"/>
  <c r="BL36" i="17"/>
  <c r="BM36" i="17"/>
  <c r="BO36" i="17"/>
  <c r="BP36" i="17"/>
  <c r="BR36" i="17"/>
  <c r="BT36" i="17"/>
  <c r="BU36" i="17"/>
  <c r="BV36" i="17"/>
  <c r="BW36" i="17"/>
  <c r="BY36" i="17"/>
  <c r="CB36" i="17"/>
  <c r="CD36" i="17" s="1"/>
  <c r="CC36" i="17"/>
  <c r="CE36" i="17"/>
  <c r="CF36" i="17"/>
  <c r="CG36" i="17"/>
  <c r="CH36" i="17"/>
  <c r="CI36" i="17"/>
  <c r="CK36" i="17"/>
  <c r="A37" i="17"/>
  <c r="B37" i="17"/>
  <c r="C37" i="17"/>
  <c r="D37" i="17"/>
  <c r="E37" i="17"/>
  <c r="F37" i="17"/>
  <c r="G37" i="17"/>
  <c r="H37" i="17"/>
  <c r="I37" i="17"/>
  <c r="J37" i="17"/>
  <c r="L37" i="17"/>
  <c r="M37" i="17"/>
  <c r="N37" i="17" s="1"/>
  <c r="O37" i="17"/>
  <c r="P37" i="17"/>
  <c r="S37" i="17" s="1"/>
  <c r="Q37" i="17"/>
  <c r="R37" i="17"/>
  <c r="V37" i="17"/>
  <c r="W37" i="17"/>
  <c r="X37" i="17"/>
  <c r="Y37" i="17"/>
  <c r="Z37" i="17" s="1"/>
  <c r="AA37" i="17"/>
  <c r="AB37" i="17"/>
  <c r="AC37" i="17" s="1"/>
  <c r="AD37" i="17"/>
  <c r="AF37" i="17" s="1"/>
  <c r="AE37" i="17"/>
  <c r="AG37" i="17"/>
  <c r="AI37" i="17" s="1"/>
  <c r="AH37" i="17"/>
  <c r="AJ37" i="17"/>
  <c r="AL37" i="17" s="1"/>
  <c r="AK37" i="17"/>
  <c r="AM37" i="17"/>
  <c r="AN37" i="17"/>
  <c r="AO37" i="17" s="1"/>
  <c r="BE37" i="17" s="1"/>
  <c r="AP37" i="17"/>
  <c r="AQ37" i="17"/>
  <c r="AR37" i="17"/>
  <c r="AS37" i="17"/>
  <c r="AT37" i="17"/>
  <c r="AW37" i="17"/>
  <c r="AX37" i="17"/>
  <c r="AY37" i="17"/>
  <c r="AZ37" i="17"/>
  <c r="BA37" i="17"/>
  <c r="BB37" i="17"/>
  <c r="BF37" i="17"/>
  <c r="BG37" i="17"/>
  <c r="BH37" i="17"/>
  <c r="BI37" i="17"/>
  <c r="BC37" i="17" s="1"/>
  <c r="BD37" i="17" s="1"/>
  <c r="BK37" i="17"/>
  <c r="BL37" i="17"/>
  <c r="BM37" i="17"/>
  <c r="BN37" i="17"/>
  <c r="AV37" i="17" s="1"/>
  <c r="BO37" i="17"/>
  <c r="BP37" i="17" s="1"/>
  <c r="BQ37" i="17"/>
  <c r="BR37" i="17"/>
  <c r="BT37" i="17"/>
  <c r="BS37" i="17" s="1"/>
  <c r="BU37" i="17"/>
  <c r="BV37" i="17" s="1"/>
  <c r="BW37" i="17"/>
  <c r="BX37" i="17" s="1"/>
  <c r="BY37" i="17"/>
  <c r="BZ37" i="17"/>
  <c r="CB37" i="17"/>
  <c r="CC37" i="17"/>
  <c r="CD37" i="17" s="1"/>
  <c r="CE37" i="17"/>
  <c r="CF37" i="17"/>
  <c r="CG37" i="17"/>
  <c r="CH37" i="17"/>
  <c r="CI37" i="17"/>
  <c r="CK37" i="17"/>
  <c r="A38" i="17"/>
  <c r="B38" i="17"/>
  <c r="C38" i="17"/>
  <c r="D38" i="17"/>
  <c r="E38" i="17"/>
  <c r="F38" i="17"/>
  <c r="G38" i="17"/>
  <c r="H38" i="17"/>
  <c r="I38" i="17"/>
  <c r="J38" i="17"/>
  <c r="L38" i="17"/>
  <c r="M38" i="17"/>
  <c r="O38" i="17" s="1"/>
  <c r="N38" i="17"/>
  <c r="P38" i="17"/>
  <c r="Q38" i="17"/>
  <c r="R38" i="17" s="1"/>
  <c r="AK38" i="17" s="1"/>
  <c r="V38" i="17"/>
  <c r="W38" i="17"/>
  <c r="X38" i="17" s="1"/>
  <c r="Y38" i="17"/>
  <c r="Z38" i="17"/>
  <c r="AB38" i="17"/>
  <c r="AC38" i="17" s="1"/>
  <c r="AD38" i="17"/>
  <c r="AE38" i="17"/>
  <c r="AF38" i="17"/>
  <c r="AG38" i="17"/>
  <c r="AH38" i="17"/>
  <c r="AI38" i="17"/>
  <c r="AJ38" i="17"/>
  <c r="AL38" i="17"/>
  <c r="AN38" i="17"/>
  <c r="AM38" i="17" s="1"/>
  <c r="AP38" i="17"/>
  <c r="AQ38" i="17"/>
  <c r="AR38" i="17"/>
  <c r="AT38" i="17" s="1"/>
  <c r="AX38" i="17"/>
  <c r="AY38" i="17"/>
  <c r="AZ38" i="17"/>
  <c r="BA38" i="17"/>
  <c r="BF38" i="17" s="1"/>
  <c r="BG38" i="17"/>
  <c r="BH38" i="17" s="1"/>
  <c r="BI38" i="17"/>
  <c r="BJ38" i="17"/>
  <c r="BK38" i="17"/>
  <c r="BL38" i="17"/>
  <c r="BM38" i="17"/>
  <c r="BN38" i="17" s="1"/>
  <c r="BO38" i="17"/>
  <c r="BP38" i="17"/>
  <c r="BR38" i="17"/>
  <c r="BQ38" i="17" s="1"/>
  <c r="BS38" i="17"/>
  <c r="BT38" i="17"/>
  <c r="BU38" i="17"/>
  <c r="BV38" i="17"/>
  <c r="BW38" i="17"/>
  <c r="BX38" i="17"/>
  <c r="BY38" i="17"/>
  <c r="BZ38" i="17" s="1"/>
  <c r="CA38" i="17"/>
  <c r="CB38" i="17"/>
  <c r="CD38" i="17" s="1"/>
  <c r="CC38" i="17"/>
  <c r="CE38" i="17"/>
  <c r="CF38" i="17"/>
  <c r="CG38" i="17"/>
  <c r="CH38" i="17"/>
  <c r="CI38" i="17" s="1"/>
  <c r="CK38" i="17"/>
  <c r="A39" i="17"/>
  <c r="B39" i="17"/>
  <c r="C39" i="17"/>
  <c r="D39" i="17"/>
  <c r="E39" i="17"/>
  <c r="F39" i="17"/>
  <c r="G39" i="17"/>
  <c r="H39" i="17"/>
  <c r="I39" i="17"/>
  <c r="J39" i="17"/>
  <c r="L39" i="17"/>
  <c r="AC39" i="17" s="1"/>
  <c r="M39" i="17"/>
  <c r="N39" i="17"/>
  <c r="O39" i="17"/>
  <c r="P39" i="17"/>
  <c r="Q39" i="17"/>
  <c r="U39" i="17" s="1"/>
  <c r="R39" i="17"/>
  <c r="W39" i="17"/>
  <c r="AA39" i="17" s="1"/>
  <c r="Y39" i="17"/>
  <c r="AB39" i="17"/>
  <c r="AD39" i="17"/>
  <c r="AG39" i="17"/>
  <c r="AI39" i="17" s="1"/>
  <c r="AJ39" i="17"/>
  <c r="AM39" i="17"/>
  <c r="AN39" i="17"/>
  <c r="AO39" i="17"/>
  <c r="AP39" i="17"/>
  <c r="AR39" i="17"/>
  <c r="AU39" i="17"/>
  <c r="AX39" i="17"/>
  <c r="AY39" i="17"/>
  <c r="AZ39" i="17"/>
  <c r="BA39" i="17"/>
  <c r="BB39" i="17"/>
  <c r="BE39" i="17" s="1"/>
  <c r="BG39" i="17"/>
  <c r="BH39" i="17" s="1"/>
  <c r="BI39" i="17"/>
  <c r="BK39" i="17"/>
  <c r="BL39" i="17"/>
  <c r="BM39" i="17"/>
  <c r="BN39" i="17"/>
  <c r="BO39" i="17"/>
  <c r="BR39" i="17"/>
  <c r="BS39" i="17"/>
  <c r="BT39" i="17"/>
  <c r="BU39" i="17"/>
  <c r="BW39" i="17"/>
  <c r="BY39" i="17"/>
  <c r="CB39" i="17"/>
  <c r="CD39" i="17" s="1"/>
  <c r="CC39" i="17"/>
  <c r="CE39" i="17"/>
  <c r="CF39" i="17"/>
  <c r="CG39" i="17"/>
  <c r="CH39" i="17"/>
  <c r="CI39" i="17"/>
  <c r="CK39" i="17"/>
  <c r="A40" i="17"/>
  <c r="B40" i="17"/>
  <c r="C40" i="17"/>
  <c r="D40" i="17"/>
  <c r="E40" i="17"/>
  <c r="F40" i="17"/>
  <c r="G40" i="17"/>
  <c r="H40" i="17"/>
  <c r="I40" i="17"/>
  <c r="J40" i="17"/>
  <c r="L40" i="17"/>
  <c r="AS40" i="17" s="1"/>
  <c r="M40" i="17"/>
  <c r="P40" i="17"/>
  <c r="U40" i="17" s="1"/>
  <c r="Q40" i="17"/>
  <c r="W40" i="17"/>
  <c r="X40" i="17"/>
  <c r="Y40" i="17"/>
  <c r="AB40" i="17"/>
  <c r="AD40" i="17"/>
  <c r="AE40" i="17"/>
  <c r="AG40" i="17"/>
  <c r="AH40" i="17"/>
  <c r="AJ40" i="17"/>
  <c r="AL40" i="17" s="1"/>
  <c r="AN40" i="17"/>
  <c r="AP40" i="17"/>
  <c r="AQ40" i="17" s="1"/>
  <c r="AR40" i="17"/>
  <c r="AT40" i="17"/>
  <c r="AX40" i="17"/>
  <c r="AY40" i="17"/>
  <c r="AZ40" i="17"/>
  <c r="BA40" i="17"/>
  <c r="BF40" i="17"/>
  <c r="BG40" i="17"/>
  <c r="BH40" i="17"/>
  <c r="BI40" i="17"/>
  <c r="BK40" i="17"/>
  <c r="BL40" i="17"/>
  <c r="BM40" i="17"/>
  <c r="BO40" i="17"/>
  <c r="BP40" i="17" s="1"/>
  <c r="BR40" i="17"/>
  <c r="BQ40" i="17" s="1"/>
  <c r="BT40" i="17"/>
  <c r="BU40" i="17"/>
  <c r="BV40" i="17" s="1"/>
  <c r="BW40" i="17"/>
  <c r="BY40" i="17"/>
  <c r="BZ40" i="17"/>
  <c r="CB40" i="17"/>
  <c r="CC40" i="17"/>
  <c r="CD40" i="17"/>
  <c r="CE40" i="17"/>
  <c r="CF40" i="17"/>
  <c r="CG40" i="17"/>
  <c r="CI40" i="17" s="1"/>
  <c r="CH40" i="17"/>
  <c r="CK40" i="17"/>
  <c r="A41" i="17"/>
  <c r="B41" i="17"/>
  <c r="C41" i="17"/>
  <c r="D41" i="17"/>
  <c r="E41" i="17"/>
  <c r="F41" i="17"/>
  <c r="G41" i="17"/>
  <c r="H41" i="17"/>
  <c r="I41" i="17"/>
  <c r="J41" i="17"/>
  <c r="L41" i="17"/>
  <c r="M41" i="17"/>
  <c r="O41" i="17" s="1"/>
  <c r="P41" i="17"/>
  <c r="Q41" i="17"/>
  <c r="T41" i="17" s="1"/>
  <c r="S41" i="17"/>
  <c r="W41" i="17"/>
  <c r="X41" i="17" s="1"/>
  <c r="Y41" i="17"/>
  <c r="Z41" i="17" s="1"/>
  <c r="AB41" i="17"/>
  <c r="AC41" i="17"/>
  <c r="AD41" i="17"/>
  <c r="AE41" i="17"/>
  <c r="AF41" i="17"/>
  <c r="AG41" i="17"/>
  <c r="AH41" i="17"/>
  <c r="AI41" i="17"/>
  <c r="AJ41" i="17"/>
  <c r="AL41" i="17"/>
  <c r="AN41" i="17"/>
  <c r="AM41" i="17" s="1"/>
  <c r="AO41" i="17"/>
  <c r="AP41" i="17"/>
  <c r="AQ41" i="17"/>
  <c r="AR41" i="17"/>
  <c r="AU41" i="17" s="1"/>
  <c r="AX41" i="17"/>
  <c r="AY41" i="17"/>
  <c r="AZ41" i="17"/>
  <c r="BA41" i="17"/>
  <c r="BC41" i="17" s="1"/>
  <c r="BD41" i="17" s="1"/>
  <c r="BG41" i="17"/>
  <c r="BH41" i="17" s="1"/>
  <c r="BI41" i="17"/>
  <c r="BJ41" i="17" s="1"/>
  <c r="BK41" i="17"/>
  <c r="BL41" i="17"/>
  <c r="BM41" i="17"/>
  <c r="BN41" i="17" s="1"/>
  <c r="BO41" i="17"/>
  <c r="BP41" i="17"/>
  <c r="BR41" i="17"/>
  <c r="BQ41" i="17" s="1"/>
  <c r="BS41" i="17"/>
  <c r="BT41" i="17"/>
  <c r="BU41" i="17"/>
  <c r="BV41" i="17"/>
  <c r="BW41" i="17"/>
  <c r="BX41" i="17"/>
  <c r="BY41" i="17"/>
  <c r="BZ41" i="17" s="1"/>
  <c r="CA41" i="17"/>
  <c r="CB41" i="17"/>
  <c r="CD41" i="17" s="1"/>
  <c r="CC41" i="17"/>
  <c r="CE41" i="17"/>
  <c r="CF41" i="17"/>
  <c r="CG41" i="17"/>
  <c r="CH41" i="17"/>
  <c r="CK41" i="17"/>
  <c r="A42" i="17"/>
  <c r="B42" i="17"/>
  <c r="C42" i="17"/>
  <c r="D42" i="17"/>
  <c r="E42" i="17"/>
  <c r="F42" i="17"/>
  <c r="G42" i="17"/>
  <c r="H42" i="17"/>
  <c r="I42" i="17"/>
  <c r="J42" i="17"/>
  <c r="L42" i="17"/>
  <c r="BQ42" i="17" s="1"/>
  <c r="M42" i="17"/>
  <c r="N42" i="17"/>
  <c r="P42" i="17"/>
  <c r="S42" i="17" s="1"/>
  <c r="Q42" i="17"/>
  <c r="V42" i="17" s="1"/>
  <c r="R42" i="17"/>
  <c r="T42" i="17"/>
  <c r="U42" i="17"/>
  <c r="W42" i="17"/>
  <c r="Y42" i="17"/>
  <c r="Z42" i="17"/>
  <c r="AA42" i="17"/>
  <c r="AB42" i="17"/>
  <c r="AD42" i="17"/>
  <c r="AF42" i="17" s="1"/>
  <c r="AG42" i="17"/>
  <c r="AJ42" i="17"/>
  <c r="AK42" i="17" s="1"/>
  <c r="AN42" i="17"/>
  <c r="AP42" i="17"/>
  <c r="AR42" i="17"/>
  <c r="AU42" i="17" s="1"/>
  <c r="AX42" i="17"/>
  <c r="AY42" i="17"/>
  <c r="AZ42" i="17"/>
  <c r="BA42" i="17"/>
  <c r="BC42" i="17" s="1"/>
  <c r="BD42" i="17" s="1"/>
  <c r="BB42" i="17"/>
  <c r="BG42" i="17"/>
  <c r="BI42" i="17"/>
  <c r="BJ42" i="17"/>
  <c r="BK42" i="17"/>
  <c r="BL42" i="17"/>
  <c r="BM42" i="17"/>
  <c r="BO42" i="17"/>
  <c r="BP42" i="17"/>
  <c r="BR42" i="17"/>
  <c r="BT42" i="17"/>
  <c r="BU42" i="17"/>
  <c r="BV42" i="17"/>
  <c r="BW42" i="17"/>
  <c r="BY42" i="17"/>
  <c r="CB42" i="17"/>
  <c r="CD42" i="17" s="1"/>
  <c r="CC42" i="17"/>
  <c r="CE42" i="17"/>
  <c r="CF42" i="17"/>
  <c r="CG42" i="17"/>
  <c r="CH42" i="17"/>
  <c r="CI42" i="17"/>
  <c r="CK42" i="17"/>
  <c r="A43" i="17"/>
  <c r="B43" i="17"/>
  <c r="C43" i="17"/>
  <c r="D43" i="17"/>
  <c r="E43" i="17"/>
  <c r="F43" i="17"/>
  <c r="G43" i="17"/>
  <c r="H43" i="17"/>
  <c r="I43" i="17"/>
  <c r="J43" i="17"/>
  <c r="L43" i="17"/>
  <c r="M43" i="17"/>
  <c r="N43" i="17" s="1"/>
  <c r="O43" i="17"/>
  <c r="P43" i="17"/>
  <c r="S43" i="17" s="1"/>
  <c r="Q43" i="17"/>
  <c r="R43" i="17"/>
  <c r="V43" i="17"/>
  <c r="W43" i="17"/>
  <c r="X43" i="17"/>
  <c r="Y43" i="17"/>
  <c r="Z43" i="17" s="1"/>
  <c r="AA43" i="17"/>
  <c r="AB43" i="17"/>
  <c r="AC43" i="17" s="1"/>
  <c r="AD43" i="17"/>
  <c r="AF43" i="17" s="1"/>
  <c r="AE43" i="17"/>
  <c r="AG43" i="17"/>
  <c r="AI43" i="17" s="1"/>
  <c r="AH43" i="17"/>
  <c r="AJ43" i="17"/>
  <c r="AL43" i="17" s="1"/>
  <c r="AK43" i="17"/>
  <c r="AM43" i="17"/>
  <c r="AN43" i="17"/>
  <c r="AO43" i="17" s="1"/>
  <c r="BE43" i="17" s="1"/>
  <c r="AP43" i="17"/>
  <c r="AQ43" i="17"/>
  <c r="AR43" i="17"/>
  <c r="AS43" i="17"/>
  <c r="AT43" i="17"/>
  <c r="AW43" i="17"/>
  <c r="AX43" i="17"/>
  <c r="AY43" i="17"/>
  <c r="AZ43" i="17"/>
  <c r="BA43" i="17"/>
  <c r="BB43" i="17"/>
  <c r="BF43" i="17"/>
  <c r="BG43" i="17"/>
  <c r="BH43" i="17"/>
  <c r="BI43" i="17"/>
  <c r="BC43" i="17" s="1"/>
  <c r="BD43" i="17" s="1"/>
  <c r="BK43" i="17"/>
  <c r="BL43" i="17"/>
  <c r="BM43" i="17"/>
  <c r="BN43" i="17"/>
  <c r="AV43" i="17" s="1"/>
  <c r="BO43" i="17"/>
  <c r="BP43" i="17" s="1"/>
  <c r="BQ43" i="17"/>
  <c r="BR43" i="17"/>
  <c r="BT43" i="17"/>
  <c r="BS43" i="17" s="1"/>
  <c r="BU43" i="17"/>
  <c r="BV43" i="17" s="1"/>
  <c r="BW43" i="17"/>
  <c r="BX43" i="17" s="1"/>
  <c r="BY43" i="17"/>
  <c r="BZ43" i="17"/>
  <c r="CB43" i="17"/>
  <c r="CC43" i="17"/>
  <c r="CD43" i="17" s="1"/>
  <c r="CE43" i="17"/>
  <c r="CF43" i="17"/>
  <c r="CG43" i="17"/>
  <c r="CI43" i="17" s="1"/>
  <c r="CH43" i="17"/>
  <c r="CK43" i="17"/>
  <c r="A44" i="17"/>
  <c r="B44" i="17"/>
  <c r="C44" i="17"/>
  <c r="D44" i="17"/>
  <c r="E44" i="17"/>
  <c r="F44" i="17"/>
  <c r="G44" i="17"/>
  <c r="H44" i="17"/>
  <c r="I44" i="17"/>
  <c r="J44" i="17"/>
  <c r="L44" i="17"/>
  <c r="M44" i="17"/>
  <c r="O44" i="17" s="1"/>
  <c r="N44" i="17"/>
  <c r="P44" i="17"/>
  <c r="Q44" i="17"/>
  <c r="R44" i="17" s="1"/>
  <c r="AK44" i="17" s="1"/>
  <c r="V44" i="17"/>
  <c r="W44" i="17"/>
  <c r="X44" i="17" s="1"/>
  <c r="Y44" i="17"/>
  <c r="Z44" i="17"/>
  <c r="AB44" i="17"/>
  <c r="AC44" i="17" s="1"/>
  <c r="AD44" i="17"/>
  <c r="AE44" i="17"/>
  <c r="AF44" i="17"/>
  <c r="AG44" i="17"/>
  <c r="AH44" i="17"/>
  <c r="AI44" i="17"/>
  <c r="AJ44" i="17"/>
  <c r="AL44" i="17"/>
  <c r="AN44" i="17"/>
  <c r="AM44" i="17" s="1"/>
  <c r="AP44" i="17"/>
  <c r="AQ44" i="17"/>
  <c r="AR44" i="17"/>
  <c r="AT44" i="17" s="1"/>
  <c r="AX44" i="17"/>
  <c r="AY44" i="17"/>
  <c r="AZ44" i="17"/>
  <c r="BA44" i="17"/>
  <c r="BF44" i="17" s="1"/>
  <c r="BG44" i="17"/>
  <c r="BH44" i="17" s="1"/>
  <c r="BI44" i="17"/>
  <c r="BJ44" i="17"/>
  <c r="BK44" i="17"/>
  <c r="BL44" i="17"/>
  <c r="BM44" i="17"/>
  <c r="BN44" i="17" s="1"/>
  <c r="BO44" i="17"/>
  <c r="BP44" i="17"/>
  <c r="BR44" i="17"/>
  <c r="BQ44" i="17" s="1"/>
  <c r="BS44" i="17"/>
  <c r="BT44" i="17"/>
  <c r="BU44" i="17"/>
  <c r="BV44" i="17"/>
  <c r="BW44" i="17"/>
  <c r="BX44" i="17"/>
  <c r="BY44" i="17"/>
  <c r="BZ44" i="17" s="1"/>
  <c r="CA44" i="17"/>
  <c r="CB44" i="17"/>
  <c r="CD44" i="17" s="1"/>
  <c r="CC44" i="17"/>
  <c r="CE44" i="17"/>
  <c r="CF44" i="17"/>
  <c r="CG44" i="17"/>
  <c r="CH44" i="17"/>
  <c r="CI44" i="17" s="1"/>
  <c r="CK44" i="17"/>
  <c r="A45" i="17"/>
  <c r="B45" i="17"/>
  <c r="C45" i="17"/>
  <c r="D45" i="17"/>
  <c r="E45" i="17"/>
  <c r="F45" i="17"/>
  <c r="G45" i="17"/>
  <c r="H45" i="17"/>
  <c r="I45" i="17"/>
  <c r="J45" i="17"/>
  <c r="L45" i="17"/>
  <c r="AC45" i="17" s="1"/>
  <c r="M45" i="17"/>
  <c r="N45" i="17"/>
  <c r="O45" i="17"/>
  <c r="P45" i="17"/>
  <c r="Q45" i="17"/>
  <c r="U45" i="17" s="1"/>
  <c r="R45" i="17"/>
  <c r="W45" i="17"/>
  <c r="AA45" i="17" s="1"/>
  <c r="X45" i="17"/>
  <c r="Y45" i="17"/>
  <c r="AB45" i="17"/>
  <c r="AD45" i="17"/>
  <c r="AG45" i="17"/>
  <c r="AI45" i="17" s="1"/>
  <c r="AJ45" i="17"/>
  <c r="AM45" i="17"/>
  <c r="AN45" i="17"/>
  <c r="AO45" i="17"/>
  <c r="AP45" i="17"/>
  <c r="AR45" i="17"/>
  <c r="AU45" i="17"/>
  <c r="AX45" i="17"/>
  <c r="AY45" i="17"/>
  <c r="AZ45" i="17"/>
  <c r="BA45" i="17"/>
  <c r="BB45" i="17"/>
  <c r="BE45" i="17" s="1"/>
  <c r="BG45" i="17"/>
  <c r="BH45" i="17"/>
  <c r="BI45" i="17"/>
  <c r="BK45" i="17"/>
  <c r="BL45" i="17"/>
  <c r="BM45" i="17"/>
  <c r="BN45" i="17"/>
  <c r="BO45" i="17"/>
  <c r="BQ45" i="17"/>
  <c r="BR45" i="17"/>
  <c r="BS45" i="17"/>
  <c r="BT45" i="17"/>
  <c r="BU45" i="17"/>
  <c r="BW45" i="17"/>
  <c r="BY45" i="17"/>
  <c r="BZ45" i="17" s="1"/>
  <c r="CB45" i="17"/>
  <c r="CD45" i="17" s="1"/>
  <c r="CC45" i="17"/>
  <c r="CE45" i="17"/>
  <c r="CF45" i="17"/>
  <c r="CG45" i="17"/>
  <c r="CH45" i="17"/>
  <c r="CI45" i="17"/>
  <c r="CK45" i="17"/>
  <c r="A46" i="17"/>
  <c r="B46" i="17"/>
  <c r="C46" i="17"/>
  <c r="D46" i="17"/>
  <c r="E46" i="17"/>
  <c r="F46" i="17"/>
  <c r="G46" i="17"/>
  <c r="H46" i="17"/>
  <c r="I46" i="17"/>
  <c r="J46" i="17"/>
  <c r="L46" i="17"/>
  <c r="BH46" i="17" s="1"/>
  <c r="M46" i="17"/>
  <c r="P46" i="17"/>
  <c r="S46" i="17" s="1"/>
  <c r="T46" i="17" s="1"/>
  <c r="Q46" i="17"/>
  <c r="R46" i="17"/>
  <c r="AK46" i="17" s="1"/>
  <c r="W46" i="17"/>
  <c r="X46" i="17"/>
  <c r="Y46" i="17"/>
  <c r="Z46" i="17" s="1"/>
  <c r="AB46" i="17"/>
  <c r="AC46" i="17" s="1"/>
  <c r="AD46" i="17"/>
  <c r="AE46" i="17"/>
  <c r="AG46" i="17"/>
  <c r="AH46" i="17" s="1"/>
  <c r="AJ46" i="17"/>
  <c r="AN46" i="17"/>
  <c r="AO46" i="17" s="1"/>
  <c r="AP46" i="17"/>
  <c r="AT46" i="17" s="1"/>
  <c r="AR46" i="17"/>
  <c r="AS46" i="17"/>
  <c r="AV46" i="17"/>
  <c r="AW46" i="17"/>
  <c r="AX46" i="17"/>
  <c r="AY46" i="17"/>
  <c r="AZ46" i="17"/>
  <c r="BA46" i="17"/>
  <c r="BB46" i="17"/>
  <c r="BE46" i="17" s="1"/>
  <c r="BF46" i="17"/>
  <c r="BG46" i="17"/>
  <c r="BI46" i="17"/>
  <c r="BC46" i="17" s="1"/>
  <c r="BD46" i="17" s="1"/>
  <c r="BK46" i="17"/>
  <c r="BL46" i="17"/>
  <c r="BM46" i="17"/>
  <c r="BN46" i="17"/>
  <c r="BO46" i="17"/>
  <c r="BR46" i="17"/>
  <c r="BQ46" i="17" s="1"/>
  <c r="BT46" i="17"/>
  <c r="BS46" i="17" s="1"/>
  <c r="BU46" i="17"/>
  <c r="BV46" i="17" s="1"/>
  <c r="BW46" i="17"/>
  <c r="BX46" i="17" s="1"/>
  <c r="BY46" i="17"/>
  <c r="BZ46" i="17"/>
  <c r="CA46" i="17"/>
  <c r="CB46" i="17"/>
  <c r="CC46" i="17"/>
  <c r="CD46" i="17" s="1"/>
  <c r="CE46" i="17"/>
  <c r="CF46" i="17"/>
  <c r="CG46" i="17"/>
  <c r="CI46" i="17" s="1"/>
  <c r="CH46" i="17"/>
  <c r="CK46" i="17"/>
  <c r="A47" i="17"/>
  <c r="B47" i="17"/>
  <c r="C47" i="17"/>
  <c r="D47" i="17"/>
  <c r="E47" i="17"/>
  <c r="F47" i="17"/>
  <c r="G47" i="17"/>
  <c r="H47" i="17"/>
  <c r="I47" i="17"/>
  <c r="J47" i="17"/>
  <c r="L47" i="17"/>
  <c r="M47" i="17"/>
  <c r="O47" i="17" s="1"/>
  <c r="P47" i="17"/>
  <c r="S47" i="17" s="1"/>
  <c r="T47" i="17" s="1"/>
  <c r="Q47" i="17"/>
  <c r="R47" i="17" s="1"/>
  <c r="V47" i="17"/>
  <c r="W47" i="17"/>
  <c r="X47" i="17" s="1"/>
  <c r="Y47" i="17"/>
  <c r="Z47" i="17"/>
  <c r="AB47" i="17"/>
  <c r="AC47" i="17"/>
  <c r="AD47" i="17"/>
  <c r="AE47" i="17"/>
  <c r="AF47" i="17"/>
  <c r="AG47" i="17"/>
  <c r="AH47" i="17"/>
  <c r="AI47" i="17"/>
  <c r="AJ47" i="17"/>
  <c r="AK47" i="17"/>
  <c r="AL47" i="17"/>
  <c r="AN47" i="17"/>
  <c r="AM47" i="17" s="1"/>
  <c r="AP47" i="17"/>
  <c r="AQ47" i="17"/>
  <c r="AR47" i="17"/>
  <c r="AS47" i="17" s="1"/>
  <c r="AX47" i="17"/>
  <c r="AY47" i="17"/>
  <c r="AZ47" i="17"/>
  <c r="BA47" i="17"/>
  <c r="BB47" i="17" s="1"/>
  <c r="BF47" i="17"/>
  <c r="BG47" i="17"/>
  <c r="BH47" i="17" s="1"/>
  <c r="BI47" i="17"/>
  <c r="BJ47" i="17" s="1"/>
  <c r="BK47" i="17"/>
  <c r="BL47" i="17"/>
  <c r="BM47" i="17"/>
  <c r="BN47" i="17" s="1"/>
  <c r="AV47" i="17" s="1"/>
  <c r="BO47" i="17"/>
  <c r="BP47" i="17" s="1"/>
  <c r="BR47" i="17"/>
  <c r="BQ47" i="17" s="1"/>
  <c r="BS47" i="17"/>
  <c r="BT47" i="17"/>
  <c r="BU47" i="17"/>
  <c r="CA47" i="17" s="1"/>
  <c r="BV47" i="17"/>
  <c r="BW47" i="17"/>
  <c r="BX47" i="17"/>
  <c r="BY47" i="17"/>
  <c r="BZ47" i="17" s="1"/>
  <c r="CB47" i="17"/>
  <c r="CD47" i="17" s="1"/>
  <c r="CC47" i="17"/>
  <c r="CE47" i="17"/>
  <c r="CF47" i="17"/>
  <c r="CG47" i="17"/>
  <c r="CH47" i="17"/>
  <c r="CI47" i="17" s="1"/>
  <c r="CK47" i="17"/>
  <c r="A48" i="17"/>
  <c r="B48" i="17"/>
  <c r="C48" i="17"/>
  <c r="D48" i="17"/>
  <c r="E48" i="17"/>
  <c r="F48" i="17"/>
  <c r="G48" i="17"/>
  <c r="H48" i="17"/>
  <c r="I48" i="17"/>
  <c r="J48" i="17"/>
  <c r="L48" i="17"/>
  <c r="BH48" i="17" s="1"/>
  <c r="M48" i="17"/>
  <c r="N48" i="17"/>
  <c r="P48" i="17"/>
  <c r="Q48" i="17"/>
  <c r="V48" i="17" s="1"/>
  <c r="W48" i="17"/>
  <c r="X48" i="17"/>
  <c r="Y48" i="17"/>
  <c r="Z48" i="17"/>
  <c r="AA48" i="17"/>
  <c r="AB48" i="17"/>
  <c r="AD48" i="17"/>
  <c r="AE48" i="17" s="1"/>
  <c r="AF48" i="17"/>
  <c r="AG48" i="17"/>
  <c r="AJ48" i="17"/>
  <c r="AL48" i="17" s="1"/>
  <c r="AM48" i="17"/>
  <c r="AN48" i="17"/>
  <c r="AO48" i="17"/>
  <c r="AP48" i="17"/>
  <c r="AR48" i="17"/>
  <c r="AS48" i="17" s="1"/>
  <c r="AU48" i="17"/>
  <c r="AX48" i="17"/>
  <c r="AY48" i="17"/>
  <c r="AZ48" i="17"/>
  <c r="BA48" i="17"/>
  <c r="BB48" i="17"/>
  <c r="BE48" i="17" s="1"/>
  <c r="BG48" i="17"/>
  <c r="BI48" i="17"/>
  <c r="BJ48" i="17"/>
  <c r="BK48" i="17"/>
  <c r="BL48" i="17"/>
  <c r="BM48" i="17"/>
  <c r="BO48" i="17"/>
  <c r="BP48" i="17"/>
  <c r="BQ48" i="17"/>
  <c r="BR48" i="17"/>
  <c r="BT48" i="17"/>
  <c r="BS48" i="17" s="1"/>
  <c r="BU48" i="17"/>
  <c r="BV48" i="17"/>
  <c r="BW48" i="17"/>
  <c r="BY48" i="17"/>
  <c r="BZ48" i="17" s="1"/>
  <c r="CB48" i="17"/>
  <c r="CD48" i="17" s="1"/>
  <c r="CC48" i="17"/>
  <c r="CE48" i="17"/>
  <c r="CF48" i="17"/>
  <c r="CG48" i="17"/>
  <c r="CH48" i="17"/>
  <c r="CI48" i="17"/>
  <c r="CK48" i="17"/>
  <c r="A49" i="17"/>
  <c r="B49" i="17"/>
  <c r="C49" i="17"/>
  <c r="D49" i="17"/>
  <c r="E49" i="17"/>
  <c r="F49" i="17"/>
  <c r="G49" i="17"/>
  <c r="H49" i="17"/>
  <c r="I49" i="17"/>
  <c r="J49" i="17"/>
  <c r="L49" i="17"/>
  <c r="R49" i="17" s="1"/>
  <c r="M49" i="17"/>
  <c r="N49" i="17" s="1"/>
  <c r="O49" i="17"/>
  <c r="P49" i="17"/>
  <c r="S49" i="17" s="1"/>
  <c r="Q49" i="17"/>
  <c r="W49" i="17"/>
  <c r="X49" i="17"/>
  <c r="Y49" i="17"/>
  <c r="AA49" i="17"/>
  <c r="AB49" i="17"/>
  <c r="AD49" i="17"/>
  <c r="AF49" i="17" s="1"/>
  <c r="AE49" i="17"/>
  <c r="AG49" i="17"/>
  <c r="AJ49" i="17"/>
  <c r="AN49" i="17"/>
  <c r="AO49" i="17" s="1"/>
  <c r="AP49" i="17"/>
  <c r="AQ49" i="17" s="1"/>
  <c r="AR49" i="17"/>
  <c r="AT49" i="17"/>
  <c r="AX49" i="17"/>
  <c r="AY49" i="17"/>
  <c r="AZ49" i="17"/>
  <c r="BA49" i="17"/>
  <c r="BB49" i="17"/>
  <c r="BE49" i="17" s="1"/>
  <c r="BF49" i="17"/>
  <c r="BG49" i="17"/>
  <c r="BH49" i="17"/>
  <c r="BI49" i="17"/>
  <c r="BC49" i="17" s="1"/>
  <c r="BD49" i="17" s="1"/>
  <c r="BK49" i="17"/>
  <c r="BL49" i="17"/>
  <c r="BM49" i="17"/>
  <c r="BO49" i="17"/>
  <c r="BP49" i="17" s="1"/>
  <c r="BQ49" i="17"/>
  <c r="BR49" i="17"/>
  <c r="BT49" i="17"/>
  <c r="BS49" i="17" s="1"/>
  <c r="BU49" i="17"/>
  <c r="BV49" i="17" s="1"/>
  <c r="BW49" i="17"/>
  <c r="BX49" i="17"/>
  <c r="BY49" i="17"/>
  <c r="BZ49" i="17"/>
  <c r="CB49" i="17"/>
  <c r="CC49" i="17"/>
  <c r="CD49" i="17"/>
  <c r="CE49" i="17"/>
  <c r="CF49" i="17"/>
  <c r="CG49" i="17"/>
  <c r="CI49" i="17" s="1"/>
  <c r="CH49" i="17"/>
  <c r="CK49" i="17"/>
  <c r="A50" i="17"/>
  <c r="B50" i="17"/>
  <c r="C50" i="17"/>
  <c r="D50" i="17"/>
  <c r="E50" i="17"/>
  <c r="F50" i="17"/>
  <c r="G50" i="17"/>
  <c r="H50" i="17"/>
  <c r="I50" i="17"/>
  <c r="J50" i="17"/>
  <c r="L50" i="17"/>
  <c r="M50" i="17"/>
  <c r="O50" i="17" s="1"/>
  <c r="P50" i="17"/>
  <c r="U50" i="17" s="1"/>
  <c r="Q50" i="17"/>
  <c r="R50" i="17" s="1"/>
  <c r="S50" i="17"/>
  <c r="T50" i="17" s="1"/>
  <c r="V50" i="17"/>
  <c r="W50" i="17"/>
  <c r="X50" i="17" s="1"/>
  <c r="Y50" i="17"/>
  <c r="Z50" i="17" s="1"/>
  <c r="AB50" i="17"/>
  <c r="AC50" i="17" s="1"/>
  <c r="AD50" i="17"/>
  <c r="AE50" i="17"/>
  <c r="AF50" i="17"/>
  <c r="AG50" i="17"/>
  <c r="AH50" i="17"/>
  <c r="AI50" i="17"/>
  <c r="AJ50" i="17"/>
  <c r="AK50" i="17"/>
  <c r="AL50" i="17"/>
  <c r="AN50" i="17"/>
  <c r="AM50" i="17" s="1"/>
  <c r="AO50" i="17"/>
  <c r="AP50" i="17"/>
  <c r="AQ50" i="17"/>
  <c r="AR50" i="17"/>
  <c r="AS50" i="17" s="1"/>
  <c r="AW50" i="17"/>
  <c r="AX50" i="17"/>
  <c r="AY50" i="17"/>
  <c r="AZ50" i="17"/>
  <c r="BA50" i="17"/>
  <c r="BB50" i="17" s="1"/>
  <c r="BF50" i="17"/>
  <c r="BG50" i="17"/>
  <c r="BH50" i="17" s="1"/>
  <c r="BI50" i="17"/>
  <c r="BJ50" i="17" s="1"/>
  <c r="BK50" i="17"/>
  <c r="BL50" i="17"/>
  <c r="BM50" i="17"/>
  <c r="BN50" i="17" s="1"/>
  <c r="AV50" i="17" s="1"/>
  <c r="BO50" i="17"/>
  <c r="BP50" i="17" s="1"/>
  <c r="BR50" i="17"/>
  <c r="BQ50" i="17" s="1"/>
  <c r="BT50" i="17"/>
  <c r="BS50" i="17" s="1"/>
  <c r="BU50" i="17"/>
  <c r="BV50" i="17" s="1"/>
  <c r="BW50" i="17"/>
  <c r="BX50" i="17"/>
  <c r="BY50" i="17"/>
  <c r="BZ50" i="17"/>
  <c r="CA50" i="17"/>
  <c r="CB50" i="17"/>
  <c r="CD50" i="17" s="1"/>
  <c r="CC50" i="17"/>
  <c r="CE50" i="17"/>
  <c r="CF50" i="17"/>
  <c r="CG50" i="17"/>
  <c r="CH50" i="17"/>
  <c r="CK50" i="17"/>
  <c r="A51" i="17"/>
  <c r="B51" i="17"/>
  <c r="C51" i="17"/>
  <c r="D51" i="17"/>
  <c r="E51" i="17"/>
  <c r="F51" i="17"/>
  <c r="G51" i="17"/>
  <c r="H51" i="17"/>
  <c r="I51" i="17"/>
  <c r="J51" i="17"/>
  <c r="L51" i="17"/>
  <c r="AM51" i="17" s="1"/>
  <c r="M51" i="17"/>
  <c r="N51" i="17"/>
  <c r="O51" i="17"/>
  <c r="P51" i="17"/>
  <c r="Q51" i="17"/>
  <c r="V51" i="17" s="1"/>
  <c r="U51" i="17"/>
  <c r="W51" i="17"/>
  <c r="X51" i="17" s="1"/>
  <c r="Y51" i="17"/>
  <c r="Z51" i="17" s="1"/>
  <c r="AA51" i="17"/>
  <c r="AB51" i="17"/>
  <c r="AC51" i="17"/>
  <c r="AD51" i="17"/>
  <c r="AE51" i="17" s="1"/>
  <c r="AG51" i="17"/>
  <c r="AH51" i="17" s="1"/>
  <c r="AJ51" i="17"/>
  <c r="AN51" i="17"/>
  <c r="AO51" i="17"/>
  <c r="AP51" i="17"/>
  <c r="AT51" i="17" s="1"/>
  <c r="AR51" i="17"/>
  <c r="AS51" i="17" s="1"/>
  <c r="AU51" i="17"/>
  <c r="AX51" i="17"/>
  <c r="AY51" i="17"/>
  <c r="AZ51" i="17"/>
  <c r="BA51" i="17"/>
  <c r="BF51" i="17" s="1"/>
  <c r="BG51" i="17"/>
  <c r="BH51" i="17"/>
  <c r="BI51" i="17"/>
  <c r="BJ51" i="17" s="1"/>
  <c r="BK51" i="17"/>
  <c r="BL51" i="17"/>
  <c r="BM51" i="17"/>
  <c r="BN51" i="17"/>
  <c r="AV51" i="17" s="1"/>
  <c r="BO51" i="17"/>
  <c r="BP51" i="17" s="1"/>
  <c r="BQ51" i="17"/>
  <c r="BR51" i="17"/>
  <c r="BT51" i="17"/>
  <c r="BS51" i="17" s="1"/>
  <c r="BU51" i="17"/>
  <c r="BV51" i="17" s="1"/>
  <c r="BW51" i="17"/>
  <c r="BX51" i="17" s="1"/>
  <c r="BY51" i="17"/>
  <c r="BZ51" i="17" s="1"/>
  <c r="CA51" i="17"/>
  <c r="CB51" i="17"/>
  <c r="CD51" i="17" s="1"/>
  <c r="CC51" i="17"/>
  <c r="CE51" i="17"/>
  <c r="CF51" i="17"/>
  <c r="CG51" i="17"/>
  <c r="CH51" i="17"/>
  <c r="CI51" i="17" s="1"/>
  <c r="CK51" i="17"/>
  <c r="A52" i="17"/>
  <c r="B52" i="17"/>
  <c r="C52" i="17"/>
  <c r="D52" i="17"/>
  <c r="E52" i="17"/>
  <c r="F52" i="17"/>
  <c r="G52" i="17"/>
  <c r="H52" i="17"/>
  <c r="I52" i="17"/>
  <c r="J52" i="17"/>
  <c r="L52" i="17"/>
  <c r="M52" i="17"/>
  <c r="N52" i="17" s="1"/>
  <c r="P52" i="17"/>
  <c r="Q52" i="17"/>
  <c r="R52" i="17"/>
  <c r="S52" i="17"/>
  <c r="T52" i="17" s="1"/>
  <c r="U52" i="17"/>
  <c r="V52" i="17"/>
  <c r="W52" i="17"/>
  <c r="X52" i="17"/>
  <c r="Y52" i="17"/>
  <c r="Z52" i="17" s="1"/>
  <c r="AB52" i="17"/>
  <c r="AD52" i="17"/>
  <c r="AE52" i="17" s="1"/>
  <c r="AG52" i="17"/>
  <c r="AI52" i="17" s="1"/>
  <c r="AJ52" i="17"/>
  <c r="AK52" i="17"/>
  <c r="AL52" i="17"/>
  <c r="AN52" i="17"/>
  <c r="AP52" i="17"/>
  <c r="AQ52" i="17" s="1"/>
  <c r="AR52" i="17"/>
  <c r="AX52" i="17"/>
  <c r="AY52" i="17"/>
  <c r="AZ52" i="17"/>
  <c r="BA52" i="17"/>
  <c r="BF52" i="17"/>
  <c r="BG52" i="17"/>
  <c r="BI52" i="17"/>
  <c r="BJ52" i="17" s="1"/>
  <c r="BK52" i="17"/>
  <c r="BL52" i="17"/>
  <c r="BM52" i="17"/>
  <c r="BO52" i="17"/>
  <c r="BP52" i="17" s="1"/>
  <c r="BQ52" i="17"/>
  <c r="BR52" i="17"/>
  <c r="BT52" i="17"/>
  <c r="BU52" i="17"/>
  <c r="BV52" i="17" s="1"/>
  <c r="BW52" i="17"/>
  <c r="BX52" i="17"/>
  <c r="BY52" i="17"/>
  <c r="CA52" i="17"/>
  <c r="CB52" i="17"/>
  <c r="CC52" i="17"/>
  <c r="CD52" i="17"/>
  <c r="CE52" i="17"/>
  <c r="CF52" i="17"/>
  <c r="CG52" i="17"/>
  <c r="CH52" i="17"/>
  <c r="CI52" i="17" s="1"/>
  <c r="CK52" i="17"/>
  <c r="A53" i="17"/>
  <c r="B53" i="17"/>
  <c r="C53" i="17"/>
  <c r="D53" i="17"/>
  <c r="E53" i="17"/>
  <c r="F53" i="17"/>
  <c r="G53" i="17"/>
  <c r="H53" i="17"/>
  <c r="I53" i="17"/>
  <c r="J53" i="17"/>
  <c r="L53" i="17"/>
  <c r="M53" i="17"/>
  <c r="N53" i="17" s="1"/>
  <c r="P53" i="17"/>
  <c r="Q53" i="17"/>
  <c r="R53" i="17" s="1"/>
  <c r="W53" i="17"/>
  <c r="X53" i="17"/>
  <c r="Y53" i="17"/>
  <c r="AA53" i="17" s="1"/>
  <c r="AB53" i="17"/>
  <c r="AC53" i="17" s="1"/>
  <c r="AD53" i="17"/>
  <c r="AE53" i="17" s="1"/>
  <c r="AG53" i="17"/>
  <c r="AH53" i="17" s="1"/>
  <c r="AJ53" i="17"/>
  <c r="AK53" i="17" s="1"/>
  <c r="AM53" i="17"/>
  <c r="AN53" i="17"/>
  <c r="AO53" i="17" s="1"/>
  <c r="AP53" i="17"/>
  <c r="AT53" i="17" s="1"/>
  <c r="AR53" i="17"/>
  <c r="AS53" i="17" s="1"/>
  <c r="AX53" i="17"/>
  <c r="AY53" i="17"/>
  <c r="AZ53" i="17"/>
  <c r="BA53" i="17"/>
  <c r="BB53" i="17"/>
  <c r="BE53" i="17" s="1"/>
  <c r="BF53" i="17"/>
  <c r="BG53" i="17"/>
  <c r="BH53" i="17"/>
  <c r="BI53" i="17"/>
  <c r="AU53" i="17" s="1"/>
  <c r="BK53" i="17"/>
  <c r="BL53" i="17"/>
  <c r="BM53" i="17"/>
  <c r="BN53" i="17"/>
  <c r="AV53" i="17" s="1"/>
  <c r="BO53" i="17"/>
  <c r="BP53" i="17" s="1"/>
  <c r="BR53" i="17"/>
  <c r="BQ53" i="17" s="1"/>
  <c r="BT53" i="17"/>
  <c r="BS53" i="17" s="1"/>
  <c r="BU53" i="17"/>
  <c r="BV53" i="17" s="1"/>
  <c r="BW53" i="17"/>
  <c r="BX53" i="17"/>
  <c r="BY53" i="17"/>
  <c r="BZ53" i="17"/>
  <c r="CA53" i="17"/>
  <c r="CB53" i="17"/>
  <c r="CC53" i="17"/>
  <c r="CD53" i="17"/>
  <c r="CE53" i="17"/>
  <c r="CF53" i="17"/>
  <c r="CG53" i="17"/>
  <c r="CH53" i="17"/>
  <c r="CI53" i="17" s="1"/>
  <c r="CK53" i="17"/>
  <c r="A54" i="17"/>
  <c r="B54" i="17"/>
  <c r="C54" i="17"/>
  <c r="D54" i="17"/>
  <c r="E54" i="17"/>
  <c r="F54" i="17"/>
  <c r="G54" i="17"/>
  <c r="H54" i="17"/>
  <c r="I54" i="17"/>
  <c r="J54" i="17"/>
  <c r="L54" i="17"/>
  <c r="M54" i="17"/>
  <c r="N54" i="17" s="1"/>
  <c r="P54" i="17"/>
  <c r="Q54" i="17"/>
  <c r="V54" i="17" s="1"/>
  <c r="S54" i="17"/>
  <c r="T54" i="17" s="1"/>
  <c r="W54" i="17"/>
  <c r="X54" i="17" s="1"/>
  <c r="Y54" i="17"/>
  <c r="Z54" i="17" s="1"/>
  <c r="AB54" i="17"/>
  <c r="AC54" i="17"/>
  <c r="AD54" i="17"/>
  <c r="AE54" i="17"/>
  <c r="AF54" i="17"/>
  <c r="AG54" i="17"/>
  <c r="AH54" i="17" s="1"/>
  <c r="AI54" i="17"/>
  <c r="AJ54" i="17"/>
  <c r="AL54" i="17"/>
  <c r="AM54" i="17"/>
  <c r="AN54" i="17"/>
  <c r="AO54" i="17"/>
  <c r="AP54" i="17"/>
  <c r="AQ54" i="17"/>
  <c r="AR54" i="17"/>
  <c r="AT54" i="17" s="1"/>
  <c r="AW54" i="17"/>
  <c r="AX54" i="17"/>
  <c r="AY54" i="17"/>
  <c r="AZ54" i="17"/>
  <c r="BA54" i="17"/>
  <c r="BF54" i="17" s="1"/>
  <c r="BG54" i="17"/>
  <c r="BH54" i="17" s="1"/>
  <c r="BI54" i="17"/>
  <c r="AU54" i="17" s="1"/>
  <c r="BK54" i="17"/>
  <c r="BL54" i="17"/>
  <c r="BM54" i="17"/>
  <c r="BN54" i="17" s="1"/>
  <c r="BO54" i="17"/>
  <c r="BP54" i="17" s="1"/>
  <c r="BR54" i="17"/>
  <c r="BQ54" i="17" s="1"/>
  <c r="BS54" i="17"/>
  <c r="BT54" i="17"/>
  <c r="BU54" i="17"/>
  <c r="BV54" i="17" s="1"/>
  <c r="BW54" i="17"/>
  <c r="BX54" i="17"/>
  <c r="BY54" i="17"/>
  <c r="BZ54" i="17" s="1"/>
  <c r="CA54" i="17"/>
  <c r="CB54" i="17"/>
  <c r="CD54" i="17" s="1"/>
  <c r="CC54" i="17"/>
  <c r="CE54" i="17"/>
  <c r="CF54" i="17"/>
  <c r="CG54" i="17"/>
  <c r="CH54" i="17"/>
  <c r="CI54" i="17" s="1"/>
  <c r="CK54" i="17"/>
  <c r="A55" i="17"/>
  <c r="B55" i="17"/>
  <c r="C55" i="17"/>
  <c r="D55" i="17"/>
  <c r="E55" i="17"/>
  <c r="F55" i="17"/>
  <c r="G55" i="17"/>
  <c r="H55" i="17"/>
  <c r="I55" i="17"/>
  <c r="J55" i="17"/>
  <c r="L55" i="17"/>
  <c r="AC55" i="17" s="1"/>
  <c r="M55" i="17"/>
  <c r="N55" i="17"/>
  <c r="O55" i="17"/>
  <c r="P55" i="17"/>
  <c r="S55" i="17" s="1"/>
  <c r="T55" i="17" s="1"/>
  <c r="Q55" i="17"/>
  <c r="V55" i="17" s="1"/>
  <c r="R55" i="17"/>
  <c r="U55" i="17"/>
  <c r="W55" i="17"/>
  <c r="X55" i="17"/>
  <c r="Y55" i="17"/>
  <c r="Z55" i="17"/>
  <c r="AA55" i="17"/>
  <c r="AB55" i="17"/>
  <c r="AD55" i="17"/>
  <c r="AE55" i="17" s="1"/>
  <c r="AF55" i="17"/>
  <c r="AG55" i="17"/>
  <c r="AI55" i="17" s="1"/>
  <c r="AJ55" i="17"/>
  <c r="AK55" i="17" s="1"/>
  <c r="AL55" i="17"/>
  <c r="AM55" i="17"/>
  <c r="AN55" i="17"/>
  <c r="AP55" i="17"/>
  <c r="AQ55" i="17" s="1"/>
  <c r="AR55" i="17"/>
  <c r="AU55" i="17" s="1"/>
  <c r="AX55" i="17"/>
  <c r="AY55" i="17"/>
  <c r="AZ55" i="17"/>
  <c r="BA55" i="17"/>
  <c r="BC55" i="17" s="1"/>
  <c r="BD55" i="17" s="1"/>
  <c r="BB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T55" i="17"/>
  <c r="BS55" i="17" s="1"/>
  <c r="BU55" i="17"/>
  <c r="BV55" i="17"/>
  <c r="BW55" i="17"/>
  <c r="CA55" i="17" s="1"/>
  <c r="BY55" i="17"/>
  <c r="BZ55" i="17"/>
  <c r="CB55" i="17"/>
  <c r="CD55" i="17" s="1"/>
  <c r="CC55" i="17"/>
  <c r="CE55" i="17"/>
  <c r="CF55" i="17"/>
  <c r="CG55" i="17"/>
  <c r="CH55" i="17"/>
  <c r="CI55" i="17" s="1"/>
  <c r="CK55" i="17"/>
  <c r="A56" i="17"/>
  <c r="B56" i="17"/>
  <c r="C56" i="17"/>
  <c r="D56" i="17"/>
  <c r="E56" i="17"/>
  <c r="F56" i="17"/>
  <c r="G56" i="17"/>
  <c r="H56" i="17"/>
  <c r="I56" i="17"/>
  <c r="J56" i="17"/>
  <c r="L56" i="17"/>
  <c r="M56" i="17"/>
  <c r="N56" i="17" s="1"/>
  <c r="O56" i="17"/>
  <c r="P56" i="17"/>
  <c r="S56" i="17" s="1"/>
  <c r="Q56" i="17"/>
  <c r="R56" i="17" s="1"/>
  <c r="AK56" i="17" s="1"/>
  <c r="U56" i="17"/>
  <c r="V56" i="17"/>
  <c r="W56" i="17"/>
  <c r="X56" i="17" s="1"/>
  <c r="Y56" i="17"/>
  <c r="Z56" i="17" s="1"/>
  <c r="AA56" i="17"/>
  <c r="AB56" i="17"/>
  <c r="AC56" i="17" s="1"/>
  <c r="AD56" i="17"/>
  <c r="AF56" i="17" s="1"/>
  <c r="AE56" i="17"/>
  <c r="AG56" i="17"/>
  <c r="AW56" i="17" s="1"/>
  <c r="AJ56" i="17"/>
  <c r="AL56" i="17" s="1"/>
  <c r="AM56" i="17"/>
  <c r="AN56" i="17"/>
  <c r="AO56" i="17" s="1"/>
  <c r="AP56" i="17"/>
  <c r="AQ56" i="17"/>
  <c r="AR56" i="17"/>
  <c r="AS56" i="17"/>
  <c r="AT56" i="17"/>
  <c r="AX56" i="17"/>
  <c r="AY56" i="17"/>
  <c r="AZ56" i="17"/>
  <c r="BA56" i="17"/>
  <c r="BB56" i="17" s="1"/>
  <c r="BF56" i="17"/>
  <c r="BG56" i="17"/>
  <c r="BH56" i="17" s="1"/>
  <c r="BI56" i="17"/>
  <c r="BC56" i="17" s="1"/>
  <c r="BD56" i="17" s="1"/>
  <c r="BK56" i="17"/>
  <c r="BL56" i="17"/>
  <c r="BM56" i="17"/>
  <c r="BN56" i="17" s="1"/>
  <c r="AV56" i="17" s="1"/>
  <c r="BO56" i="17"/>
  <c r="BP56" i="17" s="1"/>
  <c r="BQ56" i="17"/>
  <c r="BR56" i="17"/>
  <c r="BS56" i="17"/>
  <c r="BT56" i="17"/>
  <c r="BU56" i="17"/>
  <c r="BV56" i="17" s="1"/>
  <c r="BW56" i="17"/>
  <c r="CA56" i="17" s="1"/>
  <c r="BY56" i="17"/>
  <c r="BZ56" i="17" s="1"/>
  <c r="CB56" i="17"/>
  <c r="CC56" i="17"/>
  <c r="CD56" i="17" s="1"/>
  <c r="CE56" i="17"/>
  <c r="CF56" i="17"/>
  <c r="CG56" i="17"/>
  <c r="CH56" i="17"/>
  <c r="CI56" i="17"/>
  <c r="CK56" i="17"/>
  <c r="A57" i="17"/>
  <c r="B57" i="17"/>
  <c r="C57" i="17"/>
  <c r="D57" i="17"/>
  <c r="E57" i="17"/>
  <c r="F57" i="17"/>
  <c r="G57" i="17"/>
  <c r="H57" i="17"/>
  <c r="I57" i="17"/>
  <c r="J57" i="17"/>
  <c r="L57" i="17"/>
  <c r="M57" i="17"/>
  <c r="O57" i="17" s="1"/>
  <c r="N57" i="17"/>
  <c r="P57" i="17"/>
  <c r="S57" i="17" s="1"/>
  <c r="Q57" i="17"/>
  <c r="T57" i="17" s="1"/>
  <c r="V57" i="17"/>
  <c r="W57" i="17"/>
  <c r="X57" i="17" s="1"/>
  <c r="Y57" i="17"/>
  <c r="AA57" i="17" s="1"/>
  <c r="Z57" i="17"/>
  <c r="AB57" i="17"/>
  <c r="AC57" i="17" s="1"/>
  <c r="AD57" i="17"/>
  <c r="AE57" i="17" s="1"/>
  <c r="AG57" i="17"/>
  <c r="AH57" i="17"/>
  <c r="AJ57" i="17"/>
  <c r="AN57" i="17"/>
  <c r="AM57" i="17" s="1"/>
  <c r="AP57" i="17"/>
  <c r="AR57" i="17"/>
  <c r="AS57" i="17" s="1"/>
  <c r="AV57" i="17" s="1"/>
  <c r="AU57" i="17"/>
  <c r="AX57" i="17"/>
  <c r="AY57" i="17"/>
  <c r="AZ57" i="17"/>
  <c r="BA57" i="17"/>
  <c r="BC57" i="17" s="1"/>
  <c r="BD57" i="17" s="1"/>
  <c r="BB57" i="17"/>
  <c r="BF57" i="17"/>
  <c r="BG57" i="17"/>
  <c r="BH57" i="17"/>
  <c r="BI57" i="17"/>
  <c r="BJ57" i="17"/>
  <c r="BK57" i="17"/>
  <c r="BL57" i="17"/>
  <c r="BM57" i="17"/>
  <c r="BN57" i="17"/>
  <c r="BO57" i="17"/>
  <c r="BP57" i="17"/>
  <c r="BR57" i="17"/>
  <c r="BQ57" i="17" s="1"/>
  <c r="BT57" i="17"/>
  <c r="BS57" i="17" s="1"/>
  <c r="BU57" i="17"/>
  <c r="BV57" i="17"/>
  <c r="BW57" i="17"/>
  <c r="BX57" i="17"/>
  <c r="BY57" i="17"/>
  <c r="BZ57" i="17"/>
  <c r="CA57" i="17"/>
  <c r="CB57" i="17"/>
  <c r="CC57" i="17"/>
  <c r="CD57" i="17"/>
  <c r="CE57" i="17"/>
  <c r="CF57" i="17"/>
  <c r="CG57" i="17"/>
  <c r="CH57" i="17"/>
  <c r="CI57" i="17" s="1"/>
  <c r="CK57" i="17"/>
  <c r="A58" i="17"/>
  <c r="B58" i="17"/>
  <c r="C58" i="17"/>
  <c r="D58" i="17"/>
  <c r="E58" i="17"/>
  <c r="F58" i="17"/>
  <c r="G58" i="17"/>
  <c r="H58" i="17"/>
  <c r="I58" i="17"/>
  <c r="J58" i="17"/>
  <c r="L58" i="17"/>
  <c r="M58" i="17"/>
  <c r="P58" i="17"/>
  <c r="Q58" i="17"/>
  <c r="W58" i="17"/>
  <c r="X58" i="17" s="1"/>
  <c r="Y58" i="17"/>
  <c r="AB58" i="17"/>
  <c r="AC58" i="17"/>
  <c r="AD58" i="17"/>
  <c r="AF58" i="17" s="1"/>
  <c r="AE58" i="17"/>
  <c r="AG58" i="17"/>
  <c r="AH58" i="17" s="1"/>
  <c r="AI58" i="17"/>
  <c r="AJ58" i="17"/>
  <c r="AL58" i="17" s="1"/>
  <c r="AN58" i="17"/>
  <c r="AO58" i="17"/>
  <c r="AP58" i="17"/>
  <c r="AT58" i="17" s="1"/>
  <c r="AQ58" i="17"/>
  <c r="AR58" i="17"/>
  <c r="AU58" i="17"/>
  <c r="AW58" i="17"/>
  <c r="AX58" i="17"/>
  <c r="AY58" i="17"/>
  <c r="AZ58" i="17"/>
  <c r="BA58" i="17"/>
  <c r="BC58" i="17"/>
  <c r="BD58" i="17" s="1"/>
  <c r="BG58" i="17"/>
  <c r="BH58" i="17" s="1"/>
  <c r="BI58" i="17"/>
  <c r="BJ58" i="17" s="1"/>
  <c r="BK58" i="17"/>
  <c r="BL58" i="17"/>
  <c r="BM58" i="17"/>
  <c r="BN58" i="17" s="1"/>
  <c r="BO58" i="17"/>
  <c r="BP58" i="17" s="1"/>
  <c r="BR58" i="17"/>
  <c r="BS58" i="17"/>
  <c r="BT58" i="17"/>
  <c r="BU58" i="17"/>
  <c r="BV58" i="17" s="1"/>
  <c r="BW58" i="17"/>
  <c r="BX58" i="17" s="1"/>
  <c r="BY58" i="17"/>
  <c r="BZ58" i="17" s="1"/>
  <c r="CA58" i="17"/>
  <c r="CB58" i="17"/>
  <c r="CD58" i="17" s="1"/>
  <c r="CC58" i="17"/>
  <c r="CE58" i="17"/>
  <c r="CF58" i="17"/>
  <c r="CG58" i="17"/>
  <c r="CI58" i="17" s="1"/>
  <c r="CH58" i="17"/>
  <c r="CK58" i="17"/>
  <c r="A59" i="17"/>
  <c r="B59" i="17"/>
  <c r="C59" i="17"/>
  <c r="D59" i="17"/>
  <c r="E59" i="17"/>
  <c r="F59" i="17"/>
  <c r="G59" i="17"/>
  <c r="H59" i="17"/>
  <c r="I59" i="17"/>
  <c r="J59" i="17"/>
  <c r="L59" i="17"/>
  <c r="BZ59" i="17" s="1"/>
  <c r="M59" i="17"/>
  <c r="N59" i="17"/>
  <c r="P59" i="17"/>
  <c r="U59" i="17" s="1"/>
  <c r="Q59" i="17"/>
  <c r="S59" i="17"/>
  <c r="T59" i="17"/>
  <c r="V59" i="17"/>
  <c r="W59" i="17"/>
  <c r="Y59" i="17"/>
  <c r="AA59" i="17" s="1"/>
  <c r="AB59" i="17"/>
  <c r="AD59" i="17"/>
  <c r="AG59" i="17"/>
  <c r="AI59" i="17" s="1"/>
  <c r="AJ59" i="17"/>
  <c r="AN59" i="17"/>
  <c r="AP59" i="17"/>
  <c r="AR59" i="17"/>
  <c r="AX59" i="17"/>
  <c r="AY59" i="17"/>
  <c r="AZ59" i="17"/>
  <c r="BA59" i="17"/>
  <c r="BC59" i="17"/>
  <c r="BF59" i="17"/>
  <c r="BG59" i="17"/>
  <c r="BI59" i="17"/>
  <c r="BK59" i="17"/>
  <c r="BL59" i="17"/>
  <c r="BM59" i="17"/>
  <c r="BO59" i="17"/>
  <c r="BR59" i="17"/>
  <c r="BT59" i="17"/>
  <c r="BU59" i="17"/>
  <c r="CA59" i="17" s="1"/>
  <c r="BV59" i="17"/>
  <c r="BW59" i="17"/>
  <c r="BY59" i="17"/>
  <c r="CB59" i="17"/>
  <c r="CD59" i="17" s="1"/>
  <c r="CC59" i="17"/>
  <c r="CE59" i="17"/>
  <c r="CF59" i="17"/>
  <c r="CG59" i="17"/>
  <c r="CH59" i="17"/>
  <c r="CK59" i="17"/>
  <c r="A60" i="17"/>
  <c r="B60" i="17"/>
  <c r="C60" i="17"/>
  <c r="D60" i="17"/>
  <c r="E60" i="17"/>
  <c r="F60" i="17"/>
  <c r="G60" i="17"/>
  <c r="H60" i="17"/>
  <c r="I60" i="17"/>
  <c r="J60" i="17"/>
  <c r="L60" i="17"/>
  <c r="M60" i="17"/>
  <c r="O60" i="17" s="1"/>
  <c r="N60" i="17"/>
  <c r="P60" i="17"/>
  <c r="Q60" i="17"/>
  <c r="V60" i="17" s="1"/>
  <c r="S60" i="17"/>
  <c r="T60" i="17"/>
  <c r="U60" i="17"/>
  <c r="W60" i="17"/>
  <c r="X60" i="17" s="1"/>
  <c r="Y60" i="17"/>
  <c r="Z60" i="17"/>
  <c r="AA60" i="17"/>
  <c r="AB60" i="17"/>
  <c r="AC60" i="17"/>
  <c r="AD60" i="17"/>
  <c r="AE60" i="17"/>
  <c r="AF60" i="17"/>
  <c r="AG60" i="17"/>
  <c r="AJ60" i="17"/>
  <c r="AL60" i="17"/>
  <c r="AM60" i="17"/>
  <c r="AN60" i="17"/>
  <c r="AO60" i="17"/>
  <c r="AP60" i="17"/>
  <c r="AQ60" i="17"/>
  <c r="AR60" i="17"/>
  <c r="AT60" i="17" s="1"/>
  <c r="AS60" i="17"/>
  <c r="AW60" i="17"/>
  <c r="AX60" i="17"/>
  <c r="AY60" i="17"/>
  <c r="AZ60" i="17"/>
  <c r="BA60" i="17"/>
  <c r="BF60" i="17" s="1"/>
  <c r="BG60" i="17"/>
  <c r="BH60" i="17" s="1"/>
  <c r="BI60" i="17"/>
  <c r="BK60" i="17"/>
  <c r="BL60" i="17"/>
  <c r="BM60" i="17"/>
  <c r="BN60" i="17" s="1"/>
  <c r="AV60" i="17" s="1"/>
  <c r="BO60" i="17"/>
  <c r="BP60" i="17" s="1"/>
  <c r="BQ60" i="17"/>
  <c r="BR60" i="17"/>
  <c r="BS60" i="17"/>
  <c r="BT60" i="17"/>
  <c r="BU60" i="17"/>
  <c r="BW60" i="17"/>
  <c r="BX60" i="17" s="1"/>
  <c r="BY60" i="17"/>
  <c r="BZ60" i="17" s="1"/>
  <c r="CB60" i="17"/>
  <c r="CC60" i="17"/>
  <c r="CE60" i="17"/>
  <c r="CF60" i="17"/>
  <c r="CG60" i="17"/>
  <c r="CH60" i="17"/>
  <c r="CI60" i="17" s="1"/>
  <c r="CK60" i="17"/>
  <c r="A61" i="17"/>
  <c r="B61" i="17"/>
  <c r="C61" i="17"/>
  <c r="D61" i="17"/>
  <c r="E61" i="17"/>
  <c r="F61" i="17"/>
  <c r="G61" i="17"/>
  <c r="H61" i="17"/>
  <c r="I61" i="17"/>
  <c r="J61" i="17"/>
  <c r="L61" i="17"/>
  <c r="M61" i="17"/>
  <c r="N61" i="17"/>
  <c r="O61" i="17"/>
  <c r="P61" i="17"/>
  <c r="S61" i="17" s="1"/>
  <c r="Q61" i="17"/>
  <c r="R61" i="17"/>
  <c r="T61" i="17"/>
  <c r="U61" i="17"/>
  <c r="W61" i="17"/>
  <c r="X61" i="17"/>
  <c r="Y61" i="17"/>
  <c r="Z61" i="17"/>
  <c r="AA61" i="17"/>
  <c r="AB61" i="17"/>
  <c r="AC61" i="17" s="1"/>
  <c r="AD61" i="17"/>
  <c r="AE61" i="17" s="1"/>
  <c r="AF61" i="17"/>
  <c r="AG61" i="17"/>
  <c r="AH61" i="17"/>
  <c r="AJ61" i="17"/>
  <c r="AK61" i="17" s="1"/>
  <c r="AL61" i="17"/>
  <c r="AN61" i="17"/>
  <c r="AP61" i="17"/>
  <c r="AQ61" i="17" s="1"/>
  <c r="AR61" i="17"/>
  <c r="AX61" i="17"/>
  <c r="AY61" i="17"/>
  <c r="AZ61" i="17"/>
  <c r="BA61" i="17"/>
  <c r="BC61" i="17" s="1"/>
  <c r="BD61" i="17" s="1"/>
  <c r="BB61" i="17"/>
  <c r="BF61" i="17"/>
  <c r="BG61" i="17"/>
  <c r="BH61" i="17"/>
  <c r="BI61" i="17"/>
  <c r="BJ61" i="17"/>
  <c r="BK61" i="17"/>
  <c r="BL61" i="17"/>
  <c r="BM61" i="17"/>
  <c r="BN61" i="17"/>
  <c r="BO61" i="17"/>
  <c r="BP61" i="17"/>
  <c r="BR61" i="17"/>
  <c r="BQ61" i="17" s="1"/>
  <c r="BT61" i="17"/>
  <c r="BS61" i="17" s="1"/>
  <c r="BU61" i="17"/>
  <c r="BV61" i="17"/>
  <c r="BW61" i="17"/>
  <c r="CA61" i="17" s="1"/>
  <c r="BX61" i="17"/>
  <c r="BY61" i="17"/>
  <c r="BZ61" i="17"/>
  <c r="CB61" i="17"/>
  <c r="CC61" i="17"/>
  <c r="CE61" i="17"/>
  <c r="CF61" i="17"/>
  <c r="CG61" i="17"/>
  <c r="CH61" i="17"/>
  <c r="CI61" i="17"/>
  <c r="CK61" i="17"/>
  <c r="A62" i="17"/>
  <c r="B62" i="17"/>
  <c r="C62" i="17"/>
  <c r="D62" i="17"/>
  <c r="E62" i="17"/>
  <c r="F62" i="17"/>
  <c r="G62" i="17"/>
  <c r="H62" i="17"/>
  <c r="I62" i="17"/>
  <c r="J62" i="17"/>
  <c r="L62" i="17"/>
  <c r="M62" i="17"/>
  <c r="N62" i="17" s="1"/>
  <c r="O62" i="17"/>
  <c r="P62" i="17"/>
  <c r="Q62" i="17"/>
  <c r="W62" i="17"/>
  <c r="X62" i="17" s="1"/>
  <c r="Y62" i="17"/>
  <c r="Z62" i="17" s="1"/>
  <c r="AA62" i="17"/>
  <c r="AB62" i="17"/>
  <c r="AC62" i="17" s="1"/>
  <c r="AD62" i="17"/>
  <c r="AF62" i="17" s="1"/>
  <c r="AE62" i="17"/>
  <c r="AG62" i="17"/>
  <c r="AW62" i="17" s="1"/>
  <c r="AH62" i="17"/>
  <c r="AI62" i="17"/>
  <c r="AJ62" i="17"/>
  <c r="AL62" i="17" s="1"/>
  <c r="AN62" i="17"/>
  <c r="AP62" i="17"/>
  <c r="AQ62" i="17"/>
  <c r="AR62" i="17"/>
  <c r="AS62" i="17"/>
  <c r="AT62" i="17"/>
  <c r="AU62" i="17"/>
  <c r="AX62" i="17"/>
  <c r="AY62" i="17"/>
  <c r="AZ62" i="17"/>
  <c r="BA62" i="17"/>
  <c r="BF62" i="17"/>
  <c r="BG62" i="17"/>
  <c r="BH62" i="17" s="1"/>
  <c r="BI62" i="17"/>
  <c r="BJ62" i="17" s="1"/>
  <c r="BK62" i="17"/>
  <c r="BL62" i="17"/>
  <c r="BM62" i="17"/>
  <c r="BN62" i="17" s="1"/>
  <c r="AV62" i="17" s="1"/>
  <c r="BO62" i="17"/>
  <c r="BP62" i="17" s="1"/>
  <c r="BQ62" i="17"/>
  <c r="BR62" i="17"/>
  <c r="BS62" i="17"/>
  <c r="BT62" i="17"/>
  <c r="BU62" i="17"/>
  <c r="BV62" i="17" s="1"/>
  <c r="BW62" i="17"/>
  <c r="CA62" i="17" s="1"/>
  <c r="BX62" i="17"/>
  <c r="BY62" i="17"/>
  <c r="BZ62" i="17" s="1"/>
  <c r="CB62" i="17"/>
  <c r="CC62" i="17"/>
  <c r="CD62" i="17"/>
  <c r="CE62" i="17"/>
  <c r="CF62" i="17"/>
  <c r="CG62" i="17"/>
  <c r="CH62" i="17"/>
  <c r="CI62" i="17"/>
  <c r="CK62" i="17"/>
  <c r="A63" i="17"/>
  <c r="B63" i="17"/>
  <c r="C63" i="17"/>
  <c r="D63" i="17"/>
  <c r="E63" i="17"/>
  <c r="F63" i="17"/>
  <c r="G63" i="17"/>
  <c r="H63" i="17"/>
  <c r="I63" i="17"/>
  <c r="J63" i="17"/>
  <c r="L63" i="17"/>
  <c r="Z63" i="17" s="1"/>
  <c r="M63" i="17"/>
  <c r="O63" i="17" s="1"/>
  <c r="N63" i="17"/>
  <c r="P63" i="17"/>
  <c r="Q63" i="17"/>
  <c r="R63" i="17"/>
  <c r="V63" i="17"/>
  <c r="W63" i="17"/>
  <c r="X63" i="17" s="1"/>
  <c r="Y63" i="17"/>
  <c r="AB63" i="17"/>
  <c r="AC63" i="17"/>
  <c r="AD63" i="17"/>
  <c r="AG63" i="17"/>
  <c r="AH63" i="17"/>
  <c r="AJ63" i="17"/>
  <c r="AN63" i="17"/>
  <c r="AM63" i="17" s="1"/>
  <c r="AP63" i="17"/>
  <c r="AR63" i="17"/>
  <c r="AU63" i="17"/>
  <c r="AX63" i="17"/>
  <c r="AY63" i="17"/>
  <c r="AZ63" i="17"/>
  <c r="BA63" i="17"/>
  <c r="BC63" i="17" s="1"/>
  <c r="BB63" i="17"/>
  <c r="BD63" i="17"/>
  <c r="BF63" i="17"/>
  <c r="BG63" i="17"/>
  <c r="BH63" i="17" s="1"/>
  <c r="BI63" i="17"/>
  <c r="BJ63" i="17"/>
  <c r="BK63" i="17"/>
  <c r="BL63" i="17"/>
  <c r="BM63" i="17"/>
  <c r="BN63" i="17" s="1"/>
  <c r="BO63" i="17"/>
  <c r="BP63" i="17"/>
  <c r="BR63" i="17"/>
  <c r="BQ63" i="17" s="1"/>
  <c r="BT63" i="17"/>
  <c r="BS63" i="17" s="1"/>
  <c r="BU63" i="17"/>
  <c r="BW63" i="17"/>
  <c r="BX63" i="17"/>
  <c r="BY63" i="17"/>
  <c r="BZ63" i="17"/>
  <c r="CA63" i="17"/>
  <c r="CB63" i="17"/>
  <c r="CC63" i="17"/>
  <c r="CD63" i="17"/>
  <c r="CE63" i="17"/>
  <c r="CF63" i="17"/>
  <c r="CG63" i="17"/>
  <c r="CH63" i="17"/>
  <c r="CI63" i="17" s="1"/>
  <c r="CK63" i="17"/>
  <c r="A64" i="17"/>
  <c r="B64" i="17"/>
  <c r="C64" i="17"/>
  <c r="D64" i="17"/>
  <c r="E64" i="17"/>
  <c r="F64" i="17"/>
  <c r="G64" i="17"/>
  <c r="H64" i="17"/>
  <c r="I64" i="17"/>
  <c r="J64" i="17"/>
  <c r="L64" i="17"/>
  <c r="M64" i="17"/>
  <c r="N64" i="17"/>
  <c r="P64" i="17"/>
  <c r="Q64" i="17"/>
  <c r="R64" i="17" s="1"/>
  <c r="AK64" i="17" s="1"/>
  <c r="S64" i="17"/>
  <c r="W64" i="17"/>
  <c r="X64" i="17"/>
  <c r="Y64" i="17"/>
  <c r="Z64" i="17" s="1"/>
  <c r="AA64" i="17"/>
  <c r="AB64" i="17"/>
  <c r="AD64" i="17"/>
  <c r="AE64" i="17"/>
  <c r="AF64" i="17"/>
  <c r="AG64" i="17"/>
  <c r="AJ64" i="17"/>
  <c r="AL64" i="17"/>
  <c r="AM64" i="17"/>
  <c r="AN64" i="17"/>
  <c r="AP64" i="17"/>
  <c r="AQ64" i="17"/>
  <c r="AR64" i="17"/>
  <c r="AU64" i="17"/>
  <c r="AX64" i="17"/>
  <c r="AY64" i="17"/>
  <c r="AZ64" i="17"/>
  <c r="BA64" i="17"/>
  <c r="BG64" i="17"/>
  <c r="BH64" i="17" s="1"/>
  <c r="BI64" i="17"/>
  <c r="BK64" i="17"/>
  <c r="BL64" i="17"/>
  <c r="BM64" i="17"/>
  <c r="BN64" i="17" s="1"/>
  <c r="BO64" i="17"/>
  <c r="BQ64" i="17"/>
  <c r="BR64" i="17"/>
  <c r="BT64" i="17"/>
  <c r="BS64" i="17" s="1"/>
  <c r="BU64" i="17"/>
  <c r="BW64" i="17"/>
  <c r="BY64" i="17"/>
  <c r="BZ64" i="17" s="1"/>
  <c r="CA64" i="17"/>
  <c r="CB64" i="17"/>
  <c r="CC64" i="17"/>
  <c r="CE64" i="17"/>
  <c r="CF64" i="17"/>
  <c r="CG64" i="17"/>
  <c r="CH64" i="17"/>
  <c r="CK64" i="17"/>
  <c r="A65" i="17"/>
  <c r="B65" i="17"/>
  <c r="C65" i="17"/>
  <c r="D65" i="17"/>
  <c r="E65" i="17"/>
  <c r="F65" i="17"/>
  <c r="G65" i="17"/>
  <c r="H65" i="17"/>
  <c r="I65" i="17"/>
  <c r="J65" i="17"/>
  <c r="L65" i="17"/>
  <c r="M65" i="17"/>
  <c r="N65" i="17"/>
  <c r="O65" i="17"/>
  <c r="P65" i="17"/>
  <c r="Q65" i="17"/>
  <c r="R65" i="17"/>
  <c r="W65" i="17"/>
  <c r="X65" i="17"/>
  <c r="Y65" i="17"/>
  <c r="Z65" i="17"/>
  <c r="AA65" i="17"/>
  <c r="AB65" i="17"/>
  <c r="AC65" i="17" s="1"/>
  <c r="AD65" i="17"/>
  <c r="AG65" i="17"/>
  <c r="AH65" i="17" s="1"/>
  <c r="AJ65" i="17"/>
  <c r="AN65" i="17"/>
  <c r="AP65" i="17"/>
  <c r="AR65" i="17"/>
  <c r="AS65" i="17" s="1"/>
  <c r="AX65" i="17"/>
  <c r="AY65" i="17"/>
  <c r="AZ65" i="17"/>
  <c r="BA65" i="17"/>
  <c r="BB65" i="17"/>
  <c r="BF65" i="17"/>
  <c r="BG65" i="17"/>
  <c r="BH65" i="17"/>
  <c r="BI65" i="17"/>
  <c r="AU65" i="17" s="1"/>
  <c r="BK65" i="17"/>
  <c r="BL65" i="17"/>
  <c r="BM65" i="17"/>
  <c r="BN65" i="17"/>
  <c r="AV65" i="17" s="1"/>
  <c r="BO65" i="17"/>
  <c r="BP65" i="17" s="1"/>
  <c r="BQ65" i="17"/>
  <c r="BR65" i="17"/>
  <c r="BT65" i="17"/>
  <c r="BS65" i="17" s="1"/>
  <c r="BU65" i="17"/>
  <c r="BV65" i="17" s="1"/>
  <c r="BW65" i="17"/>
  <c r="BX65" i="17"/>
  <c r="BY65" i="17"/>
  <c r="BZ65" i="17"/>
  <c r="CB65" i="17"/>
  <c r="CC65" i="17"/>
  <c r="CD65" i="17"/>
  <c r="CE65" i="17"/>
  <c r="CF65" i="17"/>
  <c r="CG65" i="17"/>
  <c r="CH65" i="17"/>
  <c r="CI65" i="17" s="1"/>
  <c r="CK65" i="17"/>
  <c r="A66" i="17"/>
  <c r="B66" i="17"/>
  <c r="C66" i="17"/>
  <c r="D66" i="17"/>
  <c r="E66" i="17"/>
  <c r="F66" i="17"/>
  <c r="G66" i="17"/>
  <c r="H66" i="17"/>
  <c r="I66" i="17"/>
  <c r="J66" i="17"/>
  <c r="L66" i="17"/>
  <c r="M66" i="17"/>
  <c r="N66" i="17"/>
  <c r="O66" i="17"/>
  <c r="P66" i="17"/>
  <c r="Q66" i="17"/>
  <c r="W66" i="17"/>
  <c r="X66" i="17" s="1"/>
  <c r="Y66" i="17"/>
  <c r="AB66" i="17"/>
  <c r="AC66" i="17"/>
  <c r="AD66" i="17"/>
  <c r="AE66" i="17"/>
  <c r="AF66" i="17"/>
  <c r="AG66" i="17"/>
  <c r="AH66" i="17"/>
  <c r="AI66" i="17"/>
  <c r="AJ66" i="17"/>
  <c r="AL66" i="17"/>
  <c r="AN66" i="17"/>
  <c r="AM66" i="17" s="1"/>
  <c r="AP66" i="17"/>
  <c r="AQ66" i="17"/>
  <c r="AR66" i="17"/>
  <c r="AS66" i="17"/>
  <c r="AT66" i="17"/>
  <c r="AW66" i="17"/>
  <c r="AX66" i="17"/>
  <c r="AY66" i="17"/>
  <c r="AZ66" i="17"/>
  <c r="BA66" i="17"/>
  <c r="BG66" i="17"/>
  <c r="BH66" i="17" s="1"/>
  <c r="BI66" i="17"/>
  <c r="BK66" i="17"/>
  <c r="BL66" i="17"/>
  <c r="BM66" i="17"/>
  <c r="BN66" i="17" s="1"/>
  <c r="BO66" i="17"/>
  <c r="BP66" i="17"/>
  <c r="BQ66" i="17"/>
  <c r="BR66" i="17"/>
  <c r="BS66" i="17"/>
  <c r="BT66" i="17"/>
  <c r="BU66" i="17"/>
  <c r="BV66" i="17"/>
  <c r="BW66" i="17"/>
  <c r="CA66" i="17" s="1"/>
  <c r="BY66" i="17"/>
  <c r="BZ66" i="17" s="1"/>
  <c r="CB66" i="17"/>
  <c r="CC66" i="17"/>
  <c r="CD66" i="17"/>
  <c r="CE66" i="17"/>
  <c r="CF66" i="17"/>
  <c r="CG66" i="17"/>
  <c r="CH66" i="17"/>
  <c r="CI66" i="17"/>
  <c r="CK66" i="17"/>
  <c r="A67" i="17"/>
  <c r="B67" i="17"/>
  <c r="C67" i="17"/>
  <c r="D67" i="17"/>
  <c r="E67" i="17"/>
  <c r="F67" i="17"/>
  <c r="G67" i="17"/>
  <c r="H67" i="17"/>
  <c r="I67" i="17"/>
  <c r="J67" i="17"/>
  <c r="L67" i="17"/>
  <c r="Z67" i="17" s="1"/>
  <c r="M67" i="17"/>
  <c r="N67" i="17"/>
  <c r="P67" i="17"/>
  <c r="Q67" i="17"/>
  <c r="R67" i="17"/>
  <c r="W67" i="17"/>
  <c r="AA67" i="17" s="1"/>
  <c r="X67" i="17"/>
  <c r="Y67" i="17"/>
  <c r="AB67" i="17"/>
  <c r="AC67" i="17"/>
  <c r="AD67" i="17"/>
  <c r="AF67" i="17"/>
  <c r="AG67" i="17"/>
  <c r="AJ67" i="17"/>
  <c r="AL67" i="17"/>
  <c r="AM67" i="17"/>
  <c r="AN67" i="17"/>
  <c r="AP67" i="17"/>
  <c r="AR67" i="17"/>
  <c r="AS67" i="17" s="1"/>
  <c r="AT67" i="17"/>
  <c r="AU67" i="17"/>
  <c r="AX67" i="17"/>
  <c r="AY67" i="17"/>
  <c r="AZ67" i="17"/>
  <c r="BA67" i="17"/>
  <c r="BC67" i="17" s="1"/>
  <c r="BB67" i="17"/>
  <c r="BF67" i="17"/>
  <c r="BG67" i="17"/>
  <c r="BH67" i="17"/>
  <c r="BI67" i="17"/>
  <c r="BK67" i="17"/>
  <c r="BL67" i="17"/>
  <c r="BM67" i="17"/>
  <c r="BN67" i="17" s="1"/>
  <c r="BO67" i="17"/>
  <c r="BR67" i="17"/>
  <c r="BT67" i="17"/>
  <c r="BS67" i="17" s="1"/>
  <c r="BU67" i="17"/>
  <c r="BW67" i="17"/>
  <c r="CA67" i="17" s="1"/>
  <c r="BX67" i="17"/>
  <c r="BY67" i="17"/>
  <c r="CB67" i="17"/>
  <c r="CD67" i="17" s="1"/>
  <c r="CC67" i="17"/>
  <c r="CE67" i="17"/>
  <c r="CF67" i="17"/>
  <c r="CG67" i="17"/>
  <c r="CH67" i="17"/>
  <c r="CI67" i="17" s="1"/>
  <c r="CK67" i="17"/>
  <c r="A68" i="17"/>
  <c r="B68" i="17"/>
  <c r="C68" i="17"/>
  <c r="D68" i="17"/>
  <c r="E68" i="17"/>
  <c r="F68" i="17"/>
  <c r="G68" i="17"/>
  <c r="H68" i="17"/>
  <c r="I68" i="17"/>
  <c r="J68" i="17"/>
  <c r="L68" i="17"/>
  <c r="M68" i="17"/>
  <c r="P68" i="17"/>
  <c r="Q68" i="17"/>
  <c r="S68" i="17"/>
  <c r="U68" i="17"/>
  <c r="V68" i="17"/>
  <c r="W68" i="17"/>
  <c r="X68" i="17" s="1"/>
  <c r="Y68" i="17"/>
  <c r="AA68" i="17"/>
  <c r="AB68" i="17"/>
  <c r="AC68" i="17"/>
  <c r="AD68" i="17"/>
  <c r="AG68" i="17"/>
  <c r="AI68" i="17"/>
  <c r="AJ68" i="17"/>
  <c r="AL68" i="17" s="1"/>
  <c r="AN68" i="17"/>
  <c r="AM68" i="17" s="1"/>
  <c r="AO68" i="17"/>
  <c r="AP68" i="17"/>
  <c r="AT68" i="17" s="1"/>
  <c r="AQ68" i="17"/>
  <c r="AR68" i="17"/>
  <c r="AX68" i="17"/>
  <c r="AY68" i="17"/>
  <c r="AZ68" i="17"/>
  <c r="BA68" i="17"/>
  <c r="BF68" i="17" s="1"/>
  <c r="BB68" i="17"/>
  <c r="BE68" i="17" s="1"/>
  <c r="BC68" i="17"/>
  <c r="BD68" i="17" s="1"/>
  <c r="BG68" i="17"/>
  <c r="BI68" i="17"/>
  <c r="BJ68" i="17" s="1"/>
  <c r="BK68" i="17"/>
  <c r="BL68" i="17"/>
  <c r="BM68" i="17"/>
  <c r="BO68" i="17"/>
  <c r="BP68" i="17" s="1"/>
  <c r="BR68" i="17"/>
  <c r="BQ68" i="17" s="1"/>
  <c r="BS68" i="17"/>
  <c r="BT68" i="17"/>
  <c r="BU68" i="17"/>
  <c r="BW68" i="17"/>
  <c r="BY68" i="17"/>
  <c r="BZ68" i="17"/>
  <c r="CB68" i="17"/>
  <c r="CC68" i="17"/>
  <c r="CD68" i="17"/>
  <c r="CE68" i="17"/>
  <c r="CF68" i="17"/>
  <c r="CG68" i="17"/>
  <c r="CH68" i="17"/>
  <c r="CI68" i="17"/>
  <c r="CK68" i="17"/>
  <c r="A69" i="17"/>
  <c r="B69" i="17"/>
  <c r="C69" i="17"/>
  <c r="D69" i="17"/>
  <c r="E69" i="17"/>
  <c r="F69" i="17"/>
  <c r="G69" i="17"/>
  <c r="H69" i="17"/>
  <c r="I69" i="17"/>
  <c r="J69" i="17"/>
  <c r="L69" i="17"/>
  <c r="M69" i="17"/>
  <c r="P69" i="17"/>
  <c r="Q69" i="17"/>
  <c r="V69" i="17" s="1"/>
  <c r="S69" i="17"/>
  <c r="W69" i="17"/>
  <c r="X69" i="17"/>
  <c r="Y69" i="17"/>
  <c r="AA69" i="17" s="1"/>
  <c r="AB69" i="17"/>
  <c r="AC69" i="17" s="1"/>
  <c r="AD69" i="17"/>
  <c r="AE69" i="17"/>
  <c r="AF69" i="17"/>
  <c r="AG69" i="17"/>
  <c r="AJ69" i="17"/>
  <c r="AW69" i="17" s="1"/>
  <c r="AL69" i="17"/>
  <c r="AN69" i="17"/>
  <c r="AP69" i="17"/>
  <c r="AI69" i="17" s="1"/>
  <c r="AR69" i="17"/>
  <c r="AX69" i="17"/>
  <c r="AY69" i="17"/>
  <c r="AZ69" i="17"/>
  <c r="BA69" i="17"/>
  <c r="BB69" i="17"/>
  <c r="BF69" i="17"/>
  <c r="BG69" i="17"/>
  <c r="BH69" i="17" s="1"/>
  <c r="BI69" i="17"/>
  <c r="BK69" i="17"/>
  <c r="BL69" i="17"/>
  <c r="BM69" i="17"/>
  <c r="BN69" i="17" s="1"/>
  <c r="BO69" i="17"/>
  <c r="BR69" i="17"/>
  <c r="BT69" i="17"/>
  <c r="BS69" i="17" s="1"/>
  <c r="BU69" i="17"/>
  <c r="BW69" i="17"/>
  <c r="BY69" i="17"/>
  <c r="BZ69" i="17" s="1"/>
  <c r="CB69" i="17"/>
  <c r="CD69" i="17" s="1"/>
  <c r="CC69" i="17"/>
  <c r="CE69" i="17"/>
  <c r="CF69" i="17"/>
  <c r="CG69" i="17"/>
  <c r="CH69" i="17"/>
  <c r="CI69" i="17" s="1"/>
  <c r="CK69" i="17"/>
  <c r="A70" i="17"/>
  <c r="B70" i="17"/>
  <c r="C70" i="17"/>
  <c r="D70" i="17"/>
  <c r="E70" i="17"/>
  <c r="F70" i="17"/>
  <c r="G70" i="17"/>
  <c r="H70" i="17"/>
  <c r="I70" i="17"/>
  <c r="J70" i="17"/>
  <c r="L70" i="17"/>
  <c r="BQ70" i="17" s="1"/>
  <c r="M70" i="17"/>
  <c r="P70" i="17"/>
  <c r="Q70" i="17"/>
  <c r="V70" i="17" s="1"/>
  <c r="R70" i="17"/>
  <c r="S70" i="17"/>
  <c r="T70" i="17" s="1"/>
  <c r="U70" i="17"/>
  <c r="W70" i="17"/>
  <c r="Y70" i="17"/>
  <c r="Z70" i="17"/>
  <c r="AB70" i="17"/>
  <c r="AC70" i="17"/>
  <c r="AD70" i="17"/>
  <c r="AE70" i="17"/>
  <c r="AG70" i="17"/>
  <c r="AJ70" i="17"/>
  <c r="AM70" i="17"/>
  <c r="AN70" i="17"/>
  <c r="AO70" i="17"/>
  <c r="AP70" i="17"/>
  <c r="AR70" i="17"/>
  <c r="AS70" i="17"/>
  <c r="AU70" i="17"/>
  <c r="AX70" i="17"/>
  <c r="AY70" i="17"/>
  <c r="AZ70" i="17"/>
  <c r="BA70" i="17"/>
  <c r="BG70" i="17"/>
  <c r="BH70" i="17" s="1"/>
  <c r="BI70" i="17"/>
  <c r="BJ70" i="17"/>
  <c r="BK70" i="17"/>
  <c r="BL70" i="17"/>
  <c r="BM70" i="17"/>
  <c r="BN70" i="17" s="1"/>
  <c r="AV70" i="17" s="1"/>
  <c r="BO70" i="17"/>
  <c r="BP70" i="17"/>
  <c r="BR70" i="17"/>
  <c r="BT70" i="17"/>
  <c r="BS70" i="17" s="1"/>
  <c r="BU70" i="17"/>
  <c r="BV70" i="17" s="1"/>
  <c r="BW70" i="17"/>
  <c r="BY70" i="17"/>
  <c r="BZ70" i="17"/>
  <c r="CA70" i="17"/>
  <c r="CB70" i="17"/>
  <c r="CD70" i="17" s="1"/>
  <c r="CC70" i="17"/>
  <c r="CE70" i="17"/>
  <c r="CF70" i="17"/>
  <c r="CG70" i="17"/>
  <c r="CH70" i="17"/>
  <c r="CI70" i="17" s="1"/>
  <c r="CK70" i="17"/>
  <c r="A71" i="17"/>
  <c r="B71" i="17"/>
  <c r="C71" i="17"/>
  <c r="D71" i="17"/>
  <c r="E71" i="17"/>
  <c r="F71" i="17"/>
  <c r="G71" i="17"/>
  <c r="H71" i="17"/>
  <c r="I71" i="17"/>
  <c r="J71" i="17"/>
  <c r="L71" i="17"/>
  <c r="AQ71" i="17" s="1"/>
  <c r="M71" i="17"/>
  <c r="P71" i="17"/>
  <c r="Q71" i="17"/>
  <c r="W71" i="17"/>
  <c r="X71" i="17"/>
  <c r="Y71" i="17"/>
  <c r="AB71" i="17"/>
  <c r="AD71" i="17"/>
  <c r="AG71" i="17"/>
  <c r="AJ71" i="17"/>
  <c r="AL71" i="17"/>
  <c r="AM71" i="17"/>
  <c r="AN71" i="17"/>
  <c r="AP71" i="17"/>
  <c r="AR71" i="17"/>
  <c r="AS71" i="17"/>
  <c r="AT71" i="17"/>
  <c r="AX71" i="17"/>
  <c r="AY71" i="17"/>
  <c r="AZ71" i="17"/>
  <c r="BA71" i="17"/>
  <c r="BF71" i="17"/>
  <c r="BG71" i="17"/>
  <c r="BI71" i="17"/>
  <c r="BK71" i="17"/>
  <c r="BL71" i="17"/>
  <c r="BM71" i="17"/>
  <c r="BO71" i="17"/>
  <c r="BR71" i="17"/>
  <c r="BQ71" i="17" s="1"/>
  <c r="BT71" i="17"/>
  <c r="BS71" i="17" s="1"/>
  <c r="BU71" i="17"/>
  <c r="BW71" i="17"/>
  <c r="BY71" i="17"/>
  <c r="BZ71" i="17"/>
  <c r="CB71" i="17"/>
  <c r="CC71" i="17"/>
  <c r="CD71" i="17"/>
  <c r="CE71" i="17"/>
  <c r="CF71" i="17"/>
  <c r="CG71" i="17"/>
  <c r="CH71" i="17"/>
  <c r="CI71" i="17"/>
  <c r="CK71" i="17"/>
  <c r="A72" i="17"/>
  <c r="B72" i="17"/>
  <c r="C72" i="17"/>
  <c r="D72" i="17"/>
  <c r="E72" i="17"/>
  <c r="F72" i="17"/>
  <c r="G72" i="17"/>
  <c r="H72" i="17"/>
  <c r="I72" i="17"/>
  <c r="J72" i="17"/>
  <c r="L72" i="17"/>
  <c r="M72" i="17"/>
  <c r="P72" i="17"/>
  <c r="Q72" i="17"/>
  <c r="W72" i="17"/>
  <c r="X72" i="17" s="1"/>
  <c r="Y72" i="17"/>
  <c r="Z72" i="17"/>
  <c r="AA72" i="17"/>
  <c r="AB72" i="17"/>
  <c r="AC72" i="17"/>
  <c r="AD72" i="17"/>
  <c r="AE72" i="17"/>
  <c r="AF72" i="17"/>
  <c r="AG72" i="17"/>
  <c r="AJ72" i="17"/>
  <c r="AL72" i="17"/>
  <c r="AM72" i="17"/>
  <c r="AN72" i="17"/>
  <c r="AO72" i="17"/>
  <c r="AP72" i="17"/>
  <c r="AQ72" i="17"/>
  <c r="AR72" i="17"/>
  <c r="AS72" i="17"/>
  <c r="AW72" i="17"/>
  <c r="AX72" i="17"/>
  <c r="AY72" i="17"/>
  <c r="AZ72" i="17"/>
  <c r="BA72" i="17"/>
  <c r="BB72" i="17" s="1"/>
  <c r="BC72" i="17"/>
  <c r="BD72" i="17"/>
  <c r="BE72" i="17"/>
  <c r="BF72" i="17"/>
  <c r="BG72" i="17"/>
  <c r="BH72" i="17" s="1"/>
  <c r="BI72" i="17"/>
  <c r="BJ72" i="17"/>
  <c r="BK72" i="17"/>
  <c r="BL72" i="17"/>
  <c r="BM72" i="17"/>
  <c r="BN72" i="17" s="1"/>
  <c r="BO72" i="17"/>
  <c r="BP72" i="17" s="1"/>
  <c r="BR72" i="17"/>
  <c r="BQ72" i="17" s="1"/>
  <c r="BS72" i="17"/>
  <c r="BT72" i="17"/>
  <c r="BU72" i="17"/>
  <c r="BW72" i="17"/>
  <c r="BX72" i="17"/>
  <c r="BY72" i="17"/>
  <c r="BZ72" i="17" s="1"/>
  <c r="CB72" i="17"/>
  <c r="CD72" i="17" s="1"/>
  <c r="CC72" i="17"/>
  <c r="CE72" i="17"/>
  <c r="CF72" i="17"/>
  <c r="CG72" i="17"/>
  <c r="CH72" i="17"/>
  <c r="CI72" i="17" s="1"/>
  <c r="CK72" i="17"/>
  <c r="A73" i="17"/>
  <c r="B73" i="17"/>
  <c r="C73" i="17"/>
  <c r="D73" i="17"/>
  <c r="E73" i="17"/>
  <c r="F73" i="17"/>
  <c r="G73" i="17"/>
  <c r="H73" i="17"/>
  <c r="I73" i="17"/>
  <c r="J73" i="17"/>
  <c r="L73" i="17"/>
  <c r="M73" i="17"/>
  <c r="N73" i="17"/>
  <c r="P73" i="17"/>
  <c r="Q73" i="17"/>
  <c r="R73" i="17"/>
  <c r="U73" i="17"/>
  <c r="V73" i="17"/>
  <c r="W73" i="17"/>
  <c r="Y73" i="17"/>
  <c r="Z73" i="17"/>
  <c r="AA73" i="17"/>
  <c r="AB73" i="17"/>
  <c r="AC73" i="17" s="1"/>
  <c r="AD73" i="17"/>
  <c r="AF73" i="17"/>
  <c r="AG73" i="17"/>
  <c r="AW73" i="17" s="1"/>
  <c r="AH73" i="17"/>
  <c r="AI73" i="17"/>
  <c r="AJ73" i="17"/>
  <c r="AN73" i="17"/>
  <c r="AP73" i="17"/>
  <c r="AR73" i="17"/>
  <c r="AT73" i="17"/>
  <c r="AU73" i="17"/>
  <c r="AX73" i="17"/>
  <c r="AY73" i="17"/>
  <c r="AZ73" i="17"/>
  <c r="BA73" i="17"/>
  <c r="BG73" i="17"/>
  <c r="BH73" i="17"/>
  <c r="BI73" i="17"/>
  <c r="BK73" i="17"/>
  <c r="BL73" i="17"/>
  <c r="BM73" i="17"/>
  <c r="BN73" i="17"/>
  <c r="BO73" i="17"/>
  <c r="BQ73" i="17"/>
  <c r="BR73" i="17"/>
  <c r="BT73" i="17"/>
  <c r="BS73" i="17" s="1"/>
  <c r="BU73" i="17"/>
  <c r="BV73" i="17"/>
  <c r="BW73" i="17"/>
  <c r="BY73" i="17"/>
  <c r="CB73" i="17"/>
  <c r="CC73" i="17"/>
  <c r="CD73" i="17"/>
  <c r="CE73" i="17"/>
  <c r="CF73" i="17"/>
  <c r="CG73" i="17"/>
  <c r="CH73" i="17"/>
  <c r="CI73" i="17"/>
  <c r="CK73" i="17"/>
  <c r="A74" i="17"/>
  <c r="B74" i="17"/>
  <c r="C74" i="17"/>
  <c r="D74" i="17"/>
  <c r="E74" i="17"/>
  <c r="F74" i="17"/>
  <c r="G74" i="17"/>
  <c r="H74" i="17"/>
  <c r="I74" i="17"/>
  <c r="J74" i="17"/>
  <c r="L74" i="17"/>
  <c r="M74" i="17"/>
  <c r="N74" i="17" s="1"/>
  <c r="O74" i="17"/>
  <c r="P74" i="17"/>
  <c r="Q74" i="17"/>
  <c r="R74" i="17"/>
  <c r="AK74" i="17" s="1"/>
  <c r="W74" i="17"/>
  <c r="X74" i="17" s="1"/>
  <c r="Y74" i="17"/>
  <c r="AB74" i="17"/>
  <c r="AC74" i="17"/>
  <c r="AD74" i="17"/>
  <c r="AF74" i="17" s="1"/>
  <c r="AE74" i="17"/>
  <c r="AG74" i="17"/>
  <c r="AJ74" i="17"/>
  <c r="AL74" i="17" s="1"/>
  <c r="AM74" i="17"/>
  <c r="AN74" i="17"/>
  <c r="AO74" i="17" s="1"/>
  <c r="AP74" i="17"/>
  <c r="AQ74" i="17"/>
  <c r="AR74" i="17"/>
  <c r="AS74" i="17"/>
  <c r="AT74" i="17"/>
  <c r="AX74" i="17"/>
  <c r="AY74" i="17"/>
  <c r="AZ74" i="17"/>
  <c r="BA74" i="17"/>
  <c r="BB74" i="17"/>
  <c r="BC74" i="17"/>
  <c r="BD74" i="17" s="1"/>
  <c r="BE74" i="17"/>
  <c r="BF74" i="17"/>
  <c r="BG74" i="17"/>
  <c r="BH74" i="17" s="1"/>
  <c r="BI74" i="17"/>
  <c r="BJ74" i="17" s="1"/>
  <c r="BK74" i="17"/>
  <c r="BL74" i="17"/>
  <c r="BM74" i="17"/>
  <c r="BN74" i="17" s="1"/>
  <c r="AV74" i="17" s="1"/>
  <c r="BO74" i="17"/>
  <c r="BP74" i="17" s="1"/>
  <c r="BR74" i="17"/>
  <c r="BQ74" i="17" s="1"/>
  <c r="BS74" i="17"/>
  <c r="BT74" i="17"/>
  <c r="BU74" i="17"/>
  <c r="BW74" i="17"/>
  <c r="BX74" i="17"/>
  <c r="BY74" i="17"/>
  <c r="BZ74" i="17" s="1"/>
  <c r="CB74" i="17"/>
  <c r="CC74" i="17"/>
  <c r="CD74" i="17"/>
  <c r="CE74" i="17"/>
  <c r="CF74" i="17"/>
  <c r="CG74" i="17"/>
  <c r="CI74" i="17" s="1"/>
  <c r="CH74" i="17"/>
  <c r="CK74" i="17"/>
  <c r="A75" i="17"/>
  <c r="B75" i="17"/>
  <c r="C75" i="17"/>
  <c r="D75" i="17"/>
  <c r="E75" i="17"/>
  <c r="F75" i="17"/>
  <c r="G75" i="17"/>
  <c r="H75" i="17"/>
  <c r="I75" i="17"/>
  <c r="J75" i="17"/>
  <c r="L75" i="17"/>
  <c r="M75" i="17"/>
  <c r="N75" i="17"/>
  <c r="P75" i="17"/>
  <c r="Q75" i="17"/>
  <c r="W75" i="17"/>
  <c r="X75" i="17" s="1"/>
  <c r="Y75" i="17"/>
  <c r="AB75" i="17"/>
  <c r="AC75" i="17" s="1"/>
  <c r="AD75" i="17"/>
  <c r="AF75" i="17"/>
  <c r="AG75" i="17"/>
  <c r="AI75" i="17"/>
  <c r="AJ75" i="17"/>
  <c r="AL75" i="17"/>
  <c r="AN75" i="17"/>
  <c r="AP75" i="17"/>
  <c r="AQ75" i="17"/>
  <c r="AR75" i="17"/>
  <c r="AT75" i="17"/>
  <c r="AU75" i="17"/>
  <c r="AX75" i="17"/>
  <c r="AY75" i="17"/>
  <c r="AZ75" i="17"/>
  <c r="BA75" i="17"/>
  <c r="BB75" i="17" s="1"/>
  <c r="BG75" i="17"/>
  <c r="BI75" i="17"/>
  <c r="BJ75" i="17"/>
  <c r="BK75" i="17"/>
  <c r="BL75" i="17"/>
  <c r="BM75" i="17"/>
  <c r="BO75" i="17"/>
  <c r="BP75" i="17"/>
  <c r="BR75" i="17"/>
  <c r="BT75" i="17"/>
  <c r="BS75" i="17" s="1"/>
  <c r="BU75" i="17"/>
  <c r="BW75" i="17"/>
  <c r="BY75" i="17"/>
  <c r="BZ75" i="17"/>
  <c r="CA75" i="17"/>
  <c r="CB75" i="17"/>
  <c r="CC75" i="17"/>
  <c r="CD75" i="17"/>
  <c r="CE75" i="17"/>
  <c r="CF75" i="17"/>
  <c r="CG75" i="17"/>
  <c r="CH75" i="17"/>
  <c r="CI75" i="17" s="1"/>
  <c r="CK75" i="17"/>
  <c r="A76" i="17"/>
  <c r="B76" i="17"/>
  <c r="C76" i="17"/>
  <c r="D76" i="17"/>
  <c r="E76" i="17"/>
  <c r="F76" i="17"/>
  <c r="G76" i="17"/>
  <c r="H76" i="17"/>
  <c r="I76" i="17"/>
  <c r="J76" i="17"/>
  <c r="L76" i="17"/>
  <c r="M76" i="17"/>
  <c r="N76" i="17"/>
  <c r="P76" i="17"/>
  <c r="Q76" i="17"/>
  <c r="W76" i="17"/>
  <c r="Y76" i="17"/>
  <c r="Z76" i="17" s="1"/>
  <c r="AA76" i="17"/>
  <c r="AB76" i="17"/>
  <c r="AC76" i="17"/>
  <c r="AD76" i="17"/>
  <c r="AG76" i="17"/>
  <c r="AH76" i="17" s="1"/>
  <c r="AI76" i="17"/>
  <c r="AJ76" i="17"/>
  <c r="AN76" i="17"/>
  <c r="AO76" i="17"/>
  <c r="AP76" i="17"/>
  <c r="AR76" i="17"/>
  <c r="AS76" i="17" s="1"/>
  <c r="AW76" i="17"/>
  <c r="AX76" i="17"/>
  <c r="AY76" i="17"/>
  <c r="AZ76" i="17"/>
  <c r="BA76" i="17"/>
  <c r="BF76" i="17" s="1"/>
  <c r="BC76" i="17"/>
  <c r="BD76" i="17"/>
  <c r="BG76" i="17"/>
  <c r="BI76" i="17"/>
  <c r="BJ76" i="17"/>
  <c r="BK76" i="17"/>
  <c r="BL76" i="17"/>
  <c r="BM76" i="17"/>
  <c r="BO76" i="17"/>
  <c r="BP76" i="17"/>
  <c r="BQ76" i="17"/>
  <c r="BR76" i="17"/>
  <c r="BT76" i="17"/>
  <c r="BS76" i="17" s="1"/>
  <c r="BU76" i="17"/>
  <c r="BW76" i="17"/>
  <c r="BY76" i="17"/>
  <c r="BZ76" i="17" s="1"/>
  <c r="CB76" i="17"/>
  <c r="CD76" i="17" s="1"/>
  <c r="CC76" i="17"/>
  <c r="CE76" i="17"/>
  <c r="CF76" i="17"/>
  <c r="CG76" i="17"/>
  <c r="CH76" i="17"/>
  <c r="CI76" i="17"/>
  <c r="CK76" i="17"/>
  <c r="A77" i="17"/>
  <c r="B77" i="17"/>
  <c r="C77" i="17"/>
  <c r="D77" i="17"/>
  <c r="E77" i="17"/>
  <c r="F77" i="17"/>
  <c r="G77" i="17"/>
  <c r="H77" i="17"/>
  <c r="I77" i="17"/>
  <c r="J77" i="17"/>
  <c r="L77" i="17"/>
  <c r="M77" i="17"/>
  <c r="N77" i="17"/>
  <c r="O77" i="17"/>
  <c r="P77" i="17"/>
  <c r="Q77" i="17"/>
  <c r="R77" i="17"/>
  <c r="AK77" i="17" s="1"/>
  <c r="S77" i="17"/>
  <c r="T77" i="17"/>
  <c r="U77" i="17"/>
  <c r="V77" i="17"/>
  <c r="W77" i="17"/>
  <c r="X77" i="17"/>
  <c r="Y77" i="17"/>
  <c r="AA77" i="17"/>
  <c r="AB77" i="17"/>
  <c r="AD77" i="17"/>
  <c r="AE77" i="17"/>
  <c r="AG77" i="17"/>
  <c r="AH77" i="17"/>
  <c r="AJ77" i="17"/>
  <c r="AL77" i="17"/>
  <c r="AN77" i="17"/>
  <c r="AP77" i="17"/>
  <c r="AR77" i="17"/>
  <c r="AT77" i="17"/>
  <c r="AX77" i="17"/>
  <c r="AY77" i="17"/>
  <c r="AZ77" i="17"/>
  <c r="BA77" i="17"/>
  <c r="BC77" i="17"/>
  <c r="BF77" i="17"/>
  <c r="BG77" i="17"/>
  <c r="BH77" i="17"/>
  <c r="BI77" i="17"/>
  <c r="BK77" i="17"/>
  <c r="BL77" i="17"/>
  <c r="BM77" i="17"/>
  <c r="BO77" i="17"/>
  <c r="BP77" i="17" s="1"/>
  <c r="BR77" i="17"/>
  <c r="BQ77" i="17" s="1"/>
  <c r="BS77" i="17"/>
  <c r="BT77" i="17"/>
  <c r="BU77" i="17"/>
  <c r="BW77" i="17"/>
  <c r="BY77" i="17"/>
  <c r="BZ77" i="17"/>
  <c r="CB77" i="17"/>
  <c r="CC77" i="17"/>
  <c r="CD77" i="17" s="1"/>
  <c r="CE77" i="17"/>
  <c r="CF77" i="17"/>
  <c r="CG77" i="17"/>
  <c r="CI77" i="17" s="1"/>
  <c r="CH77" i="17"/>
  <c r="CK77" i="17"/>
  <c r="A78" i="17"/>
  <c r="B78" i="17"/>
  <c r="C78" i="17"/>
  <c r="D78" i="17"/>
  <c r="E78" i="17"/>
  <c r="F78" i="17"/>
  <c r="G78" i="17"/>
  <c r="H78" i="17"/>
  <c r="I78" i="17"/>
  <c r="J78" i="17"/>
  <c r="L78" i="17"/>
  <c r="BX78" i="17" s="1"/>
  <c r="M78" i="17"/>
  <c r="O78" i="17" s="1"/>
  <c r="N78" i="17"/>
  <c r="P78" i="17"/>
  <c r="Q78" i="17"/>
  <c r="W78" i="17"/>
  <c r="X78" i="17"/>
  <c r="Y78" i="17"/>
  <c r="AA78" i="17" s="1"/>
  <c r="Z78" i="17"/>
  <c r="AB78" i="17"/>
  <c r="AC78" i="17" s="1"/>
  <c r="AD78" i="17"/>
  <c r="AE78" i="17"/>
  <c r="AG78" i="17"/>
  <c r="AH78" i="17"/>
  <c r="AJ78" i="17"/>
  <c r="AN78" i="17"/>
  <c r="AM78" i="17" s="1"/>
  <c r="AO78" i="17"/>
  <c r="AP78" i="17"/>
  <c r="AR78" i="17"/>
  <c r="AS78" i="17" s="1"/>
  <c r="AV78" i="17" s="1"/>
  <c r="AW78" i="17"/>
  <c r="AX78" i="17"/>
  <c r="AY78" i="17"/>
  <c r="AZ78" i="17"/>
  <c r="BA78" i="17"/>
  <c r="BB78" i="17"/>
  <c r="BC78" i="17"/>
  <c r="BD78" i="17" s="1"/>
  <c r="BF78" i="17"/>
  <c r="BG78" i="17"/>
  <c r="BH78" i="17"/>
  <c r="BI78" i="17"/>
  <c r="AU78" i="17" s="1"/>
  <c r="BK78" i="17"/>
  <c r="BL78" i="17"/>
  <c r="BM78" i="17"/>
  <c r="BN78" i="17"/>
  <c r="BO78" i="17"/>
  <c r="BP78" i="17" s="1"/>
  <c r="BR78" i="17"/>
  <c r="BS78" i="17"/>
  <c r="BT78" i="17"/>
  <c r="BU78" i="17"/>
  <c r="BV78" i="17"/>
  <c r="BW78" i="17"/>
  <c r="BY78" i="17"/>
  <c r="BZ78" i="17" s="1"/>
  <c r="CA78" i="17"/>
  <c r="CB78" i="17"/>
  <c r="CD78" i="17" s="1"/>
  <c r="CC78" i="17"/>
  <c r="CE78" i="17"/>
  <c r="CF78" i="17"/>
  <c r="CG78" i="17"/>
  <c r="CH78" i="17"/>
  <c r="CI78" i="17" s="1"/>
  <c r="CK78" i="17"/>
  <c r="A79" i="17"/>
  <c r="B79" i="17"/>
  <c r="C79" i="17"/>
  <c r="D79" i="17"/>
  <c r="E79" i="17"/>
  <c r="F79" i="17"/>
  <c r="G79" i="17"/>
  <c r="H79" i="17"/>
  <c r="I79" i="17"/>
  <c r="J79" i="17"/>
  <c r="L79" i="17"/>
  <c r="M79" i="17"/>
  <c r="P79" i="17"/>
  <c r="Q79" i="17"/>
  <c r="S79" i="17"/>
  <c r="W79" i="17"/>
  <c r="AA79" i="17" s="1"/>
  <c r="Y79" i="17"/>
  <c r="Z79" i="17"/>
  <c r="AB79" i="17"/>
  <c r="AC79" i="17"/>
  <c r="AD79" i="17"/>
  <c r="AE79" i="17" s="1"/>
  <c r="AG79" i="17"/>
  <c r="AH79" i="17" s="1"/>
  <c r="AJ79" i="17"/>
  <c r="AM79" i="17"/>
  <c r="AN79" i="17"/>
  <c r="AO79" i="17"/>
  <c r="AP79" i="17"/>
  <c r="AQ79" i="17" s="1"/>
  <c r="AR79" i="17"/>
  <c r="AS79" i="17"/>
  <c r="AX79" i="17"/>
  <c r="AY79" i="17"/>
  <c r="AZ79" i="17"/>
  <c r="BA79" i="17"/>
  <c r="BF79" i="17" s="1"/>
  <c r="BB79" i="17"/>
  <c r="BE79" i="17" s="1"/>
  <c r="BC79" i="17"/>
  <c r="BD79" i="17"/>
  <c r="BG79" i="17"/>
  <c r="BH79" i="17" s="1"/>
  <c r="BI79" i="17"/>
  <c r="AU79" i="17" s="1"/>
  <c r="BJ79" i="17"/>
  <c r="BK79" i="17"/>
  <c r="BL79" i="17"/>
  <c r="BM79" i="17"/>
  <c r="BN79" i="17" s="1"/>
  <c r="AV79" i="17" s="1"/>
  <c r="BO79" i="17"/>
  <c r="BP79" i="17"/>
  <c r="BQ79" i="17"/>
  <c r="BR79" i="17"/>
  <c r="BS79" i="17"/>
  <c r="BT79" i="17"/>
  <c r="BU79" i="17"/>
  <c r="BV79" i="17"/>
  <c r="BW79" i="17"/>
  <c r="BY79" i="17"/>
  <c r="BZ79" i="17"/>
  <c r="CB79" i="17"/>
  <c r="CC79" i="17"/>
  <c r="CE79" i="17"/>
  <c r="CF79" i="17"/>
  <c r="CG79" i="17"/>
  <c r="CI79" i="17" s="1"/>
  <c r="CH79" i="17"/>
  <c r="CK79" i="17"/>
  <c r="A80" i="17"/>
  <c r="B80" i="17"/>
  <c r="C80" i="17"/>
  <c r="D80" i="17"/>
  <c r="E80" i="17"/>
  <c r="F80" i="17"/>
  <c r="G80" i="17"/>
  <c r="H80" i="17"/>
  <c r="I80" i="17"/>
  <c r="J80" i="17"/>
  <c r="L80" i="17"/>
  <c r="M80" i="17"/>
  <c r="P80" i="17"/>
  <c r="U80" i="17" s="1"/>
  <c r="Q80" i="17"/>
  <c r="R80" i="17"/>
  <c r="S80" i="17"/>
  <c r="T80" i="17"/>
  <c r="V80" i="17"/>
  <c r="W80" i="17"/>
  <c r="X80" i="17"/>
  <c r="Y80" i="17"/>
  <c r="AB80" i="17"/>
  <c r="AC80" i="17" s="1"/>
  <c r="AD80" i="17"/>
  <c r="AE80" i="17"/>
  <c r="AF80" i="17"/>
  <c r="AG80" i="17"/>
  <c r="AJ80" i="17"/>
  <c r="AM80" i="17"/>
  <c r="AN80" i="17"/>
  <c r="AO80" i="17" s="1"/>
  <c r="AP80" i="17"/>
  <c r="AQ80" i="17"/>
  <c r="AR80" i="17"/>
  <c r="AS80" i="17"/>
  <c r="AT80" i="17"/>
  <c r="AX80" i="17"/>
  <c r="AY80" i="17"/>
  <c r="AZ80" i="17"/>
  <c r="BA80" i="17"/>
  <c r="BB80" i="17"/>
  <c r="BE80" i="17" s="1"/>
  <c r="BF80" i="17"/>
  <c r="BG80" i="17"/>
  <c r="BH80" i="17"/>
  <c r="BI80" i="17"/>
  <c r="BJ80" i="17"/>
  <c r="BK80" i="17"/>
  <c r="BL80" i="17"/>
  <c r="BM80" i="17"/>
  <c r="BN80" i="17"/>
  <c r="AV80" i="17" s="1"/>
  <c r="BO80" i="17"/>
  <c r="BP80" i="17"/>
  <c r="BR80" i="17"/>
  <c r="BQ80" i="17" s="1"/>
  <c r="BT80" i="17"/>
  <c r="BS80" i="17" s="1"/>
  <c r="BU80" i="17"/>
  <c r="BV80" i="17" s="1"/>
  <c r="BW80" i="17"/>
  <c r="BY80" i="17"/>
  <c r="BZ80" i="17"/>
  <c r="CB80" i="17"/>
  <c r="CC80" i="17"/>
  <c r="CD80" i="17" s="1"/>
  <c r="CE80" i="17"/>
  <c r="CF80" i="17"/>
  <c r="CG80" i="17"/>
  <c r="CI80" i="17" s="1"/>
  <c r="CH80" i="17"/>
  <c r="CK80" i="17"/>
  <c r="A81" i="17"/>
  <c r="B81" i="17"/>
  <c r="C81" i="17"/>
  <c r="D81" i="17"/>
  <c r="E81" i="17"/>
  <c r="F81" i="17"/>
  <c r="G81" i="17"/>
  <c r="H81" i="17"/>
  <c r="I81" i="17"/>
  <c r="J81" i="17"/>
  <c r="L81" i="17"/>
  <c r="M81" i="17"/>
  <c r="O81" i="17" s="1"/>
  <c r="N81" i="17"/>
  <c r="P81" i="17"/>
  <c r="Q81" i="17"/>
  <c r="R81" i="17" s="1"/>
  <c r="W81" i="17"/>
  <c r="X81" i="17" s="1"/>
  <c r="Y81" i="17"/>
  <c r="Z81" i="17"/>
  <c r="AA81" i="17"/>
  <c r="AB81" i="17"/>
  <c r="AC81" i="17" s="1"/>
  <c r="AD81" i="17"/>
  <c r="AE81" i="17"/>
  <c r="AF81" i="17"/>
  <c r="AG81" i="17"/>
  <c r="AI81" i="17" s="1"/>
  <c r="AH81" i="17"/>
  <c r="AJ81" i="17"/>
  <c r="AK81" i="17"/>
  <c r="AL81" i="17"/>
  <c r="AM81" i="17"/>
  <c r="AN81" i="17"/>
  <c r="AO81" i="17" s="1"/>
  <c r="AP81" i="17"/>
  <c r="AQ81" i="17"/>
  <c r="AR81" i="17"/>
  <c r="AS81" i="17"/>
  <c r="AT81" i="17"/>
  <c r="AW81" i="17"/>
  <c r="AX81" i="17"/>
  <c r="AY81" i="17"/>
  <c r="AZ81" i="17"/>
  <c r="BA81" i="17"/>
  <c r="BG81" i="17"/>
  <c r="BH81" i="17" s="1"/>
  <c r="BI81" i="17"/>
  <c r="BK81" i="17"/>
  <c r="BL81" i="17"/>
  <c r="BM81" i="17"/>
  <c r="BN81" i="17" s="1"/>
  <c r="BO81" i="17"/>
  <c r="BP81" i="17" s="1"/>
  <c r="BR81" i="17"/>
  <c r="BQ81" i="17" s="1"/>
  <c r="BS81" i="17"/>
  <c r="BT81" i="17"/>
  <c r="BU81" i="17"/>
  <c r="CA81" i="17" s="1"/>
  <c r="BV81" i="17"/>
  <c r="BW81" i="17"/>
  <c r="BX81" i="17"/>
  <c r="BY81" i="17"/>
  <c r="BZ81" i="17" s="1"/>
  <c r="CB81" i="17"/>
  <c r="CC81" i="17"/>
  <c r="CE81" i="17"/>
  <c r="CF81" i="17"/>
  <c r="CG81" i="17"/>
  <c r="CH81" i="17"/>
  <c r="CI81" i="17" s="1"/>
  <c r="CK81" i="17"/>
  <c r="A82" i="17"/>
  <c r="B82" i="17"/>
  <c r="C82" i="17"/>
  <c r="D82" i="17"/>
  <c r="E82" i="17"/>
  <c r="F82" i="17"/>
  <c r="G82" i="17"/>
  <c r="H82" i="17"/>
  <c r="I82" i="17"/>
  <c r="J82" i="17"/>
  <c r="L82" i="17"/>
  <c r="M82" i="17"/>
  <c r="N82" i="17"/>
  <c r="O82" i="17"/>
  <c r="P82" i="17"/>
  <c r="Q82" i="17"/>
  <c r="R82" i="17"/>
  <c r="W82" i="17"/>
  <c r="Y82" i="17"/>
  <c r="AB82" i="17"/>
  <c r="AC82" i="17" s="1"/>
  <c r="AD82" i="17"/>
  <c r="AG82" i="17"/>
  <c r="AI82" i="17"/>
  <c r="AJ82" i="17"/>
  <c r="AM82" i="17"/>
  <c r="AN82" i="17"/>
  <c r="AP82" i="17"/>
  <c r="AQ82" i="17" s="1"/>
  <c r="AR82" i="17"/>
  <c r="AT82" i="17"/>
  <c r="AX82" i="17"/>
  <c r="AY82" i="17"/>
  <c r="AZ82" i="17"/>
  <c r="BA82" i="17"/>
  <c r="BF82" i="17"/>
  <c r="BG82" i="17"/>
  <c r="BH82" i="17"/>
  <c r="BI82" i="17"/>
  <c r="BK82" i="17"/>
  <c r="BL82" i="17"/>
  <c r="BM82" i="17"/>
  <c r="BN82" i="17" s="1"/>
  <c r="BO82" i="17"/>
  <c r="BR82" i="17"/>
  <c r="BQ82" i="17" s="1"/>
  <c r="BT82" i="17"/>
  <c r="BS82" i="17" s="1"/>
  <c r="BU82" i="17"/>
  <c r="BW82" i="17"/>
  <c r="CA82" i="17" s="1"/>
  <c r="BY82" i="17"/>
  <c r="BZ82" i="17"/>
  <c r="CB82" i="17"/>
  <c r="CC82" i="17"/>
  <c r="CD82" i="17"/>
  <c r="CE82" i="17"/>
  <c r="CF82" i="17"/>
  <c r="CG82" i="17"/>
  <c r="CH82" i="17"/>
  <c r="CI82" i="17"/>
  <c r="CK82" i="17"/>
  <c r="A83" i="17"/>
  <c r="B83" i="17"/>
  <c r="C83" i="17"/>
  <c r="D83" i="17"/>
  <c r="E83" i="17"/>
  <c r="F83" i="17"/>
  <c r="G83" i="17"/>
  <c r="H83" i="17"/>
  <c r="I83" i="17"/>
  <c r="J83" i="17"/>
  <c r="L83" i="17"/>
  <c r="M83" i="17"/>
  <c r="N83" i="17" s="1"/>
  <c r="O83" i="17"/>
  <c r="P83" i="17"/>
  <c r="Q83" i="17"/>
  <c r="W83" i="17"/>
  <c r="X83" i="17"/>
  <c r="Y83" i="17"/>
  <c r="Z83" i="17" s="1"/>
  <c r="AB83" i="17"/>
  <c r="AC83" i="17"/>
  <c r="AD83" i="17"/>
  <c r="AE83" i="17"/>
  <c r="AG83" i="17"/>
  <c r="AH83" i="17" s="1"/>
  <c r="AI83" i="17"/>
  <c r="AJ83" i="17"/>
  <c r="AM83" i="17"/>
  <c r="AN83" i="17"/>
  <c r="AO83" i="17" s="1"/>
  <c r="AP83" i="17"/>
  <c r="AQ83" i="17"/>
  <c r="AR83" i="17"/>
  <c r="AS83" i="17"/>
  <c r="AT83" i="17"/>
  <c r="AX83" i="17"/>
  <c r="AY83" i="17"/>
  <c r="AZ83" i="17"/>
  <c r="BA83" i="17"/>
  <c r="BB83" i="17" s="1"/>
  <c r="BE83" i="17" s="1"/>
  <c r="BC83" i="17"/>
  <c r="BD83" i="17" s="1"/>
  <c r="BF83" i="17"/>
  <c r="BG83" i="17"/>
  <c r="BH83" i="17"/>
  <c r="BI83" i="17"/>
  <c r="BJ83" i="17" s="1"/>
  <c r="BK83" i="17"/>
  <c r="BL83" i="17"/>
  <c r="BM83" i="17"/>
  <c r="BN83" i="17" s="1"/>
  <c r="AV83" i="17" s="1"/>
  <c r="BO83" i="17"/>
  <c r="BP83" i="17" s="1"/>
  <c r="BQ83" i="17"/>
  <c r="BR83" i="17"/>
  <c r="BT83" i="17"/>
  <c r="BS83" i="17" s="1"/>
  <c r="BU83" i="17"/>
  <c r="BV83" i="17" s="1"/>
  <c r="BW83" i="17"/>
  <c r="BX83" i="17"/>
  <c r="BY83" i="17"/>
  <c r="BZ83" i="17" s="1"/>
  <c r="CB83" i="17"/>
  <c r="CC83" i="17"/>
  <c r="CD83" i="17"/>
  <c r="CE83" i="17"/>
  <c r="CF83" i="17"/>
  <c r="CG83" i="17"/>
  <c r="CH83" i="17"/>
  <c r="CI83" i="17"/>
  <c r="CK83" i="17"/>
  <c r="A84" i="17"/>
  <c r="B84" i="17"/>
  <c r="C84" i="17"/>
  <c r="D84" i="17"/>
  <c r="E84" i="17"/>
  <c r="F84" i="17"/>
  <c r="G84" i="17"/>
  <c r="H84" i="17"/>
  <c r="I84" i="17"/>
  <c r="J84" i="17"/>
  <c r="L84" i="17"/>
  <c r="AH84" i="17" s="1"/>
  <c r="M84" i="17"/>
  <c r="N84" i="17"/>
  <c r="P84" i="17"/>
  <c r="Q84" i="17"/>
  <c r="R84" i="17"/>
  <c r="W84" i="17"/>
  <c r="X84" i="17"/>
  <c r="Y84" i="17"/>
  <c r="AB84" i="17"/>
  <c r="AC84" i="17"/>
  <c r="AD84" i="17"/>
  <c r="AG84" i="17"/>
  <c r="AJ84" i="17"/>
  <c r="AK84" i="17" s="1"/>
  <c r="AL84" i="17"/>
  <c r="AN84" i="17"/>
  <c r="AM84" i="17" s="1"/>
  <c r="AP84" i="17"/>
  <c r="AI84" i="17" s="1"/>
  <c r="AQ84" i="17"/>
  <c r="AR84" i="17"/>
  <c r="AS84" i="17" s="1"/>
  <c r="AX84" i="17"/>
  <c r="AY84" i="17"/>
  <c r="AZ84" i="17"/>
  <c r="BA84" i="17"/>
  <c r="BB84" i="17" s="1"/>
  <c r="BD84" i="17"/>
  <c r="BF84" i="17"/>
  <c r="BG84" i="17"/>
  <c r="BH84" i="17" s="1"/>
  <c r="BI84" i="17"/>
  <c r="BC84" i="17" s="1"/>
  <c r="BJ84" i="17"/>
  <c r="BK84" i="17"/>
  <c r="BL84" i="17"/>
  <c r="BM84" i="17"/>
  <c r="BN84" i="17" s="1"/>
  <c r="AV84" i="17" s="1"/>
  <c r="BO84" i="17"/>
  <c r="BP84" i="17"/>
  <c r="BQ84" i="17"/>
  <c r="BR84" i="17"/>
  <c r="BS84" i="17"/>
  <c r="BT84" i="17"/>
  <c r="BU84" i="17"/>
  <c r="BV84" i="17"/>
  <c r="BW84" i="17"/>
  <c r="CA84" i="17" s="1"/>
  <c r="BY84" i="17"/>
  <c r="BZ84" i="17" s="1"/>
  <c r="CB84" i="17"/>
  <c r="CD84" i="17" s="1"/>
  <c r="CC84" i="17"/>
  <c r="CE84" i="17"/>
  <c r="CF84" i="17"/>
  <c r="CG84" i="17"/>
  <c r="CH84" i="17"/>
  <c r="CI84" i="17" s="1"/>
  <c r="CK84" i="17"/>
  <c r="A85" i="17"/>
  <c r="B85" i="17"/>
  <c r="C85" i="17"/>
  <c r="D85" i="17"/>
  <c r="E85" i="17"/>
  <c r="F85" i="17"/>
  <c r="G85" i="17"/>
  <c r="H85" i="17"/>
  <c r="I85" i="17"/>
  <c r="J85" i="17"/>
  <c r="L85" i="17"/>
  <c r="M85" i="17"/>
  <c r="N85" i="17"/>
  <c r="O85" i="17"/>
  <c r="P85" i="17"/>
  <c r="Q85" i="17"/>
  <c r="V85" i="17" s="1"/>
  <c r="U85" i="17"/>
  <c r="W85" i="17"/>
  <c r="X85" i="17" s="1"/>
  <c r="Y85" i="17"/>
  <c r="Z85" i="17"/>
  <c r="AA85" i="17"/>
  <c r="AB85" i="17"/>
  <c r="AC85" i="17" s="1"/>
  <c r="AD85" i="17"/>
  <c r="AE85" i="17" s="1"/>
  <c r="AF85" i="17"/>
  <c r="AG85" i="17"/>
  <c r="AW85" i="17" s="1"/>
  <c r="AH85" i="17"/>
  <c r="AI85" i="17"/>
  <c r="AJ85" i="17"/>
  <c r="AL85" i="17"/>
  <c r="AM85" i="17"/>
  <c r="AN85" i="17"/>
  <c r="AO85" i="17"/>
  <c r="AP85" i="17"/>
  <c r="AQ85" i="17" s="1"/>
  <c r="AR85" i="17"/>
  <c r="AS85" i="17"/>
  <c r="AT85" i="17"/>
  <c r="AU85" i="17"/>
  <c r="AX85" i="17"/>
  <c r="AY85" i="17"/>
  <c r="AZ85" i="17"/>
  <c r="BA85" i="17"/>
  <c r="BG85" i="17"/>
  <c r="BH85" i="17" s="1"/>
  <c r="BI85" i="17"/>
  <c r="BJ85" i="17"/>
  <c r="BK85" i="17"/>
  <c r="BL85" i="17"/>
  <c r="BM85" i="17"/>
  <c r="BN85" i="17" s="1"/>
  <c r="BO85" i="17"/>
  <c r="BP85" i="17"/>
  <c r="BQ85" i="17"/>
  <c r="BR85" i="17"/>
  <c r="BS85" i="17"/>
  <c r="BT85" i="17"/>
  <c r="BU85" i="17"/>
  <c r="BV85" i="17"/>
  <c r="BW85" i="17"/>
  <c r="CA85" i="17" s="1"/>
  <c r="BY85" i="17"/>
  <c r="BZ85" i="17" s="1"/>
  <c r="CB85" i="17"/>
  <c r="CC85" i="17"/>
  <c r="CD85" i="17"/>
  <c r="CE85" i="17"/>
  <c r="CF85" i="17"/>
  <c r="CG85" i="17"/>
  <c r="CH85" i="17"/>
  <c r="CI85" i="17"/>
  <c r="CK85" i="17"/>
  <c r="A86" i="17"/>
  <c r="B86" i="17"/>
  <c r="C86" i="17"/>
  <c r="D86" i="17"/>
  <c r="E86" i="17"/>
  <c r="F86" i="17"/>
  <c r="G86" i="17"/>
  <c r="H86" i="17"/>
  <c r="I86" i="17"/>
  <c r="J86" i="17"/>
  <c r="L86" i="17"/>
  <c r="AH86" i="17" s="1"/>
  <c r="M86" i="17"/>
  <c r="N86" i="17" s="1"/>
  <c r="P86" i="17"/>
  <c r="Q86" i="17"/>
  <c r="V86" i="17"/>
  <c r="W86" i="17"/>
  <c r="AA86" i="17" s="1"/>
  <c r="Y86" i="17"/>
  <c r="Z86" i="17" s="1"/>
  <c r="AB86" i="17"/>
  <c r="AD86" i="17"/>
  <c r="AG86" i="17"/>
  <c r="AI86" i="17"/>
  <c r="AJ86" i="17"/>
  <c r="AN86" i="17"/>
  <c r="AO86" i="17"/>
  <c r="AP86" i="17"/>
  <c r="AQ86" i="17" s="1"/>
  <c r="AR86" i="17"/>
  <c r="AT86" i="17"/>
  <c r="AU86" i="17"/>
  <c r="AX86" i="17"/>
  <c r="AY86" i="17"/>
  <c r="AZ86" i="17"/>
  <c r="BA86" i="17"/>
  <c r="BG86" i="17"/>
  <c r="BH86" i="17" s="1"/>
  <c r="BI86" i="17"/>
  <c r="BK86" i="17"/>
  <c r="BL86" i="17"/>
  <c r="BM86" i="17"/>
  <c r="BN86" i="17"/>
  <c r="BO86" i="17"/>
  <c r="BP86" i="17" s="1"/>
  <c r="BR86" i="17"/>
  <c r="BS86" i="17"/>
  <c r="BT86" i="17"/>
  <c r="BU86" i="17"/>
  <c r="BW86" i="17"/>
  <c r="CA86" i="17" s="1"/>
  <c r="BX86" i="17"/>
  <c r="BY86" i="17"/>
  <c r="BZ86" i="17"/>
  <c r="CB86" i="17"/>
  <c r="CC86" i="17"/>
  <c r="CD86" i="17"/>
  <c r="CE86" i="17"/>
  <c r="CF86" i="17"/>
  <c r="CG86" i="17"/>
  <c r="CH86" i="17"/>
  <c r="CI86" i="17"/>
  <c r="CK86" i="17"/>
  <c r="A87" i="17"/>
  <c r="B87" i="17"/>
  <c r="C87" i="17"/>
  <c r="D87" i="17"/>
  <c r="E87" i="17"/>
  <c r="F87" i="17"/>
  <c r="G87" i="17"/>
  <c r="H87" i="17"/>
  <c r="I87" i="17"/>
  <c r="J87" i="17"/>
  <c r="L87" i="17"/>
  <c r="AH87" i="17" s="1"/>
  <c r="M87" i="17"/>
  <c r="P87" i="17"/>
  <c r="U87" i="17" s="1"/>
  <c r="Q87" i="17"/>
  <c r="S87" i="17"/>
  <c r="W87" i="17"/>
  <c r="X87" i="17" s="1"/>
  <c r="Y87" i="17"/>
  <c r="AB87" i="17"/>
  <c r="AD87" i="17"/>
  <c r="AG87" i="17"/>
  <c r="AI87" i="17"/>
  <c r="AJ87" i="17"/>
  <c r="AN87" i="17"/>
  <c r="AM87" i="17" s="1"/>
  <c r="AO87" i="17"/>
  <c r="AP87" i="17"/>
  <c r="AT87" i="17" s="1"/>
  <c r="AQ87" i="17"/>
  <c r="AR87" i="17"/>
  <c r="AU87" i="17"/>
  <c r="AX87" i="17"/>
  <c r="AY87" i="17"/>
  <c r="AZ87" i="17"/>
  <c r="BA87" i="17"/>
  <c r="BF87" i="17" s="1"/>
  <c r="BB87" i="17"/>
  <c r="BE87" i="17" s="1"/>
  <c r="BC87" i="17"/>
  <c r="BD87" i="17" s="1"/>
  <c r="BG87" i="17"/>
  <c r="BH87" i="17"/>
  <c r="BI87" i="17"/>
  <c r="BK87" i="17"/>
  <c r="BL87" i="17"/>
  <c r="BM87" i="17"/>
  <c r="BN87" i="17" s="1"/>
  <c r="BO87" i="17"/>
  <c r="BP87" i="17" s="1"/>
  <c r="BR87" i="17"/>
  <c r="BT87" i="17"/>
  <c r="BS87" i="17" s="1"/>
  <c r="BU87" i="17"/>
  <c r="BV87" i="17" s="1"/>
  <c r="BW87" i="17"/>
  <c r="BX87" i="17"/>
  <c r="BY87" i="17"/>
  <c r="CA87" i="17"/>
  <c r="CB87" i="17"/>
  <c r="CC87" i="17"/>
  <c r="CD87" i="17"/>
  <c r="CE87" i="17"/>
  <c r="CF87" i="17"/>
  <c r="CG87" i="17"/>
  <c r="CH87" i="17"/>
  <c r="CK87" i="17"/>
  <c r="A88" i="17"/>
  <c r="B88" i="17"/>
  <c r="C88" i="17"/>
  <c r="D88" i="17"/>
  <c r="E88" i="17"/>
  <c r="F88" i="17"/>
  <c r="G88" i="17"/>
  <c r="H88" i="17"/>
  <c r="I88" i="17"/>
  <c r="J88" i="17"/>
  <c r="L88" i="17"/>
  <c r="X88" i="17" s="1"/>
  <c r="M88" i="17"/>
  <c r="N88" i="17"/>
  <c r="P88" i="17"/>
  <c r="Q88" i="17"/>
  <c r="S88" i="17"/>
  <c r="W88" i="17"/>
  <c r="Y88" i="17"/>
  <c r="AA88" i="17" s="1"/>
  <c r="AB88" i="17"/>
  <c r="AD88" i="17"/>
  <c r="AW88" i="17" s="1"/>
  <c r="AE88" i="17"/>
  <c r="AG88" i="17"/>
  <c r="AJ88" i="17"/>
  <c r="AN88" i="17"/>
  <c r="AP88" i="17"/>
  <c r="AR88" i="17"/>
  <c r="AX88" i="17"/>
  <c r="AY88" i="17"/>
  <c r="AZ88" i="17"/>
  <c r="BA88" i="17"/>
  <c r="BG88" i="17"/>
  <c r="BI88" i="17"/>
  <c r="BJ88" i="17" s="1"/>
  <c r="BK88" i="17"/>
  <c r="BL88" i="17"/>
  <c r="BM88" i="17"/>
  <c r="BO88" i="17"/>
  <c r="BP88" i="17" s="1"/>
  <c r="BR88" i="17"/>
  <c r="BS88" i="17"/>
  <c r="BT88" i="17"/>
  <c r="BU88" i="17"/>
  <c r="CA88" i="17" s="1"/>
  <c r="BV88" i="17"/>
  <c r="BW88" i="17"/>
  <c r="BY88" i="17"/>
  <c r="BZ88" i="17"/>
  <c r="CB88" i="17"/>
  <c r="CD88" i="17" s="1"/>
  <c r="CC88" i="17"/>
  <c r="CE88" i="17"/>
  <c r="CF88" i="17"/>
  <c r="CG88" i="17"/>
  <c r="CH88" i="17"/>
  <c r="CK88" i="17"/>
  <c r="A89" i="17"/>
  <c r="B89" i="17"/>
  <c r="C89" i="17"/>
  <c r="D89" i="17"/>
  <c r="E89" i="17"/>
  <c r="F89" i="17"/>
  <c r="G89" i="17"/>
  <c r="H89" i="17"/>
  <c r="I89" i="17"/>
  <c r="J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 s="1"/>
  <c r="AD89" i="17"/>
  <c r="AG89" i="17"/>
  <c r="AJ89" i="17"/>
  <c r="AK89" i="17" s="1"/>
  <c r="AL89" i="17"/>
  <c r="AM89" i="17"/>
  <c r="AN89" i="17"/>
  <c r="AO89" i="17" s="1"/>
  <c r="AP89" i="17"/>
  <c r="AR89" i="17"/>
  <c r="AS89" i="17"/>
  <c r="AX89" i="17"/>
  <c r="AY89" i="17"/>
  <c r="AZ89" i="17"/>
  <c r="BA89" i="17"/>
  <c r="BB89" i="17"/>
  <c r="BE89" i="17"/>
  <c r="BF89" i="17"/>
  <c r="BG89" i="17"/>
  <c r="BH89" i="17"/>
  <c r="BI89" i="17"/>
  <c r="AU89" i="17" s="1"/>
  <c r="BJ89" i="17"/>
  <c r="BK89" i="17"/>
  <c r="BL89" i="17"/>
  <c r="BM89" i="17"/>
  <c r="BN89" i="17"/>
  <c r="BO89" i="17"/>
  <c r="BP89" i="17"/>
  <c r="BQ89" i="17"/>
  <c r="BR89" i="17"/>
  <c r="BT89" i="17"/>
  <c r="BS89" i="17" s="1"/>
  <c r="BU89" i="17"/>
  <c r="BV89" i="17"/>
  <c r="BW89" i="17"/>
  <c r="BX89" i="17" s="1"/>
  <c r="BY89" i="17"/>
  <c r="BZ89" i="17"/>
  <c r="CA89" i="17"/>
  <c r="CB89" i="17"/>
  <c r="CC89" i="17"/>
  <c r="CE89" i="17"/>
  <c r="CF89" i="17"/>
  <c r="CG89" i="17"/>
  <c r="CH89" i="17"/>
  <c r="CI89" i="17" s="1"/>
  <c r="CK89" i="17"/>
  <c r="A90" i="17"/>
  <c r="B90" i="17"/>
  <c r="C90" i="17"/>
  <c r="D90" i="17"/>
  <c r="E90" i="17"/>
  <c r="F90" i="17"/>
  <c r="G90" i="17"/>
  <c r="H90" i="17"/>
  <c r="I90" i="17"/>
  <c r="J90" i="17"/>
  <c r="L90" i="17"/>
  <c r="M90" i="17"/>
  <c r="N90" i="17"/>
  <c r="O90" i="17"/>
  <c r="P90" i="17"/>
  <c r="S90" i="17" s="1"/>
  <c r="T90" i="17" s="1"/>
  <c r="Q90" i="17"/>
  <c r="R90" i="17" s="1"/>
  <c r="AK90" i="17" s="1"/>
  <c r="U90" i="17"/>
  <c r="V90" i="17"/>
  <c r="W90" i="17"/>
  <c r="X90" i="17" s="1"/>
  <c r="Y90" i="17"/>
  <c r="AB90" i="17"/>
  <c r="AC90" i="17" s="1"/>
  <c r="AD90" i="17"/>
  <c r="AE90" i="17"/>
  <c r="AF90" i="17"/>
  <c r="AG90" i="17"/>
  <c r="AI90" i="17" s="1"/>
  <c r="AH90" i="17"/>
  <c r="AJ90" i="17"/>
  <c r="AL90" i="17"/>
  <c r="AM90" i="17"/>
  <c r="AN90" i="17"/>
  <c r="AO90" i="17" s="1"/>
  <c r="AP90" i="17"/>
  <c r="AQ90" i="17"/>
  <c r="AR90" i="17"/>
  <c r="AW90" i="17" s="1"/>
  <c r="AT90" i="17"/>
  <c r="AX90" i="17"/>
  <c r="AY90" i="17"/>
  <c r="AZ90" i="17"/>
  <c r="BA90" i="17"/>
  <c r="BB90" i="17" s="1"/>
  <c r="BC90" i="17"/>
  <c r="BD90" i="17" s="1"/>
  <c r="BE90" i="17"/>
  <c r="BF90" i="17"/>
  <c r="BG90" i="17"/>
  <c r="BH90" i="17" s="1"/>
  <c r="BI90" i="17"/>
  <c r="BJ90" i="17"/>
  <c r="BK90" i="17"/>
  <c r="BL90" i="17"/>
  <c r="BM90" i="17"/>
  <c r="BN90" i="17" s="1"/>
  <c r="BO90" i="17"/>
  <c r="BP90" i="17" s="1"/>
  <c r="BQ90" i="17"/>
  <c r="BR90" i="17"/>
  <c r="BS90" i="17"/>
  <c r="BT90" i="17"/>
  <c r="BU90" i="17"/>
  <c r="BV90" i="17" s="1"/>
  <c r="BW90" i="17"/>
  <c r="BX90" i="17" s="1"/>
  <c r="BY90" i="17"/>
  <c r="BZ90" i="17" s="1"/>
  <c r="CA90" i="17"/>
  <c r="CB90" i="17"/>
  <c r="CC90" i="17"/>
  <c r="CD90" i="17"/>
  <c r="CE90" i="17"/>
  <c r="CF90" i="17"/>
  <c r="CG90" i="17"/>
  <c r="CH90" i="17"/>
  <c r="CI90" i="17" s="1"/>
  <c r="CK90" i="17"/>
  <c r="A91" i="17"/>
  <c r="B91" i="17"/>
  <c r="C91" i="17"/>
  <c r="D91" i="17"/>
  <c r="E91" i="17"/>
  <c r="F91" i="17"/>
  <c r="G91" i="17"/>
  <c r="H91" i="17"/>
  <c r="I91" i="17"/>
  <c r="J91" i="17"/>
  <c r="L91" i="17"/>
  <c r="M91" i="17"/>
  <c r="N91" i="17"/>
  <c r="O91" i="17"/>
  <c r="P91" i="17"/>
  <c r="Q91" i="17"/>
  <c r="W91" i="17"/>
  <c r="X91" i="17" s="1"/>
  <c r="Y91" i="17"/>
  <c r="Z91" i="17"/>
  <c r="AB91" i="17"/>
  <c r="AC91" i="17"/>
  <c r="AD91" i="17"/>
  <c r="AE91" i="17" s="1"/>
  <c r="AF91" i="17"/>
  <c r="AG91" i="17"/>
  <c r="AJ91" i="17"/>
  <c r="AL91" i="17"/>
  <c r="AN91" i="17"/>
  <c r="AP91" i="17"/>
  <c r="AQ91" i="17" s="1"/>
  <c r="AR91" i="17"/>
  <c r="AU91" i="17"/>
  <c r="AX91" i="17"/>
  <c r="AY91" i="17"/>
  <c r="AZ91" i="17"/>
  <c r="BA91" i="17"/>
  <c r="BG91" i="17"/>
  <c r="BH91" i="17" s="1"/>
  <c r="BI91" i="17"/>
  <c r="BJ91" i="17"/>
  <c r="BK91" i="17"/>
  <c r="BL91" i="17"/>
  <c r="BM91" i="17"/>
  <c r="BN91" i="17" s="1"/>
  <c r="BO91" i="17"/>
  <c r="BP91" i="17"/>
  <c r="BQ91" i="17"/>
  <c r="BR91" i="17"/>
  <c r="BS91" i="17"/>
  <c r="BT91" i="17"/>
  <c r="BU91" i="17"/>
  <c r="BV91" i="17"/>
  <c r="BW91" i="17"/>
  <c r="CA91" i="17" s="1"/>
  <c r="BY91" i="17"/>
  <c r="BZ91" i="17" s="1"/>
  <c r="CB91" i="17"/>
  <c r="CC91" i="17"/>
  <c r="CD91" i="17"/>
  <c r="CE91" i="17"/>
  <c r="CF91" i="17"/>
  <c r="CG91" i="17"/>
  <c r="CH91" i="17"/>
  <c r="CI91" i="17"/>
  <c r="CK91" i="17"/>
  <c r="A92" i="17"/>
  <c r="B92" i="17"/>
  <c r="C92" i="17"/>
  <c r="D92" i="17"/>
  <c r="E92" i="17"/>
  <c r="F92" i="17"/>
  <c r="G92" i="17"/>
  <c r="H92" i="17"/>
  <c r="I92" i="17"/>
  <c r="J92" i="17"/>
  <c r="L92" i="17"/>
  <c r="AH92" i="17" s="1"/>
  <c r="M92" i="17"/>
  <c r="N92" i="17" s="1"/>
  <c r="O92" i="17"/>
  <c r="P92" i="17"/>
  <c r="Q92" i="17"/>
  <c r="V92" i="17" s="1"/>
  <c r="R92" i="17"/>
  <c r="U92" i="17"/>
  <c r="W92" i="17"/>
  <c r="X92" i="17" s="1"/>
  <c r="Y92" i="17"/>
  <c r="AA92" i="17"/>
  <c r="AB92" i="17"/>
  <c r="AC92" i="17" s="1"/>
  <c r="AD92" i="17"/>
  <c r="AG92" i="17"/>
  <c r="AJ92" i="17"/>
  <c r="AM92" i="17"/>
  <c r="AN92" i="17"/>
  <c r="AP92" i="17"/>
  <c r="AI92" i="17" s="1"/>
  <c r="AR92" i="17"/>
  <c r="AS92" i="17"/>
  <c r="AV92" i="17"/>
  <c r="AX92" i="17"/>
  <c r="AY92" i="17"/>
  <c r="AZ92" i="17"/>
  <c r="BA92" i="17"/>
  <c r="BB92" i="17"/>
  <c r="BF92" i="17"/>
  <c r="BG92" i="17"/>
  <c r="BI92" i="17"/>
  <c r="BK92" i="17"/>
  <c r="BL92" i="17"/>
  <c r="BM92" i="17"/>
  <c r="BN92" i="17" s="1"/>
  <c r="BO92" i="17"/>
  <c r="BQ92" i="17"/>
  <c r="BR92" i="17"/>
  <c r="BT92" i="17"/>
  <c r="BS92" i="17" s="1"/>
  <c r="BU92" i="17"/>
  <c r="BW92" i="17"/>
  <c r="BX92" i="17"/>
  <c r="BY92" i="17"/>
  <c r="BZ92" i="17" s="1"/>
  <c r="CA92" i="17"/>
  <c r="CB92" i="17"/>
  <c r="CC92" i="17"/>
  <c r="CD92" i="17"/>
  <c r="CE92" i="17"/>
  <c r="CF92" i="17"/>
  <c r="CG92" i="17"/>
  <c r="CI92" i="17" s="1"/>
  <c r="CH92" i="17"/>
  <c r="CK92" i="17"/>
  <c r="A93" i="17"/>
  <c r="B93" i="17"/>
  <c r="C93" i="17"/>
  <c r="D93" i="17"/>
  <c r="E93" i="17"/>
  <c r="F93" i="17"/>
  <c r="G93" i="17"/>
  <c r="H93" i="17"/>
  <c r="I93" i="17"/>
  <c r="J93" i="17"/>
  <c r="L93" i="17"/>
  <c r="BX93" i="17" s="1"/>
  <c r="M93" i="17"/>
  <c r="N93" i="17"/>
  <c r="P93" i="17"/>
  <c r="Q93" i="17"/>
  <c r="T93" i="17" s="1"/>
  <c r="R93" i="17"/>
  <c r="AK93" i="17" s="1"/>
  <c r="S93" i="17"/>
  <c r="V93" i="17"/>
  <c r="W93" i="17"/>
  <c r="Y93" i="17"/>
  <c r="AB93" i="17"/>
  <c r="AC93" i="17"/>
  <c r="AD93" i="17"/>
  <c r="AG93" i="17"/>
  <c r="AJ93" i="17"/>
  <c r="AN93" i="17"/>
  <c r="AM93" i="17" s="1"/>
  <c r="AP93" i="17"/>
  <c r="AQ93" i="17" s="1"/>
  <c r="AR93" i="17"/>
  <c r="AU93" i="17"/>
  <c r="AW93" i="17"/>
  <c r="AX93" i="17"/>
  <c r="AY93" i="17"/>
  <c r="AZ93" i="17"/>
  <c r="BA93" i="17"/>
  <c r="BF93" i="17" s="1"/>
  <c r="BC93" i="17"/>
  <c r="BD93" i="17" s="1"/>
  <c r="BG93" i="17"/>
  <c r="BH93" i="17" s="1"/>
  <c r="BI93" i="17"/>
  <c r="BJ93" i="17"/>
  <c r="BK93" i="17"/>
  <c r="BL93" i="17"/>
  <c r="BM93" i="17"/>
  <c r="BN93" i="17" s="1"/>
  <c r="BO93" i="17"/>
  <c r="BP93" i="17"/>
  <c r="BR93" i="17"/>
  <c r="BT93" i="17"/>
  <c r="BS93" i="17" s="1"/>
  <c r="BU93" i="17"/>
  <c r="BV93" i="17" s="1"/>
  <c r="BW93" i="17"/>
  <c r="BY93" i="17"/>
  <c r="BZ93" i="17"/>
  <c r="CA93" i="17"/>
  <c r="CB93" i="17"/>
  <c r="CD93" i="17" s="1"/>
  <c r="CC93" i="17"/>
  <c r="CE93" i="17"/>
  <c r="CF93" i="17"/>
  <c r="CG93" i="17"/>
  <c r="CH93" i="17"/>
  <c r="CK93" i="17"/>
  <c r="A94" i="17"/>
  <c r="B94" i="17"/>
  <c r="C94" i="17"/>
  <c r="D94" i="17"/>
  <c r="E94" i="17"/>
  <c r="F94" i="17"/>
  <c r="G94" i="17"/>
  <c r="H94" i="17"/>
  <c r="I94" i="17"/>
  <c r="J94" i="17"/>
  <c r="L94" i="17"/>
  <c r="M94" i="17"/>
  <c r="N94" i="17"/>
  <c r="O94" i="17"/>
  <c r="P94" i="17"/>
  <c r="Q94" i="17"/>
  <c r="W94" i="17"/>
  <c r="X94" i="17"/>
  <c r="Y94" i="17"/>
  <c r="Z94" i="17"/>
  <c r="AA94" i="17"/>
  <c r="AB94" i="17"/>
  <c r="AC94" i="17"/>
  <c r="AD94" i="17"/>
  <c r="AG94" i="17"/>
  <c r="AJ94" i="17"/>
  <c r="AL94" i="17" s="1"/>
  <c r="AM94" i="17"/>
  <c r="AN94" i="17"/>
  <c r="AO94" i="17"/>
  <c r="AP94" i="17"/>
  <c r="AT94" i="17" s="1"/>
  <c r="AQ94" i="17"/>
  <c r="AR94" i="17"/>
  <c r="AS94" i="17"/>
  <c r="AU94" i="17"/>
  <c r="AX94" i="17"/>
  <c r="AY94" i="17"/>
  <c r="AZ94" i="17"/>
  <c r="BA94" i="17"/>
  <c r="BG94" i="17"/>
  <c r="BH94" i="17"/>
  <c r="BI94" i="17"/>
  <c r="BJ94" i="17" s="1"/>
  <c r="BK94" i="17"/>
  <c r="BL94" i="17"/>
  <c r="BM94" i="17"/>
  <c r="BN94" i="17"/>
  <c r="AV94" i="17" s="1"/>
  <c r="BO94" i="17"/>
  <c r="BP94" i="17" s="1"/>
  <c r="BQ94" i="17"/>
  <c r="BR94" i="17"/>
  <c r="BT94" i="17"/>
  <c r="BS94" i="17" s="1"/>
  <c r="BU94" i="17"/>
  <c r="BV94" i="17" s="1"/>
  <c r="BW94" i="17"/>
  <c r="BX94" i="17" s="1"/>
  <c r="BY94" i="17"/>
  <c r="BZ94" i="17"/>
  <c r="CB94" i="17"/>
  <c r="CD94" i="17" s="1"/>
  <c r="CC94" i="17"/>
  <c r="CE94" i="17"/>
  <c r="CF94" i="17"/>
  <c r="CG94" i="17"/>
  <c r="CH94" i="17"/>
  <c r="CI94" i="17" s="1"/>
  <c r="CK94" i="17"/>
  <c r="A95" i="17"/>
  <c r="B95" i="17"/>
  <c r="C95" i="17"/>
  <c r="D95" i="17"/>
  <c r="E95" i="17"/>
  <c r="F95" i="17"/>
  <c r="G95" i="17"/>
  <c r="H95" i="17"/>
  <c r="I95" i="17"/>
  <c r="J95" i="17"/>
  <c r="L95" i="17"/>
  <c r="BZ95" i="17" s="1"/>
  <c r="M95" i="17"/>
  <c r="O95" i="17" s="1"/>
  <c r="N95" i="17"/>
  <c r="P95" i="17"/>
  <c r="U95" i="17" s="1"/>
  <c r="Q95" i="17"/>
  <c r="R95" i="17"/>
  <c r="V95" i="17"/>
  <c r="W95" i="17"/>
  <c r="X95" i="17"/>
  <c r="Y95" i="17"/>
  <c r="AA95" i="17" s="1"/>
  <c r="Z95" i="17"/>
  <c r="AB95" i="17"/>
  <c r="AD95" i="17"/>
  <c r="AG95" i="17"/>
  <c r="AJ95" i="17"/>
  <c r="AK95" i="17"/>
  <c r="AL95" i="17"/>
  <c r="AN95" i="17"/>
  <c r="AP95" i="17"/>
  <c r="AQ95" i="17"/>
  <c r="AR95" i="17"/>
  <c r="AX95" i="17"/>
  <c r="AY95" i="17"/>
  <c r="AZ95" i="17"/>
  <c r="BA95" i="17"/>
  <c r="BB95" i="17"/>
  <c r="BF95" i="17"/>
  <c r="BG95" i="17"/>
  <c r="BH95" i="17"/>
  <c r="BI95" i="17"/>
  <c r="BJ95" i="17"/>
  <c r="BK95" i="17"/>
  <c r="BL95" i="17"/>
  <c r="BM95" i="17"/>
  <c r="BN95" i="17"/>
  <c r="BO95" i="17"/>
  <c r="BP95" i="17"/>
  <c r="BQ95" i="17"/>
  <c r="BR95" i="17"/>
  <c r="BT95" i="17"/>
  <c r="BU95" i="17"/>
  <c r="BV95" i="17" s="1"/>
  <c r="BW95" i="17"/>
  <c r="BX95" i="17"/>
  <c r="BY95" i="17"/>
  <c r="CB95" i="17"/>
  <c r="CC95" i="17"/>
  <c r="CD95" i="17"/>
  <c r="CE95" i="17"/>
  <c r="CF95" i="17"/>
  <c r="CG95" i="17"/>
  <c r="CI95" i="17" s="1"/>
  <c r="CH95" i="17"/>
  <c r="CK95" i="17"/>
  <c r="A96" i="17"/>
  <c r="B96" i="17"/>
  <c r="C96" i="17"/>
  <c r="D96" i="17"/>
  <c r="E96" i="17"/>
  <c r="F96" i="17"/>
  <c r="G96" i="17"/>
  <c r="H96" i="17"/>
  <c r="I96" i="17"/>
  <c r="J96" i="17"/>
  <c r="L96" i="17"/>
  <c r="M96" i="17"/>
  <c r="O96" i="17" s="1"/>
  <c r="N96" i="17"/>
  <c r="P96" i="17"/>
  <c r="Q96" i="17"/>
  <c r="W96" i="17"/>
  <c r="X96" i="17" s="1"/>
  <c r="Y96" i="17"/>
  <c r="AB96" i="17"/>
  <c r="AC96" i="17" s="1"/>
  <c r="AD96" i="17"/>
  <c r="AE96" i="17"/>
  <c r="AF96" i="17"/>
  <c r="AG96" i="17"/>
  <c r="AI96" i="17" s="1"/>
  <c r="AH96" i="17"/>
  <c r="AJ96" i="17"/>
  <c r="AL96" i="17"/>
  <c r="AN96" i="17"/>
  <c r="AP96" i="17"/>
  <c r="AQ96" i="17"/>
  <c r="AR96" i="17"/>
  <c r="AW96" i="17" s="1"/>
  <c r="AT96" i="17"/>
  <c r="AX96" i="17"/>
  <c r="AY96" i="17"/>
  <c r="AZ96" i="17"/>
  <c r="BA96" i="17"/>
  <c r="BG96" i="17"/>
  <c r="BH96" i="17" s="1"/>
  <c r="BI96" i="17"/>
  <c r="BK96" i="17"/>
  <c r="BL96" i="17"/>
  <c r="BM96" i="17"/>
  <c r="BN96" i="17" s="1"/>
  <c r="BO96" i="17"/>
  <c r="BP96" i="17"/>
  <c r="BR96" i="17"/>
  <c r="BQ96" i="17" s="1"/>
  <c r="BS96" i="17"/>
  <c r="BT96" i="17"/>
  <c r="BU96" i="17"/>
  <c r="BV96" i="17"/>
  <c r="BW96" i="17"/>
  <c r="BX96" i="17"/>
  <c r="BY96" i="17"/>
  <c r="BZ96" i="17" s="1"/>
  <c r="CA96" i="17"/>
  <c r="CB96" i="17"/>
  <c r="CD96" i="17" s="1"/>
  <c r="CC96" i="17"/>
  <c r="CE96" i="17"/>
  <c r="CF96" i="17"/>
  <c r="CG96" i="17"/>
  <c r="CH96" i="17"/>
  <c r="CI96" i="17"/>
  <c r="CK96" i="17"/>
  <c r="A97" i="17"/>
  <c r="B97" i="17"/>
  <c r="C97" i="17"/>
  <c r="D97" i="17"/>
  <c r="E97" i="17"/>
  <c r="F97" i="17"/>
  <c r="G97" i="17"/>
  <c r="H97" i="17"/>
  <c r="I97" i="17"/>
  <c r="J97" i="17"/>
  <c r="L97" i="17"/>
  <c r="O97" i="17" s="1"/>
  <c r="M97" i="17"/>
  <c r="N97" i="17"/>
  <c r="P97" i="17"/>
  <c r="Q97" i="17"/>
  <c r="R97" i="17"/>
  <c r="W97" i="17"/>
  <c r="Y97" i="17"/>
  <c r="Z97" i="17"/>
  <c r="AB97" i="17"/>
  <c r="AC97" i="17"/>
  <c r="AD97" i="17"/>
  <c r="AF97" i="17"/>
  <c r="AG97" i="17"/>
  <c r="AJ97" i="17"/>
  <c r="AN97" i="17"/>
  <c r="AP97" i="17"/>
  <c r="AR97" i="17"/>
  <c r="AU97" i="17" s="1"/>
  <c r="AX97" i="17"/>
  <c r="AY97" i="17"/>
  <c r="AZ97" i="17"/>
  <c r="BA97" i="17"/>
  <c r="BC97" i="17" s="1"/>
  <c r="BB97" i="17"/>
  <c r="BD97" i="17"/>
  <c r="BF97" i="17"/>
  <c r="BG97" i="17"/>
  <c r="BH97" i="17"/>
  <c r="BI97" i="17"/>
  <c r="BJ97" i="17"/>
  <c r="BK97" i="17"/>
  <c r="BL97" i="17"/>
  <c r="BM97" i="17"/>
  <c r="BN97" i="17"/>
  <c r="BO97" i="17"/>
  <c r="BP97" i="17"/>
  <c r="BR97" i="17"/>
  <c r="BQ97" i="17" s="1"/>
  <c r="BT97" i="17"/>
  <c r="BS97" i="17" s="1"/>
  <c r="BU97" i="17"/>
  <c r="BV97" i="17"/>
  <c r="BW97" i="17"/>
  <c r="CA97" i="17" s="1"/>
  <c r="BX97" i="17"/>
  <c r="BY97" i="17"/>
  <c r="BZ97" i="17"/>
  <c r="CB97" i="17"/>
  <c r="CD97" i="17" s="1"/>
  <c r="CC97" i="17"/>
  <c r="CE97" i="17"/>
  <c r="CF97" i="17"/>
  <c r="CG97" i="17"/>
  <c r="CH97" i="17"/>
  <c r="CI97" i="17" s="1"/>
  <c r="CK97" i="17"/>
  <c r="A98" i="17"/>
  <c r="B98" i="17"/>
  <c r="C98" i="17"/>
  <c r="D98" i="17"/>
  <c r="E98" i="17"/>
  <c r="F98" i="17"/>
  <c r="G98" i="17"/>
  <c r="H98" i="17"/>
  <c r="I98" i="17"/>
  <c r="J98" i="17"/>
  <c r="L98" i="17"/>
  <c r="M98" i="17"/>
  <c r="N98" i="17" s="1"/>
  <c r="P98" i="17"/>
  <c r="U98" i="17" s="1"/>
  <c r="Q98" i="17"/>
  <c r="S98" i="17"/>
  <c r="W98" i="17"/>
  <c r="Y98" i="17"/>
  <c r="AA98" i="17"/>
  <c r="AB98" i="17"/>
  <c r="AD98" i="17"/>
  <c r="AG98" i="17"/>
  <c r="AI98" i="17" s="1"/>
  <c r="AJ98" i="17"/>
  <c r="AL98" i="17" s="1"/>
  <c r="AN98" i="17"/>
  <c r="AP98" i="17"/>
  <c r="AR98" i="17"/>
  <c r="AT98" i="17"/>
  <c r="AU98" i="17"/>
  <c r="AX98" i="17"/>
  <c r="AY98" i="17"/>
  <c r="AZ98" i="17"/>
  <c r="BA98" i="17"/>
  <c r="BG98" i="17"/>
  <c r="BH98" i="17"/>
  <c r="BI98" i="17"/>
  <c r="BK98" i="17"/>
  <c r="BL98" i="17"/>
  <c r="BM98" i="17"/>
  <c r="BN98" i="17" s="1"/>
  <c r="BO98" i="17"/>
  <c r="BP98" i="17" s="1"/>
  <c r="BR98" i="17"/>
  <c r="BQ98" i="17" s="1"/>
  <c r="BT98" i="17"/>
  <c r="BU98" i="17"/>
  <c r="BW98" i="17"/>
  <c r="BY98" i="17"/>
  <c r="BZ98" i="17"/>
  <c r="CB98" i="17"/>
  <c r="CC98" i="17"/>
  <c r="CD98" i="17" s="1"/>
  <c r="CE98" i="17"/>
  <c r="CF98" i="17"/>
  <c r="CG98" i="17"/>
  <c r="CH98" i="17"/>
  <c r="CI98" i="17"/>
  <c r="CK98" i="17"/>
  <c r="A99" i="17"/>
  <c r="B99" i="17"/>
  <c r="C99" i="17"/>
  <c r="D99" i="17"/>
  <c r="E99" i="17"/>
  <c r="F99" i="17"/>
  <c r="G99" i="17"/>
  <c r="H99" i="17"/>
  <c r="I99" i="17"/>
  <c r="J99" i="17"/>
  <c r="L99" i="17"/>
  <c r="BX99" i="17" s="1"/>
  <c r="M99" i="17"/>
  <c r="P99" i="17"/>
  <c r="Q99" i="17"/>
  <c r="W99" i="17"/>
  <c r="X99" i="17"/>
  <c r="Y99" i="17"/>
  <c r="Z99" i="17"/>
  <c r="AB99" i="17"/>
  <c r="AC99" i="17" s="1"/>
  <c r="AD99" i="17"/>
  <c r="AF99" i="17" s="1"/>
  <c r="AE99" i="17"/>
  <c r="AG99" i="17"/>
  <c r="AH99" i="17"/>
  <c r="AJ99" i="17"/>
  <c r="AL99" i="17" s="1"/>
  <c r="AN99" i="17"/>
  <c r="AM99" i="17" s="1"/>
  <c r="AO99" i="17"/>
  <c r="AP99" i="17"/>
  <c r="AR99" i="17"/>
  <c r="AX99" i="17"/>
  <c r="AY99" i="17"/>
  <c r="AZ99" i="17"/>
  <c r="BA99" i="17"/>
  <c r="BB99" i="17"/>
  <c r="BE99" i="17" s="1"/>
  <c r="BF99" i="17"/>
  <c r="BG99" i="17"/>
  <c r="BH99" i="17"/>
  <c r="BI99" i="17"/>
  <c r="BK99" i="17"/>
  <c r="BL99" i="17"/>
  <c r="BM99" i="17"/>
  <c r="BN99" i="17"/>
  <c r="BO99" i="17"/>
  <c r="BP99" i="17" s="1"/>
  <c r="BR99" i="17"/>
  <c r="BS99" i="17"/>
  <c r="BT99" i="17"/>
  <c r="BU99" i="17"/>
  <c r="BV99" i="17"/>
  <c r="BW99" i="17"/>
  <c r="BY99" i="17"/>
  <c r="BZ99" i="17" s="1"/>
  <c r="CA99" i="17"/>
  <c r="CB99" i="17"/>
  <c r="CD99" i="17" s="1"/>
  <c r="CC99" i="17"/>
  <c r="CE99" i="17"/>
  <c r="CF99" i="17"/>
  <c r="CG99" i="17"/>
  <c r="CH99" i="17"/>
  <c r="CI99" i="17" s="1"/>
  <c r="CK99" i="17"/>
  <c r="A100" i="17"/>
  <c r="B100" i="17"/>
  <c r="C100" i="17"/>
  <c r="D100" i="17"/>
  <c r="E100" i="17"/>
  <c r="F100" i="17"/>
  <c r="G100" i="17"/>
  <c r="H100" i="17"/>
  <c r="I100" i="17"/>
  <c r="J100" i="17"/>
  <c r="L100" i="17"/>
  <c r="M100" i="17"/>
  <c r="P100" i="17"/>
  <c r="Q100" i="17"/>
  <c r="V100" i="17" s="1"/>
  <c r="S100" i="17"/>
  <c r="W100" i="17"/>
  <c r="X100" i="17" s="1"/>
  <c r="Y100" i="17"/>
  <c r="Z100" i="17"/>
  <c r="AB100" i="17"/>
  <c r="AC100" i="17"/>
  <c r="AD100" i="17"/>
  <c r="AE100" i="17" s="1"/>
  <c r="AG100" i="17"/>
  <c r="AJ100" i="17"/>
  <c r="AM100" i="17"/>
  <c r="AN100" i="17"/>
  <c r="AO100" i="17"/>
  <c r="AP100" i="17"/>
  <c r="AR100" i="17"/>
  <c r="AS100" i="17"/>
  <c r="AX100" i="17"/>
  <c r="AY100" i="17"/>
  <c r="AZ100" i="17"/>
  <c r="BA100" i="17"/>
  <c r="BF100" i="17" s="1"/>
  <c r="BB100" i="17"/>
  <c r="BE100" i="17" s="1"/>
  <c r="BC100" i="17"/>
  <c r="BD100" i="17" s="1"/>
  <c r="BG100" i="17"/>
  <c r="BH100" i="17" s="1"/>
  <c r="BI100" i="17"/>
  <c r="AU100" i="17" s="1"/>
  <c r="BJ100" i="17"/>
  <c r="BK100" i="17"/>
  <c r="BL100" i="17"/>
  <c r="BM100" i="17"/>
  <c r="BN100" i="17" s="1"/>
  <c r="BO100" i="17"/>
  <c r="BP100" i="17"/>
  <c r="BQ100" i="17"/>
  <c r="BR100" i="17"/>
  <c r="BS100" i="17"/>
  <c r="BT100" i="17"/>
  <c r="BU100" i="17"/>
  <c r="BV100" i="17"/>
  <c r="BW100" i="17"/>
  <c r="BX100" i="17" s="1"/>
  <c r="BY100" i="17"/>
  <c r="BZ100" i="17"/>
  <c r="CB100" i="17"/>
  <c r="CC100" i="17"/>
  <c r="CE100" i="17"/>
  <c r="CF100" i="17"/>
  <c r="CG100" i="17"/>
  <c r="CI100" i="17" s="1"/>
  <c r="CH100" i="17"/>
  <c r="CK100" i="17"/>
  <c r="A101" i="17"/>
  <c r="B101" i="17"/>
  <c r="C101" i="17"/>
  <c r="D101" i="17"/>
  <c r="E101" i="17"/>
  <c r="F101" i="17"/>
  <c r="G101" i="17"/>
  <c r="H101" i="17"/>
  <c r="I101" i="17"/>
  <c r="J101" i="17"/>
  <c r="L101" i="17"/>
  <c r="M101" i="17"/>
  <c r="P101" i="17"/>
  <c r="U101" i="17" s="1"/>
  <c r="Q101" i="17"/>
  <c r="R101" i="17"/>
  <c r="V101" i="17"/>
  <c r="W101" i="17"/>
  <c r="X101" i="17"/>
  <c r="Y101" i="17"/>
  <c r="AB101" i="17"/>
  <c r="AC101" i="17" s="1"/>
  <c r="AD101" i="17"/>
  <c r="AE101" i="17"/>
  <c r="AF101" i="17"/>
  <c r="AG101" i="17"/>
  <c r="AI101" i="17" s="1"/>
  <c r="AJ101" i="17"/>
  <c r="AM101" i="17"/>
  <c r="AN101" i="17"/>
  <c r="AO101" i="17" s="1"/>
  <c r="AP101" i="17"/>
  <c r="AQ101" i="17"/>
  <c r="AR101" i="17"/>
  <c r="AS101" i="17"/>
  <c r="AT101" i="17"/>
  <c r="AX101" i="17"/>
  <c r="AY101" i="17"/>
  <c r="AZ101" i="17"/>
  <c r="BA101" i="17"/>
  <c r="BB101" i="17"/>
  <c r="BE101" i="17" s="1"/>
  <c r="BF101" i="17"/>
  <c r="BG101" i="17"/>
  <c r="BH101" i="17"/>
  <c r="BI101" i="17"/>
  <c r="AU101" i="17" s="1"/>
  <c r="BJ101" i="17"/>
  <c r="BK101" i="17"/>
  <c r="BL101" i="17"/>
  <c r="BM101" i="17"/>
  <c r="BN101" i="17"/>
  <c r="AV101" i="17" s="1"/>
  <c r="BO101" i="17"/>
  <c r="BP101" i="17"/>
  <c r="BR101" i="17"/>
  <c r="BQ101" i="17" s="1"/>
  <c r="BT101" i="17"/>
  <c r="BS101" i="17" s="1"/>
  <c r="BU101" i="17"/>
  <c r="BV101" i="17" s="1"/>
  <c r="BW101" i="17"/>
  <c r="BY101" i="17"/>
  <c r="BZ101" i="17"/>
  <c r="CB101" i="17"/>
  <c r="CD101" i="17" s="1"/>
  <c r="CC101" i="17"/>
  <c r="CE101" i="17"/>
  <c r="CF101" i="17"/>
  <c r="CG101" i="17"/>
  <c r="CH101" i="17"/>
  <c r="CI101" i="17"/>
  <c r="CK101" i="17"/>
  <c r="A102" i="17"/>
  <c r="B102" i="17"/>
  <c r="C102" i="17"/>
  <c r="D102" i="17"/>
  <c r="E102" i="17"/>
  <c r="F102" i="17"/>
  <c r="G102" i="17"/>
  <c r="H102" i="17"/>
  <c r="I102" i="17"/>
  <c r="J102" i="17"/>
  <c r="L102" i="17"/>
  <c r="M102" i="17"/>
  <c r="P102" i="17"/>
  <c r="Q102" i="17"/>
  <c r="R102" i="17"/>
  <c r="W102" i="17"/>
  <c r="X102" i="17"/>
  <c r="Y102" i="17"/>
  <c r="AB102" i="17"/>
  <c r="AC102" i="17" s="1"/>
  <c r="AD102" i="17"/>
  <c r="AE102" i="17"/>
  <c r="AF102" i="17"/>
  <c r="AG102" i="17"/>
  <c r="AI102" i="17" s="1"/>
  <c r="AH102" i="17"/>
  <c r="AJ102" i="17"/>
  <c r="AK102" i="17"/>
  <c r="AL102" i="17"/>
  <c r="AN102" i="17"/>
  <c r="AP102" i="17"/>
  <c r="AQ102" i="17"/>
  <c r="AR102" i="17"/>
  <c r="AS102" i="17" s="1"/>
  <c r="AT102" i="17"/>
  <c r="AW102" i="17"/>
  <c r="AX102" i="17"/>
  <c r="AY102" i="17"/>
  <c r="AZ102" i="17"/>
  <c r="BA102" i="17"/>
  <c r="BB102" i="17"/>
  <c r="BC102" i="17"/>
  <c r="BD102" i="17" s="1"/>
  <c r="BF102" i="17"/>
  <c r="BG102" i="17"/>
  <c r="BH102" i="17"/>
  <c r="BI102" i="17"/>
  <c r="BK102" i="17"/>
  <c r="BL102" i="17"/>
  <c r="BM102" i="17"/>
  <c r="BN102" i="17"/>
  <c r="AV102" i="17" s="1"/>
  <c r="BO102" i="17"/>
  <c r="BP102" i="17" s="1"/>
  <c r="BR102" i="17"/>
  <c r="BQ102" i="17" s="1"/>
  <c r="BT102" i="17"/>
  <c r="BS102" i="17" s="1"/>
  <c r="BU102" i="17"/>
  <c r="BV102" i="17" s="1"/>
  <c r="BW102" i="17"/>
  <c r="BX102" i="17"/>
  <c r="BY102" i="17"/>
  <c r="BZ102" i="17"/>
  <c r="CA102" i="17"/>
  <c r="CB102" i="17"/>
  <c r="CC102" i="17"/>
  <c r="CD102" i="17"/>
  <c r="CE102" i="17"/>
  <c r="CF102" i="17"/>
  <c r="CG102" i="17"/>
  <c r="CH102" i="17"/>
  <c r="CK102" i="17"/>
  <c r="A103" i="17"/>
  <c r="B103" i="17"/>
  <c r="C103" i="17"/>
  <c r="D103" i="17"/>
  <c r="E103" i="17"/>
  <c r="F103" i="17"/>
  <c r="G103" i="17"/>
  <c r="H103" i="17"/>
  <c r="I103" i="17"/>
  <c r="J103" i="17"/>
  <c r="L103" i="17"/>
  <c r="M103" i="17"/>
  <c r="N103" i="17"/>
  <c r="O103" i="17"/>
  <c r="P103" i="17"/>
  <c r="Q103" i="17"/>
  <c r="W103" i="17"/>
  <c r="Y103" i="17"/>
  <c r="Z103" i="17"/>
  <c r="AB103" i="17"/>
  <c r="AC103" i="17"/>
  <c r="AD103" i="17"/>
  <c r="AE103" i="17"/>
  <c r="AF103" i="17"/>
  <c r="AG103" i="17"/>
  <c r="AI103" i="17"/>
  <c r="AJ103" i="17"/>
  <c r="AL103" i="17"/>
  <c r="AM103" i="17"/>
  <c r="AN103" i="17"/>
  <c r="AO103" i="17"/>
  <c r="AP103" i="17"/>
  <c r="AQ103" i="17"/>
  <c r="AR103" i="17"/>
  <c r="AX103" i="17"/>
  <c r="AY103" i="17"/>
  <c r="AZ103" i="17"/>
  <c r="BA103" i="17"/>
  <c r="BG103" i="17"/>
  <c r="BH103" i="17" s="1"/>
  <c r="BI103" i="17"/>
  <c r="BJ103" i="17"/>
  <c r="BK103" i="17"/>
  <c r="BL103" i="17"/>
  <c r="BM103" i="17"/>
  <c r="BN103" i="17" s="1"/>
  <c r="BO103" i="17"/>
  <c r="BP103" i="17"/>
  <c r="BQ103" i="17"/>
  <c r="BR103" i="17"/>
  <c r="BS103" i="17"/>
  <c r="BT103" i="17"/>
  <c r="BU103" i="17"/>
  <c r="BV103" i="17"/>
  <c r="BW103" i="17"/>
  <c r="CA103" i="17" s="1"/>
  <c r="BY103" i="17"/>
  <c r="BZ103" i="17" s="1"/>
  <c r="CB103" i="17"/>
  <c r="CD103" i="17" s="1"/>
  <c r="CC103" i="17"/>
  <c r="CE103" i="17"/>
  <c r="CF103" i="17"/>
  <c r="CG103" i="17"/>
  <c r="CH103" i="17"/>
  <c r="CI103" i="17" s="1"/>
  <c r="CK103" i="17"/>
  <c r="A104" i="17"/>
  <c r="B104" i="17"/>
  <c r="C104" i="17"/>
  <c r="D104" i="17"/>
  <c r="E104" i="17"/>
  <c r="F104" i="17"/>
  <c r="G104" i="17"/>
  <c r="H104" i="17"/>
  <c r="I104" i="17"/>
  <c r="J104" i="17"/>
  <c r="L104" i="17"/>
  <c r="BH104" i="17" s="1"/>
  <c r="M104" i="17"/>
  <c r="N104" i="17"/>
  <c r="P104" i="17"/>
  <c r="S104" i="17" s="1"/>
  <c r="T104" i="17" s="1"/>
  <c r="Q104" i="17"/>
  <c r="R104" i="17"/>
  <c r="U104" i="17"/>
  <c r="V104" i="17"/>
  <c r="W104" i="17"/>
  <c r="Y104" i="17"/>
  <c r="AA104" i="17"/>
  <c r="AB104" i="17"/>
  <c r="AD104" i="17"/>
  <c r="AG104" i="17"/>
  <c r="AJ104" i="17"/>
  <c r="AM104" i="17"/>
  <c r="AN104" i="17"/>
  <c r="AO104" i="17" s="1"/>
  <c r="AP104" i="17"/>
  <c r="AR104" i="17"/>
  <c r="AU104" i="17" s="1"/>
  <c r="AX104" i="17"/>
  <c r="AY104" i="17"/>
  <c r="AZ104" i="17"/>
  <c r="BA104" i="17"/>
  <c r="BC104" i="17" s="1"/>
  <c r="BD104" i="17" s="1"/>
  <c r="BF104" i="17"/>
  <c r="BG104" i="17"/>
  <c r="BI104" i="17"/>
  <c r="BK104" i="17"/>
  <c r="BL104" i="17"/>
  <c r="BM104" i="17"/>
  <c r="BN104" i="17"/>
  <c r="BO104" i="17"/>
  <c r="BQ104" i="17"/>
  <c r="BR104" i="17"/>
  <c r="BT104" i="17"/>
  <c r="BU104" i="17"/>
  <c r="BW104" i="17"/>
  <c r="BY104" i="17"/>
  <c r="BZ104" i="17"/>
  <c r="CB104" i="17"/>
  <c r="CC104" i="17"/>
  <c r="CD104" i="17" s="1"/>
  <c r="CE104" i="17"/>
  <c r="CF104" i="17"/>
  <c r="CG104" i="17"/>
  <c r="CH104" i="17"/>
  <c r="CI104" i="17"/>
  <c r="CK104" i="17"/>
  <c r="A105" i="17"/>
  <c r="B105" i="17"/>
  <c r="C105" i="17"/>
  <c r="D105" i="17"/>
  <c r="E105" i="17"/>
  <c r="F105" i="17"/>
  <c r="G105" i="17"/>
  <c r="H105" i="17"/>
  <c r="I105" i="17"/>
  <c r="J105" i="17"/>
  <c r="L105" i="17"/>
  <c r="M105" i="17"/>
  <c r="P105" i="17"/>
  <c r="U105" i="17" s="1"/>
  <c r="Q105" i="17"/>
  <c r="V105" i="17"/>
  <c r="W105" i="17"/>
  <c r="X105" i="17" s="1"/>
  <c r="Y105" i="17"/>
  <c r="AB105" i="17"/>
  <c r="AC105" i="17" s="1"/>
  <c r="AD105" i="17"/>
  <c r="AF105" i="17" s="1"/>
  <c r="AE105" i="17"/>
  <c r="AG105" i="17"/>
  <c r="AH105" i="17"/>
  <c r="AI105" i="17"/>
  <c r="AJ105" i="17"/>
  <c r="AL105" i="17" s="1"/>
  <c r="AN105" i="17"/>
  <c r="AP105" i="17"/>
  <c r="AQ105" i="17"/>
  <c r="AR105" i="17"/>
  <c r="AS105" i="17"/>
  <c r="AT105" i="17"/>
  <c r="AW105" i="17"/>
  <c r="AX105" i="17"/>
  <c r="AY105" i="17"/>
  <c r="AZ105" i="17"/>
  <c r="BA105" i="17"/>
  <c r="BB105" i="17" s="1"/>
  <c r="BC105" i="17"/>
  <c r="BD105" i="17" s="1"/>
  <c r="BF105" i="17"/>
  <c r="BG105" i="17"/>
  <c r="BH105" i="17" s="1"/>
  <c r="BI105" i="17"/>
  <c r="BK105" i="17"/>
  <c r="BL105" i="17"/>
  <c r="BM105" i="17"/>
  <c r="BN105" i="17" s="1"/>
  <c r="AV105" i="17" s="1"/>
  <c r="BO105" i="17"/>
  <c r="BP105" i="17" s="1"/>
  <c r="BR105" i="17"/>
  <c r="BQ105" i="17" s="1"/>
  <c r="BS105" i="17"/>
  <c r="BT105" i="17"/>
  <c r="BU105" i="17"/>
  <c r="BW105" i="17"/>
  <c r="BX105" i="17"/>
  <c r="BY105" i="17"/>
  <c r="BZ105" i="17" s="1"/>
  <c r="CB105" i="17"/>
  <c r="CC105" i="17"/>
  <c r="CD105" i="17"/>
  <c r="CE105" i="17"/>
  <c r="CF105" i="17"/>
  <c r="CG105" i="17"/>
  <c r="CI105" i="17" s="1"/>
  <c r="CH105" i="17"/>
  <c r="CK105" i="17"/>
  <c r="A106" i="17"/>
  <c r="B106" i="17"/>
  <c r="C106" i="17"/>
  <c r="D106" i="17"/>
  <c r="E106" i="17"/>
  <c r="F106" i="17"/>
  <c r="G106" i="17"/>
  <c r="H106" i="17"/>
  <c r="I106" i="17"/>
  <c r="J106" i="17"/>
  <c r="L106" i="17"/>
  <c r="AH106" i="17" s="1"/>
  <c r="M106" i="17"/>
  <c r="O106" i="17" s="1"/>
  <c r="N106" i="17"/>
  <c r="P106" i="17"/>
  <c r="U106" i="17" s="1"/>
  <c r="Q106" i="17"/>
  <c r="W106" i="17"/>
  <c r="X106" i="17" s="1"/>
  <c r="Y106" i="17"/>
  <c r="Z106" i="17"/>
  <c r="AB106" i="17"/>
  <c r="AC106" i="17"/>
  <c r="AD106" i="17"/>
  <c r="AE106" i="17" s="1"/>
  <c r="AF106" i="17"/>
  <c r="AG106" i="17"/>
  <c r="AI106" i="17"/>
  <c r="AJ106" i="17"/>
  <c r="AL106" i="17"/>
  <c r="AN106" i="17"/>
  <c r="AM106" i="17" s="1"/>
  <c r="AO106" i="17"/>
  <c r="AP106" i="17"/>
  <c r="AR106" i="17"/>
  <c r="AX106" i="17"/>
  <c r="AY106" i="17"/>
  <c r="AZ106" i="17"/>
  <c r="BA106" i="17"/>
  <c r="BG106" i="17"/>
  <c r="BH106" i="17" s="1"/>
  <c r="BI106" i="17"/>
  <c r="BJ106" i="17"/>
  <c r="BK106" i="17"/>
  <c r="BL106" i="17"/>
  <c r="BM106" i="17"/>
  <c r="BN106" i="17" s="1"/>
  <c r="BO106" i="17"/>
  <c r="BP106" i="17"/>
  <c r="BR106" i="17"/>
  <c r="BQ106" i="17" s="1"/>
  <c r="BS106" i="17"/>
  <c r="BT106" i="17"/>
  <c r="BU106" i="17"/>
  <c r="BV106" i="17"/>
  <c r="BW106" i="17"/>
  <c r="BY106" i="17"/>
  <c r="BZ106" i="17" s="1"/>
  <c r="CA106" i="17"/>
  <c r="CB106" i="17"/>
  <c r="CD106" i="17" s="1"/>
  <c r="CC106" i="17"/>
  <c r="CE106" i="17"/>
  <c r="CF106" i="17"/>
  <c r="CG106" i="17"/>
  <c r="CH106" i="17"/>
  <c r="CI106" i="17" s="1"/>
  <c r="CK106" i="17"/>
  <c r="A107" i="17"/>
  <c r="B107" i="17"/>
  <c r="C107" i="17"/>
  <c r="D107" i="17"/>
  <c r="E107" i="17"/>
  <c r="F107" i="17"/>
  <c r="G107" i="17"/>
  <c r="H107" i="17"/>
  <c r="I107" i="17"/>
  <c r="J107" i="17"/>
  <c r="L107" i="17"/>
  <c r="X107" i="17" s="1"/>
  <c r="M107" i="17"/>
  <c r="N107" i="17" s="1"/>
  <c r="O107" i="17"/>
  <c r="P107" i="17"/>
  <c r="Q107" i="17"/>
  <c r="V107" i="17" s="1"/>
  <c r="R107" i="17"/>
  <c r="S107" i="17"/>
  <c r="U107" i="17"/>
  <c r="W107" i="17"/>
  <c r="Y107" i="17"/>
  <c r="AA107" i="17"/>
  <c r="AB107" i="17"/>
  <c r="AD107" i="17"/>
  <c r="AE107" i="17"/>
  <c r="AG107" i="17"/>
  <c r="AJ107" i="17"/>
  <c r="AK107" i="17"/>
  <c r="AM107" i="17"/>
  <c r="AN107" i="17"/>
  <c r="AP107" i="17"/>
  <c r="AR107" i="17"/>
  <c r="AS107" i="17"/>
  <c r="AX107" i="17"/>
  <c r="AY107" i="17"/>
  <c r="AZ107" i="17"/>
  <c r="BA107" i="17"/>
  <c r="BF107" i="17" s="1"/>
  <c r="BB107" i="17"/>
  <c r="BG107" i="17"/>
  <c r="BI107" i="17"/>
  <c r="BK107" i="17"/>
  <c r="BL107" i="17"/>
  <c r="BM107" i="17"/>
  <c r="BO107" i="17"/>
  <c r="BQ107" i="17"/>
  <c r="BR107" i="17"/>
  <c r="BT107" i="17"/>
  <c r="BU107" i="17"/>
  <c r="BW107" i="17"/>
  <c r="BY107" i="17"/>
  <c r="BZ107" i="17"/>
  <c r="CB107" i="17"/>
  <c r="CC107" i="17"/>
  <c r="CE107" i="17"/>
  <c r="CF107" i="17"/>
  <c r="CG107" i="17"/>
  <c r="CI107" i="17" s="1"/>
  <c r="CH107" i="17"/>
  <c r="CK107" i="17"/>
  <c r="A108" i="17"/>
  <c r="B108" i="17"/>
  <c r="C108" i="17"/>
  <c r="D108" i="17"/>
  <c r="E108" i="17"/>
  <c r="F108" i="17"/>
  <c r="G108" i="17"/>
  <c r="H108" i="17"/>
  <c r="I108" i="17"/>
  <c r="J108" i="17"/>
  <c r="L108" i="17"/>
  <c r="M108" i="17"/>
  <c r="P108" i="17"/>
  <c r="U108" i="17" s="1"/>
  <c r="Q108" i="17"/>
  <c r="R108" i="17"/>
  <c r="V108" i="17"/>
  <c r="W108" i="17"/>
  <c r="X108" i="17"/>
  <c r="Y108" i="17"/>
  <c r="AA108" i="17" s="1"/>
  <c r="AB108" i="17"/>
  <c r="AC108" i="17" s="1"/>
  <c r="AD108" i="17"/>
  <c r="AE108" i="17" s="1"/>
  <c r="AF108" i="17"/>
  <c r="AG108" i="17"/>
  <c r="AH108" i="17"/>
  <c r="AJ108" i="17"/>
  <c r="AN108" i="17"/>
  <c r="AP108" i="17"/>
  <c r="AQ108" i="17" s="1"/>
  <c r="AR108" i="17"/>
  <c r="AS108" i="17" s="1"/>
  <c r="AX108" i="17"/>
  <c r="AY108" i="17"/>
  <c r="AZ108" i="17"/>
  <c r="BA108" i="17"/>
  <c r="BB108" i="17"/>
  <c r="BC108" i="17"/>
  <c r="BD108" i="17" s="1"/>
  <c r="BF108" i="17"/>
  <c r="BG108" i="17"/>
  <c r="BH108" i="17"/>
  <c r="BI108" i="17"/>
  <c r="BJ108" i="17"/>
  <c r="BK108" i="17"/>
  <c r="BL108" i="17"/>
  <c r="BM108" i="17"/>
  <c r="BN108" i="17"/>
  <c r="AV108" i="17" s="1"/>
  <c r="BO108" i="17"/>
  <c r="BP108" i="17"/>
  <c r="BR108" i="17"/>
  <c r="BQ108" i="17" s="1"/>
  <c r="BT108" i="17"/>
  <c r="BS108" i="17" s="1"/>
  <c r="BU108" i="17"/>
  <c r="BV108" i="17" s="1"/>
  <c r="BW108" i="17"/>
  <c r="BX108" i="17"/>
  <c r="BY108" i="17"/>
  <c r="BZ108" i="17"/>
  <c r="CA108" i="17"/>
  <c r="CB108" i="17"/>
  <c r="CC108" i="17"/>
  <c r="CD108" i="17"/>
  <c r="CE108" i="17"/>
  <c r="CF108" i="17"/>
  <c r="CG108" i="17"/>
  <c r="CH108" i="17"/>
  <c r="CK108" i="17"/>
  <c r="A109" i="17"/>
  <c r="B109" i="17"/>
  <c r="C109" i="17"/>
  <c r="D109" i="17"/>
  <c r="E109" i="17"/>
  <c r="F109" i="17"/>
  <c r="G109" i="17"/>
  <c r="H109" i="17"/>
  <c r="I109" i="17"/>
  <c r="J109" i="17"/>
  <c r="L109" i="17"/>
  <c r="M109" i="17"/>
  <c r="N109" i="17" s="1"/>
  <c r="O109" i="17"/>
  <c r="P109" i="17"/>
  <c r="Q109" i="17"/>
  <c r="S109" i="17"/>
  <c r="T109" i="17" s="1"/>
  <c r="W109" i="17"/>
  <c r="X109" i="17" s="1"/>
  <c r="Y109" i="17"/>
  <c r="Z109" i="17"/>
  <c r="AA109" i="17"/>
  <c r="AB109" i="17"/>
  <c r="AC109" i="17"/>
  <c r="AD109" i="17"/>
  <c r="AE109" i="17"/>
  <c r="AF109" i="17"/>
  <c r="AG109" i="17"/>
  <c r="AJ109" i="17"/>
  <c r="AL109" i="17"/>
  <c r="AM109" i="17"/>
  <c r="AN109" i="17"/>
  <c r="AO109" i="17"/>
  <c r="AP109" i="17"/>
  <c r="AQ109" i="17"/>
  <c r="AR109" i="17"/>
  <c r="AT109" i="17" s="1"/>
  <c r="AS109" i="17"/>
  <c r="AU109" i="17"/>
  <c r="AX109" i="17"/>
  <c r="AY109" i="17"/>
  <c r="AZ109" i="17"/>
  <c r="BA109" i="17"/>
  <c r="BC109" i="17"/>
  <c r="BD109" i="17" s="1"/>
  <c r="BG109" i="17"/>
  <c r="BH109" i="17" s="1"/>
  <c r="BI109" i="17"/>
  <c r="BJ109" i="17"/>
  <c r="BK109" i="17"/>
  <c r="BL109" i="17"/>
  <c r="BM109" i="17"/>
  <c r="BN109" i="17" s="1"/>
  <c r="BO109" i="17"/>
  <c r="BP109" i="17" s="1"/>
  <c r="BQ109" i="17"/>
  <c r="BR109" i="17"/>
  <c r="BS109" i="17"/>
  <c r="BT109" i="17"/>
  <c r="BU109" i="17"/>
  <c r="BW109" i="17"/>
  <c r="BX109" i="17" s="1"/>
  <c r="BY109" i="17"/>
  <c r="BZ109" i="17" s="1"/>
  <c r="CB109" i="17"/>
  <c r="CC109" i="17"/>
  <c r="CE109" i="17"/>
  <c r="CF109" i="17"/>
  <c r="CG109" i="17"/>
  <c r="CH109" i="17"/>
  <c r="CK109" i="17"/>
  <c r="A110" i="17"/>
  <c r="B110" i="17"/>
  <c r="C110" i="17"/>
  <c r="D110" i="17"/>
  <c r="E110" i="17"/>
  <c r="F110" i="17"/>
  <c r="G110" i="17"/>
  <c r="H110" i="17"/>
  <c r="I110" i="17"/>
  <c r="J110" i="17"/>
  <c r="L110" i="17"/>
  <c r="M110" i="17"/>
  <c r="N110" i="17"/>
  <c r="O110" i="17"/>
  <c r="P110" i="17"/>
  <c r="Q110" i="17"/>
  <c r="R110" i="17"/>
  <c r="W110" i="17"/>
  <c r="X110" i="17"/>
  <c r="Y110" i="17"/>
  <c r="Z110" i="17"/>
  <c r="AA110" i="17"/>
  <c r="AB110" i="17"/>
  <c r="AC110" i="17" s="1"/>
  <c r="AD110" i="17"/>
  <c r="AG110" i="17"/>
  <c r="AH110" i="17"/>
  <c r="AJ110" i="17"/>
  <c r="AK110" i="17" s="1"/>
  <c r="AL110" i="17"/>
  <c r="AM110" i="17"/>
  <c r="AN110" i="17"/>
  <c r="AO110" i="17" s="1"/>
  <c r="AP110" i="17"/>
  <c r="AQ110" i="17" s="1"/>
  <c r="AR110" i="17"/>
  <c r="AX110" i="17"/>
  <c r="AY110" i="17"/>
  <c r="AZ110" i="17"/>
  <c r="BA110" i="17"/>
  <c r="BC110" i="17" s="1"/>
  <c r="BB110" i="17"/>
  <c r="BD110" i="17"/>
  <c r="BE110" i="17"/>
  <c r="BF110" i="17"/>
  <c r="BG110" i="17"/>
  <c r="BH110" i="17"/>
  <c r="BI110" i="17"/>
  <c r="BJ110" i="17"/>
  <c r="BK110" i="17"/>
  <c r="BL110" i="17"/>
  <c r="BM110" i="17"/>
  <c r="BN110" i="17"/>
  <c r="BO110" i="17"/>
  <c r="BP110" i="17"/>
  <c r="BQ110" i="17"/>
  <c r="BR110" i="17"/>
  <c r="BT110" i="17"/>
  <c r="BS110" i="17" s="1"/>
  <c r="BU110" i="17"/>
  <c r="BV110" i="17"/>
  <c r="BW110" i="17"/>
  <c r="BY110" i="17"/>
  <c r="BZ110" i="17"/>
  <c r="CB110" i="17"/>
  <c r="CC110" i="17"/>
  <c r="CD110" i="17"/>
  <c r="CE110" i="17"/>
  <c r="CF110" i="17"/>
  <c r="CG110" i="17"/>
  <c r="CH110" i="17"/>
  <c r="CI110" i="17"/>
  <c r="CK110" i="17"/>
  <c r="A111" i="17"/>
  <c r="B111" i="17"/>
  <c r="C111" i="17"/>
  <c r="D111" i="17"/>
  <c r="E111" i="17"/>
  <c r="F111" i="17"/>
  <c r="G111" i="17"/>
  <c r="H111" i="17"/>
  <c r="I111" i="17"/>
  <c r="J111" i="17"/>
  <c r="L111" i="17"/>
  <c r="M111" i="17"/>
  <c r="N111" i="17" s="1"/>
  <c r="O111" i="17"/>
  <c r="P111" i="17"/>
  <c r="Q111" i="17"/>
  <c r="S111" i="17"/>
  <c r="U111" i="17"/>
  <c r="W111" i="17"/>
  <c r="Y111" i="17"/>
  <c r="Z111" i="17" s="1"/>
  <c r="AB111" i="17"/>
  <c r="AC111" i="17" s="1"/>
  <c r="AD111" i="17"/>
  <c r="AF111" i="17" s="1"/>
  <c r="AE111" i="17"/>
  <c r="AG111" i="17"/>
  <c r="AH111" i="17"/>
  <c r="AI111" i="17"/>
  <c r="AJ111" i="17"/>
  <c r="AL111" i="17" s="1"/>
  <c r="AM111" i="17"/>
  <c r="AN111" i="17"/>
  <c r="AO111" i="17"/>
  <c r="AP111" i="17"/>
  <c r="AQ111" i="17"/>
  <c r="AR111" i="17"/>
  <c r="AS111" i="17"/>
  <c r="AT111" i="17"/>
  <c r="AW111" i="17"/>
  <c r="AX111" i="17"/>
  <c r="AY111" i="17"/>
  <c r="AZ111" i="17"/>
  <c r="BA111" i="17"/>
  <c r="BB111" i="17" s="1"/>
  <c r="BE111" i="17"/>
  <c r="BF111" i="17"/>
  <c r="BG111" i="17"/>
  <c r="BH111" i="17" s="1"/>
  <c r="BI111" i="17"/>
  <c r="BK111" i="17"/>
  <c r="BL111" i="17"/>
  <c r="BM111" i="17"/>
  <c r="BN111" i="17" s="1"/>
  <c r="AV111" i="17" s="1"/>
  <c r="BO111" i="17"/>
  <c r="BP111" i="17" s="1"/>
  <c r="BR111" i="17"/>
  <c r="BQ111" i="17" s="1"/>
  <c r="BS111" i="17"/>
  <c r="BT111" i="17"/>
  <c r="BU111" i="17"/>
  <c r="BV111" i="17" s="1"/>
  <c r="BW111" i="17"/>
  <c r="BX111" i="17" s="1"/>
  <c r="BY111" i="17"/>
  <c r="BZ111" i="17" s="1"/>
  <c r="CB111" i="17"/>
  <c r="CC111" i="17"/>
  <c r="CD111" i="17" s="1"/>
  <c r="CE111" i="17"/>
  <c r="CF111" i="17"/>
  <c r="CG111" i="17"/>
  <c r="CH111" i="17"/>
  <c r="CI111" i="17"/>
  <c r="CK111" i="17"/>
  <c r="A112" i="17"/>
  <c r="B112" i="17"/>
  <c r="C112" i="17"/>
  <c r="D112" i="17"/>
  <c r="E112" i="17"/>
  <c r="F112" i="17"/>
  <c r="G112" i="17"/>
  <c r="H112" i="17"/>
  <c r="I112" i="17"/>
  <c r="J112" i="17"/>
  <c r="L112" i="17"/>
  <c r="M112" i="17"/>
  <c r="O112" i="17" s="1"/>
  <c r="N112" i="17"/>
  <c r="P112" i="17"/>
  <c r="Q112" i="17"/>
  <c r="V112" i="17" s="1"/>
  <c r="W112" i="17"/>
  <c r="X112" i="17"/>
  <c r="Y112" i="17"/>
  <c r="AA112" i="17" s="1"/>
  <c r="Z112" i="17"/>
  <c r="AB112" i="17"/>
  <c r="AC112" i="17"/>
  <c r="AD112" i="17"/>
  <c r="AE112" i="17" s="1"/>
  <c r="AG112" i="17"/>
  <c r="AH112" i="17"/>
  <c r="AJ112" i="17"/>
  <c r="AN112" i="17"/>
  <c r="AM112" i="17" s="1"/>
  <c r="AO112" i="17"/>
  <c r="AP112" i="17"/>
  <c r="AQ112" i="17" s="1"/>
  <c r="AR112" i="17"/>
  <c r="AS112" i="17" s="1"/>
  <c r="AT112" i="17"/>
  <c r="AX112" i="17"/>
  <c r="AY112" i="17"/>
  <c r="AZ112" i="17"/>
  <c r="BA112" i="17"/>
  <c r="BG112" i="17"/>
  <c r="BH112" i="17"/>
  <c r="BI112" i="17"/>
  <c r="AU112" i="17" s="1"/>
  <c r="BJ112" i="17"/>
  <c r="BK112" i="17"/>
  <c r="BL112" i="17"/>
  <c r="BM112" i="17"/>
  <c r="BN112" i="17"/>
  <c r="AV112" i="17" s="1"/>
  <c r="BO112" i="17"/>
  <c r="BP112" i="17"/>
  <c r="BR112" i="17"/>
  <c r="BQ112" i="17" s="1"/>
  <c r="BS112" i="17"/>
  <c r="BT112" i="17"/>
  <c r="BU112" i="17"/>
  <c r="BV112" i="17" s="1"/>
  <c r="BW112" i="17"/>
  <c r="BX112" i="17"/>
  <c r="BY112" i="17"/>
  <c r="BZ112" i="17" s="1"/>
  <c r="CA112" i="17"/>
  <c r="CB112" i="17"/>
  <c r="CC112" i="17"/>
  <c r="CD112" i="17"/>
  <c r="CE112" i="17"/>
  <c r="CF112" i="17"/>
  <c r="CG112" i="17"/>
  <c r="CH112" i="17"/>
  <c r="CK112" i="17"/>
  <c r="A113" i="17"/>
  <c r="B113" i="17"/>
  <c r="C113" i="17"/>
  <c r="D113" i="17"/>
  <c r="E113" i="17"/>
  <c r="F113" i="17"/>
  <c r="G113" i="17"/>
  <c r="H113" i="17"/>
  <c r="I113" i="17"/>
  <c r="J113" i="17"/>
  <c r="L113" i="17"/>
  <c r="AO113" i="17" s="1"/>
  <c r="M113" i="17"/>
  <c r="N113" i="17" s="1"/>
  <c r="O113" i="17"/>
  <c r="P113" i="17"/>
  <c r="Q113" i="17"/>
  <c r="V113" i="17" s="1"/>
  <c r="S113" i="17"/>
  <c r="U113" i="17"/>
  <c r="W113" i="17"/>
  <c r="Y113" i="17"/>
  <c r="AB113" i="17"/>
  <c r="AD113" i="17"/>
  <c r="AE113" i="17"/>
  <c r="AF113" i="17"/>
  <c r="AG113" i="17"/>
  <c r="AI113" i="17"/>
  <c r="AJ113" i="17"/>
  <c r="AL113" i="17"/>
  <c r="AN113" i="17"/>
  <c r="AP113" i="17"/>
  <c r="AR113" i="17"/>
  <c r="AX113" i="17"/>
  <c r="AY113" i="17"/>
  <c r="AZ113" i="17"/>
  <c r="BA113" i="17"/>
  <c r="BF113" i="17" s="1"/>
  <c r="BG113" i="17"/>
  <c r="BI113" i="17"/>
  <c r="BK113" i="17"/>
  <c r="BL113" i="17"/>
  <c r="BM113" i="17"/>
  <c r="BO113" i="17"/>
  <c r="BR113" i="17"/>
  <c r="BT113" i="17"/>
  <c r="BU113" i="17"/>
  <c r="BW113" i="17"/>
  <c r="BY113" i="17"/>
  <c r="CB113" i="17"/>
  <c r="CD113" i="17" s="1"/>
  <c r="CC113" i="17"/>
  <c r="CE113" i="17"/>
  <c r="CF113" i="17"/>
  <c r="CG113" i="17"/>
  <c r="CH113" i="17"/>
  <c r="CI113" i="17"/>
  <c r="CK113" i="17"/>
  <c r="A114" i="17"/>
  <c r="B114" i="17"/>
  <c r="C114" i="17"/>
  <c r="D114" i="17"/>
  <c r="E114" i="17"/>
  <c r="F114" i="17"/>
  <c r="G114" i="17"/>
  <c r="H114" i="17"/>
  <c r="I114" i="17"/>
  <c r="J114" i="17"/>
  <c r="L114" i="17"/>
  <c r="M114" i="17"/>
  <c r="N114" i="17"/>
  <c r="P114" i="17"/>
  <c r="S114" i="17" s="1"/>
  <c r="T114" i="17" s="1"/>
  <c r="Q114" i="17"/>
  <c r="R114" i="17"/>
  <c r="U114" i="17"/>
  <c r="V114" i="17"/>
  <c r="W114" i="17"/>
  <c r="X114" i="17"/>
  <c r="Y114" i="17"/>
  <c r="AA114" i="17"/>
  <c r="AB114" i="17"/>
  <c r="AD114" i="17"/>
  <c r="AG114" i="17"/>
  <c r="AJ114" i="17"/>
  <c r="AK114" i="17" s="1"/>
  <c r="AL114" i="17"/>
  <c r="AN114" i="17"/>
  <c r="AP114" i="17"/>
  <c r="AR114" i="17"/>
  <c r="AW114" i="17"/>
  <c r="AX114" i="17"/>
  <c r="AY114" i="17"/>
  <c r="AZ114" i="17"/>
  <c r="BA114" i="17"/>
  <c r="BF114" i="17"/>
  <c r="BG114" i="17"/>
  <c r="BI114" i="17"/>
  <c r="BC114" i="17" s="1"/>
  <c r="BD114" i="17" s="1"/>
  <c r="BK114" i="17"/>
  <c r="BL114" i="17"/>
  <c r="BM114" i="17"/>
  <c r="BO114" i="17"/>
  <c r="BP114" i="17" s="1"/>
  <c r="BR114" i="17"/>
  <c r="BT114" i="17"/>
  <c r="BS114" i="17" s="1"/>
  <c r="BU114" i="17"/>
  <c r="BW114" i="17"/>
  <c r="BY114" i="17"/>
  <c r="CA114" i="17"/>
  <c r="CB114" i="17"/>
  <c r="CC114" i="17"/>
  <c r="CD114" i="17"/>
  <c r="CE114" i="17"/>
  <c r="CF114" i="17"/>
  <c r="CG114" i="17"/>
  <c r="CH114" i="17"/>
  <c r="CI114" i="17" s="1"/>
  <c r="CK114" i="17"/>
  <c r="A115" i="17"/>
  <c r="B115" i="17"/>
  <c r="C115" i="17"/>
  <c r="D115" i="17"/>
  <c r="E115" i="17"/>
  <c r="F115" i="17"/>
  <c r="G115" i="17"/>
  <c r="H115" i="17"/>
  <c r="I115" i="17"/>
  <c r="J115" i="17"/>
  <c r="L115" i="17"/>
  <c r="M115" i="17"/>
  <c r="N115" i="17"/>
  <c r="O115" i="17"/>
  <c r="P115" i="17"/>
  <c r="Q115" i="17"/>
  <c r="W115" i="17"/>
  <c r="Y115" i="17"/>
  <c r="Z115" i="17"/>
  <c r="AB115" i="17"/>
  <c r="AC115" i="17"/>
  <c r="AD115" i="17"/>
  <c r="AE115" i="17"/>
  <c r="AF115" i="17"/>
  <c r="AG115" i="17"/>
  <c r="AH115" i="17" s="1"/>
  <c r="AI115" i="17"/>
  <c r="AJ115" i="17"/>
  <c r="AL115" i="17"/>
  <c r="AM115" i="17"/>
  <c r="AN115" i="17"/>
  <c r="AO115" i="17"/>
  <c r="AP115" i="17"/>
  <c r="AQ115" i="17"/>
  <c r="AR115" i="17"/>
  <c r="AS115" i="17" s="1"/>
  <c r="AX115" i="17"/>
  <c r="AY115" i="17"/>
  <c r="AZ115" i="17"/>
  <c r="BA115" i="17"/>
  <c r="BG115" i="17"/>
  <c r="BH115" i="17" s="1"/>
  <c r="BI115" i="17"/>
  <c r="BJ115" i="17"/>
  <c r="BK115" i="17"/>
  <c r="BL115" i="17"/>
  <c r="BM115" i="17"/>
  <c r="BN115" i="17" s="1"/>
  <c r="AV115" i="17" s="1"/>
  <c r="BO115" i="17"/>
  <c r="BP115" i="17"/>
  <c r="BQ115" i="17"/>
  <c r="BR115" i="17"/>
  <c r="BS115" i="17"/>
  <c r="BT115" i="17"/>
  <c r="BU115" i="17"/>
  <c r="BV115" i="17"/>
  <c r="BW115" i="17"/>
  <c r="BX115" i="17" s="1"/>
  <c r="BY115" i="17"/>
  <c r="BZ115" i="17" s="1"/>
  <c r="CB115" i="17"/>
  <c r="CD115" i="17" s="1"/>
  <c r="CC115" i="17"/>
  <c r="CE115" i="17"/>
  <c r="CF115" i="17"/>
  <c r="CG115" i="17"/>
  <c r="CH115" i="17"/>
  <c r="CI115" i="17" s="1"/>
  <c r="CK115" i="17"/>
  <c r="A116" i="17"/>
  <c r="B116" i="17"/>
  <c r="C116" i="17"/>
  <c r="D116" i="17"/>
  <c r="E116" i="17"/>
  <c r="F116" i="17"/>
  <c r="G116" i="17"/>
  <c r="H116" i="17"/>
  <c r="I116" i="17"/>
  <c r="J116" i="17"/>
  <c r="L116" i="17"/>
  <c r="BN116" i="17" s="1"/>
  <c r="M116" i="17"/>
  <c r="N116" i="17"/>
  <c r="P116" i="17"/>
  <c r="S116" i="17" s="1"/>
  <c r="Q116" i="17"/>
  <c r="R116" i="17"/>
  <c r="U116" i="17"/>
  <c r="V116" i="17"/>
  <c r="W116" i="17"/>
  <c r="X116" i="17"/>
  <c r="Y116" i="17"/>
  <c r="AA116" i="17"/>
  <c r="AB116" i="17"/>
  <c r="AD116" i="17"/>
  <c r="AG116" i="17"/>
  <c r="AJ116" i="17"/>
  <c r="AN116" i="17"/>
  <c r="AO116" i="17" s="1"/>
  <c r="AP116" i="17"/>
  <c r="AR116" i="17"/>
  <c r="AU116" i="17"/>
  <c r="AX116" i="17"/>
  <c r="AY116" i="17"/>
  <c r="AZ116" i="17"/>
  <c r="BA116" i="17"/>
  <c r="BC116" i="17" s="1"/>
  <c r="BB116" i="17"/>
  <c r="BE116" i="17" s="1"/>
  <c r="BF116" i="17"/>
  <c r="BG116" i="17"/>
  <c r="BH116" i="17"/>
  <c r="BI116" i="17"/>
  <c r="BK116" i="17"/>
  <c r="BL116" i="17"/>
  <c r="BM116" i="17"/>
  <c r="BO116" i="17"/>
  <c r="BR116" i="17"/>
  <c r="BT116" i="17"/>
  <c r="BU116" i="17"/>
  <c r="BW116" i="17"/>
  <c r="BY116" i="17"/>
  <c r="CB116" i="17"/>
  <c r="CC116" i="17"/>
  <c r="CD116" i="17" s="1"/>
  <c r="CE116" i="17"/>
  <c r="CF116" i="17"/>
  <c r="CG116" i="17"/>
  <c r="CH116" i="17"/>
  <c r="CI116" i="17"/>
  <c r="CK116" i="17"/>
  <c r="A117" i="17"/>
  <c r="B117" i="17"/>
  <c r="C117" i="17"/>
  <c r="D117" i="17"/>
  <c r="E117" i="17"/>
  <c r="F117" i="17"/>
  <c r="G117" i="17"/>
  <c r="H117" i="17"/>
  <c r="I117" i="17"/>
  <c r="J117" i="17"/>
  <c r="L117" i="17"/>
  <c r="AS117" i="17" s="1"/>
  <c r="M117" i="17"/>
  <c r="P117" i="17"/>
  <c r="U117" i="17" s="1"/>
  <c r="Q117" i="17"/>
  <c r="R117" i="17" s="1"/>
  <c r="S117" i="17"/>
  <c r="W117" i="17"/>
  <c r="X117" i="17" s="1"/>
  <c r="Y117" i="17"/>
  <c r="AB117" i="17"/>
  <c r="AC117" i="17" s="1"/>
  <c r="AD117" i="17"/>
  <c r="AF117" i="17" s="1"/>
  <c r="AE117" i="17"/>
  <c r="AG117" i="17"/>
  <c r="AH117" i="17"/>
  <c r="AI117" i="17"/>
  <c r="AJ117" i="17"/>
  <c r="AL117" i="17" s="1"/>
  <c r="AK117" i="17"/>
  <c r="AN117" i="17"/>
  <c r="AP117" i="17"/>
  <c r="AQ117" i="17"/>
  <c r="AR117" i="17"/>
  <c r="AT117" i="17"/>
  <c r="AW117" i="17"/>
  <c r="AX117" i="17"/>
  <c r="AY117" i="17"/>
  <c r="AZ117" i="17"/>
  <c r="BA117" i="17"/>
  <c r="BB117" i="17" s="1"/>
  <c r="BC117" i="17"/>
  <c r="BD117" i="17" s="1"/>
  <c r="BF117" i="17"/>
  <c r="BG117" i="17"/>
  <c r="BH117" i="17" s="1"/>
  <c r="BI117" i="17"/>
  <c r="BK117" i="17"/>
  <c r="BL117" i="17"/>
  <c r="BM117" i="17"/>
  <c r="BN117" i="17" s="1"/>
  <c r="AV117" i="17" s="1"/>
  <c r="BO117" i="17"/>
  <c r="BP117" i="17" s="1"/>
  <c r="BR117" i="17"/>
  <c r="BQ117" i="17" s="1"/>
  <c r="BS117" i="17"/>
  <c r="BT117" i="17"/>
  <c r="BU117" i="17"/>
  <c r="BV117" i="17" s="1"/>
  <c r="BW117" i="17"/>
  <c r="BX117" i="17"/>
  <c r="BY117" i="17"/>
  <c r="BZ117" i="17" s="1"/>
  <c r="CB117" i="17"/>
  <c r="CC117" i="17"/>
  <c r="CD117" i="17"/>
  <c r="CE117" i="17"/>
  <c r="CF117" i="17"/>
  <c r="CG117" i="17"/>
  <c r="CI117" i="17" s="1"/>
  <c r="CH117" i="17"/>
  <c r="CK117" i="17"/>
  <c r="A118" i="17"/>
  <c r="B118" i="17"/>
  <c r="C118" i="17"/>
  <c r="D118" i="17"/>
  <c r="E118" i="17"/>
  <c r="F118" i="17"/>
  <c r="G118" i="17"/>
  <c r="H118" i="17"/>
  <c r="I118" i="17"/>
  <c r="J118" i="17"/>
  <c r="L118" i="17"/>
  <c r="BV118" i="17" s="1"/>
  <c r="M118" i="17"/>
  <c r="N118" i="17"/>
  <c r="P118" i="17"/>
  <c r="Q118" i="17"/>
  <c r="W118" i="17"/>
  <c r="X118" i="17"/>
  <c r="Y118" i="17"/>
  <c r="AA118" i="17" s="1"/>
  <c r="AB118" i="17"/>
  <c r="AC118" i="17"/>
  <c r="AD118" i="17"/>
  <c r="AF118" i="17"/>
  <c r="AG118" i="17"/>
  <c r="AI118" i="17"/>
  <c r="AJ118" i="17"/>
  <c r="AL118" i="17"/>
  <c r="AN118" i="17"/>
  <c r="AO118" i="17"/>
  <c r="AP118" i="17"/>
  <c r="AR118" i="17"/>
  <c r="AU118" i="17"/>
  <c r="AX118" i="17"/>
  <c r="AY118" i="17"/>
  <c r="AZ118" i="17"/>
  <c r="BA118" i="17"/>
  <c r="BB118" i="17" s="1"/>
  <c r="BE118" i="17" s="1"/>
  <c r="BG118" i="17"/>
  <c r="BH118" i="17"/>
  <c r="BI118" i="17"/>
  <c r="BK118" i="17"/>
  <c r="BL118" i="17"/>
  <c r="BM118" i="17"/>
  <c r="BN118" i="17"/>
  <c r="BO118" i="17"/>
  <c r="BR118" i="17"/>
  <c r="BS118" i="17"/>
  <c r="BT118" i="17"/>
  <c r="BU118" i="17"/>
  <c r="BW118" i="17"/>
  <c r="BY118" i="17"/>
  <c r="BZ118" i="17"/>
  <c r="CA118" i="17"/>
  <c r="CB118" i="17"/>
  <c r="CD118" i="17" s="1"/>
  <c r="CC118" i="17"/>
  <c r="CE118" i="17"/>
  <c r="CF118" i="17"/>
  <c r="CG118" i="17"/>
  <c r="CH118" i="17"/>
  <c r="CI118" i="17" s="1"/>
  <c r="CK118" i="17"/>
  <c r="A119" i="17"/>
  <c r="B119" i="17"/>
  <c r="C119" i="17"/>
  <c r="D119" i="17"/>
  <c r="E119" i="17"/>
  <c r="F119" i="17"/>
  <c r="G119" i="17"/>
  <c r="H119" i="17"/>
  <c r="I119" i="17"/>
  <c r="J119" i="17"/>
  <c r="L119" i="17"/>
  <c r="M119" i="17"/>
  <c r="N119" i="17" s="1"/>
  <c r="P119" i="17"/>
  <c r="Q119" i="17"/>
  <c r="T119" i="17" s="1"/>
  <c r="R119" i="17"/>
  <c r="S119" i="17"/>
  <c r="U119" i="17"/>
  <c r="W119" i="17"/>
  <c r="X119" i="17"/>
  <c r="Y119" i="17"/>
  <c r="Z119" i="17" s="1"/>
  <c r="AA119" i="17"/>
  <c r="AB119" i="17"/>
  <c r="AD119" i="17"/>
  <c r="AF119" i="17" s="1"/>
  <c r="AG119" i="17"/>
  <c r="AJ119" i="17"/>
  <c r="AL119" i="17" s="1"/>
  <c r="AK119" i="17"/>
  <c r="AM119" i="17"/>
  <c r="AN119" i="17"/>
  <c r="AP119" i="17"/>
  <c r="AT119" i="17" s="1"/>
  <c r="AQ119" i="17"/>
  <c r="AR119" i="17"/>
  <c r="AS119" i="17"/>
  <c r="AW119" i="17"/>
  <c r="AX119" i="17"/>
  <c r="AY119" i="17"/>
  <c r="AZ119" i="17"/>
  <c r="BA119" i="17"/>
  <c r="BF119" i="17" s="1"/>
  <c r="BB119" i="17"/>
  <c r="BC119" i="17"/>
  <c r="BD119" i="17" s="1"/>
  <c r="BG119" i="17"/>
  <c r="BH119" i="17"/>
  <c r="BI119" i="17"/>
  <c r="BK119" i="17"/>
  <c r="BL119" i="17"/>
  <c r="BM119" i="17"/>
  <c r="BN119" i="17"/>
  <c r="AV119" i="17" s="1"/>
  <c r="BO119" i="17"/>
  <c r="BP119" i="17" s="1"/>
  <c r="BQ119" i="17"/>
  <c r="BR119" i="17"/>
  <c r="BT119" i="17"/>
  <c r="BS119" i="17" s="1"/>
  <c r="BU119" i="17"/>
  <c r="BV119" i="17" s="1"/>
  <c r="BW119" i="17"/>
  <c r="BX119" i="17" s="1"/>
  <c r="BY119" i="17"/>
  <c r="BZ119" i="17"/>
  <c r="CB119" i="17"/>
  <c r="CD119" i="17" s="1"/>
  <c r="CC119" i="17"/>
  <c r="CE119" i="17"/>
  <c r="CF119" i="17"/>
  <c r="CG119" i="17"/>
  <c r="CH119" i="17"/>
  <c r="CI119" i="17"/>
  <c r="CK119" i="17"/>
  <c r="A120" i="17"/>
  <c r="B120" i="17"/>
  <c r="C120" i="17"/>
  <c r="D120" i="17"/>
  <c r="E120" i="17"/>
  <c r="F120" i="17"/>
  <c r="G120" i="17"/>
  <c r="H120" i="17"/>
  <c r="I120" i="17"/>
  <c r="J120" i="17"/>
  <c r="L120" i="17"/>
  <c r="M120" i="17"/>
  <c r="O120" i="17" s="1"/>
  <c r="N120" i="17"/>
  <c r="P120" i="17"/>
  <c r="U120" i="17" s="1"/>
  <c r="Q120" i="17"/>
  <c r="R120" i="17"/>
  <c r="S120" i="17"/>
  <c r="T120" i="17" s="1"/>
  <c r="W120" i="17"/>
  <c r="X120" i="17"/>
  <c r="Y120" i="17"/>
  <c r="AA120" i="17" s="1"/>
  <c r="Z120" i="17"/>
  <c r="AB120" i="17"/>
  <c r="AC120" i="17" s="1"/>
  <c r="AD120" i="17"/>
  <c r="AE120" i="17"/>
  <c r="AF120" i="17"/>
  <c r="AG120" i="17"/>
  <c r="AI120" i="17" s="1"/>
  <c r="AH120" i="17"/>
  <c r="AJ120" i="17"/>
  <c r="AK120" i="17"/>
  <c r="AL120" i="17"/>
  <c r="AN120" i="17"/>
  <c r="AP120" i="17"/>
  <c r="AQ120" i="17"/>
  <c r="AR120" i="17"/>
  <c r="AS120" i="17" s="1"/>
  <c r="AT120" i="17"/>
  <c r="AW120" i="17"/>
  <c r="AX120" i="17"/>
  <c r="AY120" i="17"/>
  <c r="AZ120" i="17"/>
  <c r="BA120" i="17"/>
  <c r="BB120" i="17"/>
  <c r="BC120" i="17"/>
  <c r="BD120" i="17" s="1"/>
  <c r="BF120" i="17"/>
  <c r="BG120" i="17"/>
  <c r="BH120" i="17"/>
  <c r="BI120" i="17"/>
  <c r="AU120" i="17" s="1"/>
  <c r="BJ120" i="17"/>
  <c r="BK120" i="17"/>
  <c r="BL120" i="17"/>
  <c r="BM120" i="17"/>
  <c r="BN120" i="17"/>
  <c r="AV120" i="17" s="1"/>
  <c r="BO120" i="17"/>
  <c r="BP120" i="17"/>
  <c r="BR120" i="17"/>
  <c r="BQ120" i="17" s="1"/>
  <c r="BT120" i="17"/>
  <c r="BS120" i="17" s="1"/>
  <c r="BU120" i="17"/>
  <c r="BV120" i="17" s="1"/>
  <c r="BW120" i="17"/>
  <c r="BX120" i="17"/>
  <c r="BY120" i="17"/>
  <c r="BZ120" i="17"/>
  <c r="CA120" i="17"/>
  <c r="CB120" i="17"/>
  <c r="CC120" i="17"/>
  <c r="CD120" i="17"/>
  <c r="CE120" i="17"/>
  <c r="CF120" i="17"/>
  <c r="CG120" i="17"/>
  <c r="CH120" i="17"/>
  <c r="CK120" i="17"/>
  <c r="A121" i="17"/>
  <c r="B121" i="17"/>
  <c r="C121" i="17"/>
  <c r="D121" i="17"/>
  <c r="E121" i="17"/>
  <c r="F121" i="17"/>
  <c r="G121" i="17"/>
  <c r="H121" i="17"/>
  <c r="I121" i="17"/>
  <c r="J121" i="17"/>
  <c r="L121" i="17"/>
  <c r="M121" i="17"/>
  <c r="N121" i="17"/>
  <c r="O121" i="17"/>
  <c r="P121" i="17"/>
  <c r="Q121" i="17"/>
  <c r="W121" i="17"/>
  <c r="X121" i="17" s="1"/>
  <c r="Y121" i="17"/>
  <c r="Z121" i="17"/>
  <c r="AA121" i="17"/>
  <c r="AB121" i="17"/>
  <c r="AC121" i="17"/>
  <c r="AD121" i="17"/>
  <c r="AE121" i="17"/>
  <c r="AF121" i="17"/>
  <c r="AG121" i="17"/>
  <c r="AI121" i="17" s="1"/>
  <c r="AJ121" i="17"/>
  <c r="AL121" i="17"/>
  <c r="AM121" i="17"/>
  <c r="AN121" i="17"/>
  <c r="AO121" i="17"/>
  <c r="AP121" i="17"/>
  <c r="AQ121" i="17"/>
  <c r="AR121" i="17"/>
  <c r="AT121" i="17" s="1"/>
  <c r="AS121" i="17"/>
  <c r="AX121" i="17"/>
  <c r="AY121" i="17"/>
  <c r="AZ121" i="17"/>
  <c r="BA121" i="17"/>
  <c r="BG121" i="17"/>
  <c r="BH121" i="17" s="1"/>
  <c r="BI121" i="17"/>
  <c r="BJ121" i="17"/>
  <c r="BK121" i="17"/>
  <c r="BL121" i="17"/>
  <c r="BM121" i="17"/>
  <c r="BN121" i="17" s="1"/>
  <c r="BO121" i="17"/>
  <c r="BP121" i="17"/>
  <c r="BQ121" i="17"/>
  <c r="BR121" i="17"/>
  <c r="BS121" i="17"/>
  <c r="BT121" i="17"/>
  <c r="BU121" i="17"/>
  <c r="BV121" i="17"/>
  <c r="BW121" i="17"/>
  <c r="BY121" i="17"/>
  <c r="BZ121" i="17" s="1"/>
  <c r="CB121" i="17"/>
  <c r="CD121" i="17" s="1"/>
  <c r="CC121" i="17"/>
  <c r="CE121" i="17"/>
  <c r="CF121" i="17"/>
  <c r="CG121" i="17"/>
  <c r="CH121" i="17"/>
  <c r="CI121" i="17"/>
  <c r="CK121" i="17"/>
  <c r="A122" i="17"/>
  <c r="B122" i="17"/>
  <c r="C122" i="17"/>
  <c r="D122" i="17"/>
  <c r="E122" i="17"/>
  <c r="F122" i="17"/>
  <c r="G122" i="17"/>
  <c r="H122" i="17"/>
  <c r="I122" i="17"/>
  <c r="J122" i="17"/>
  <c r="L122" i="17"/>
  <c r="M122" i="17"/>
  <c r="N122" i="17"/>
  <c r="P122" i="17"/>
  <c r="S122" i="17" s="1"/>
  <c r="Q122" i="17"/>
  <c r="R122" i="17"/>
  <c r="V122" i="17"/>
  <c r="W122" i="17"/>
  <c r="Y122" i="17"/>
  <c r="AA122" i="17"/>
  <c r="AB122" i="17"/>
  <c r="AD122" i="17"/>
  <c r="AG122" i="17"/>
  <c r="AJ122" i="17"/>
  <c r="AM122" i="17"/>
  <c r="AN122" i="17"/>
  <c r="AP122" i="17"/>
  <c r="AR122" i="17"/>
  <c r="AU122" i="17"/>
  <c r="AX122" i="17"/>
  <c r="AY122" i="17"/>
  <c r="AZ122" i="17"/>
  <c r="BA122" i="17"/>
  <c r="BC122" i="17" s="1"/>
  <c r="BB122" i="17"/>
  <c r="BF122" i="17"/>
  <c r="BG122" i="17"/>
  <c r="BI122" i="17"/>
  <c r="BK122" i="17"/>
  <c r="BL122" i="17"/>
  <c r="BM122" i="17"/>
  <c r="BO122" i="17"/>
  <c r="BR122" i="17"/>
  <c r="BQ122" i="17" s="1"/>
  <c r="BT122" i="17"/>
  <c r="BU122" i="17"/>
  <c r="BW122" i="17"/>
  <c r="CA122" i="17" s="1"/>
  <c r="BY122" i="17"/>
  <c r="BZ122" i="17"/>
  <c r="CB122" i="17"/>
  <c r="CC122" i="17"/>
  <c r="CD122" i="17" s="1"/>
  <c r="CE122" i="17"/>
  <c r="CF122" i="17"/>
  <c r="CG122" i="17"/>
  <c r="CH122" i="17"/>
  <c r="CI122" i="17"/>
  <c r="CK122" i="17"/>
  <c r="A123" i="17"/>
  <c r="B123" i="17"/>
  <c r="C123" i="17"/>
  <c r="D123" i="17"/>
  <c r="E123" i="17"/>
  <c r="F123" i="17"/>
  <c r="G123" i="17"/>
  <c r="H123" i="17"/>
  <c r="I123" i="17"/>
  <c r="J123" i="17"/>
  <c r="L123" i="17"/>
  <c r="AS123" i="17" s="1"/>
  <c r="M123" i="17"/>
  <c r="P123" i="17"/>
  <c r="U123" i="17" s="1"/>
  <c r="Q123" i="17"/>
  <c r="W123" i="17"/>
  <c r="X123" i="17" s="1"/>
  <c r="Y123" i="17"/>
  <c r="AB123" i="17"/>
  <c r="AC123" i="17" s="1"/>
  <c r="AD123" i="17"/>
  <c r="AF123" i="17" s="1"/>
  <c r="AE123" i="17"/>
  <c r="AG123" i="17"/>
  <c r="AH123" i="17"/>
  <c r="AI123" i="17"/>
  <c r="AJ123" i="17"/>
  <c r="AL123" i="17" s="1"/>
  <c r="AN123" i="17"/>
  <c r="AM123" i="17" s="1"/>
  <c r="AP123" i="17"/>
  <c r="AQ123" i="17"/>
  <c r="AR123" i="17"/>
  <c r="AT123" i="17"/>
  <c r="AW123" i="17"/>
  <c r="AX123" i="17"/>
  <c r="AY123" i="17"/>
  <c r="AZ123" i="17"/>
  <c r="BA123" i="17"/>
  <c r="BB123" i="17" s="1"/>
  <c r="BG123" i="17"/>
  <c r="BH123" i="17" s="1"/>
  <c r="BI123" i="17"/>
  <c r="BJ123" i="17" s="1"/>
  <c r="BK123" i="17"/>
  <c r="BL123" i="17"/>
  <c r="BM123" i="17"/>
  <c r="BN123" i="17" s="1"/>
  <c r="AV123" i="17" s="1"/>
  <c r="BO123" i="17"/>
  <c r="BP123" i="17" s="1"/>
  <c r="BR123" i="17"/>
  <c r="BQ123" i="17" s="1"/>
  <c r="BS123" i="17"/>
  <c r="BT123" i="17"/>
  <c r="BU123" i="17"/>
  <c r="BV123" i="17" s="1"/>
  <c r="BW123" i="17"/>
  <c r="BX123" i="17"/>
  <c r="BY123" i="17"/>
  <c r="BZ123" i="17" s="1"/>
  <c r="CA123" i="17"/>
  <c r="CB123" i="17"/>
  <c r="CC123" i="17"/>
  <c r="CD123" i="17"/>
  <c r="CE123" i="17"/>
  <c r="CF123" i="17"/>
  <c r="CG123" i="17"/>
  <c r="CI123" i="17" s="1"/>
  <c r="CH123" i="17"/>
  <c r="CK123" i="17"/>
  <c r="A124" i="17"/>
  <c r="B124" i="17"/>
  <c r="C124" i="17"/>
  <c r="D124" i="17"/>
  <c r="E124" i="17"/>
  <c r="F124" i="17"/>
  <c r="G124" i="17"/>
  <c r="H124" i="17"/>
  <c r="I124" i="17"/>
  <c r="J124" i="17"/>
  <c r="L124" i="17"/>
  <c r="M124" i="17"/>
  <c r="N124" i="17"/>
  <c r="P124" i="17"/>
  <c r="U124" i="17" s="1"/>
  <c r="Q124" i="17"/>
  <c r="R124" i="17"/>
  <c r="W124" i="17"/>
  <c r="Y124" i="17"/>
  <c r="AA124" i="17" s="1"/>
  <c r="AB124" i="17"/>
  <c r="AC124" i="17"/>
  <c r="AD124" i="17"/>
  <c r="AG124" i="17"/>
  <c r="AJ124" i="17"/>
  <c r="AL124" i="17" s="1"/>
  <c r="AN124" i="17"/>
  <c r="AP124" i="17"/>
  <c r="AI124" i="17" s="1"/>
  <c r="AR124" i="17"/>
  <c r="AU124" i="17"/>
  <c r="AX124" i="17"/>
  <c r="AY124" i="17"/>
  <c r="AZ124" i="17"/>
  <c r="BA124" i="17"/>
  <c r="BB124" i="17"/>
  <c r="BG124" i="17"/>
  <c r="BI124" i="17"/>
  <c r="BK124" i="17"/>
  <c r="BL124" i="17"/>
  <c r="BM124" i="17"/>
  <c r="BO124" i="17"/>
  <c r="BR124" i="17"/>
  <c r="BQ124" i="17" s="1"/>
  <c r="BS124" i="17"/>
  <c r="BT124" i="17"/>
  <c r="BU124" i="17"/>
  <c r="BV124" i="17"/>
  <c r="BW124" i="17"/>
  <c r="BY124" i="17"/>
  <c r="BZ124" i="17" s="1"/>
  <c r="CA124" i="17"/>
  <c r="CB124" i="17"/>
  <c r="CD124" i="17" s="1"/>
  <c r="CC124" i="17"/>
  <c r="CE124" i="17"/>
  <c r="CF124" i="17"/>
  <c r="CG124" i="17"/>
  <c r="CH124" i="17"/>
  <c r="CI124" i="17" s="1"/>
  <c r="CK124" i="17"/>
  <c r="A125" i="17"/>
  <c r="B125" i="17"/>
  <c r="C125" i="17"/>
  <c r="D125" i="17"/>
  <c r="E125" i="17"/>
  <c r="F125" i="17"/>
  <c r="G125" i="17"/>
  <c r="H125" i="17"/>
  <c r="I125" i="17"/>
  <c r="J125" i="17"/>
  <c r="L125" i="17"/>
  <c r="M125" i="17"/>
  <c r="N125" i="17" s="1"/>
  <c r="O125" i="17"/>
  <c r="P125" i="17"/>
  <c r="Q125" i="17"/>
  <c r="T125" i="17" s="1"/>
  <c r="R125" i="17"/>
  <c r="S125" i="17"/>
  <c r="U125" i="17"/>
  <c r="W125" i="17"/>
  <c r="X125" i="17"/>
  <c r="Y125" i="17"/>
  <c r="Z125" i="17" s="1"/>
  <c r="AB125" i="17"/>
  <c r="AD125" i="17"/>
  <c r="AE125" i="17"/>
  <c r="AG125" i="17"/>
  <c r="AJ125" i="17"/>
  <c r="AK125" i="17" s="1"/>
  <c r="AM125" i="17"/>
  <c r="AN125" i="17"/>
  <c r="AP125" i="17"/>
  <c r="AT125" i="17" s="1"/>
  <c r="AR125" i="17"/>
  <c r="AS125" i="17"/>
  <c r="AX125" i="17"/>
  <c r="AY125" i="17"/>
  <c r="AZ125" i="17"/>
  <c r="BA125" i="17"/>
  <c r="BF125" i="17" s="1"/>
  <c r="BB125" i="17"/>
  <c r="BG125" i="17"/>
  <c r="BH125" i="17"/>
  <c r="BI125" i="17"/>
  <c r="BK125" i="17"/>
  <c r="BL125" i="17"/>
  <c r="BM125" i="17"/>
  <c r="BN125" i="17"/>
  <c r="AV125" i="17" s="1"/>
  <c r="BO125" i="17"/>
  <c r="BP125" i="17" s="1"/>
  <c r="BQ125" i="17"/>
  <c r="BR125" i="17"/>
  <c r="BT125" i="17"/>
  <c r="BS125" i="17" s="1"/>
  <c r="BU125" i="17"/>
  <c r="BV125" i="17" s="1"/>
  <c r="BW125" i="17"/>
  <c r="BX125" i="17" s="1"/>
  <c r="BY125" i="17"/>
  <c r="BZ125" i="17"/>
  <c r="CB125" i="17"/>
  <c r="CC125" i="17"/>
  <c r="CE125" i="17"/>
  <c r="CF125" i="17"/>
  <c r="CG125" i="17"/>
  <c r="CI125" i="17" s="1"/>
  <c r="CH125" i="17"/>
  <c r="CK125" i="17"/>
  <c r="A126" i="17"/>
  <c r="B126" i="17"/>
  <c r="C126" i="17"/>
  <c r="D126" i="17"/>
  <c r="E126" i="17"/>
  <c r="F126" i="17"/>
  <c r="G126" i="17"/>
  <c r="H126" i="17"/>
  <c r="I126" i="17"/>
  <c r="J126" i="17"/>
  <c r="L126" i="17"/>
  <c r="M126" i="17"/>
  <c r="O126" i="17" s="1"/>
  <c r="P126" i="17"/>
  <c r="U126" i="17" s="1"/>
  <c r="Q126" i="17"/>
  <c r="R126" i="17"/>
  <c r="W126" i="17"/>
  <c r="X126" i="17"/>
  <c r="Y126" i="17"/>
  <c r="AA126" i="17" s="1"/>
  <c r="AB126" i="17"/>
  <c r="AC126" i="17" s="1"/>
  <c r="AD126" i="17"/>
  <c r="AE126" i="17"/>
  <c r="AF126" i="17"/>
  <c r="AG126" i="17"/>
  <c r="AI126" i="17" s="1"/>
  <c r="AH126" i="17"/>
  <c r="AJ126" i="17"/>
  <c r="AK126" i="17"/>
  <c r="AL126" i="17"/>
  <c r="AN126" i="17"/>
  <c r="AP126" i="17"/>
  <c r="AQ126" i="17"/>
  <c r="AR126" i="17"/>
  <c r="AS126" i="17" s="1"/>
  <c r="AX126" i="17"/>
  <c r="AY126" i="17"/>
  <c r="AZ126" i="17"/>
  <c r="BA126" i="17"/>
  <c r="BB126" i="17"/>
  <c r="BC126" i="17"/>
  <c r="BD126" i="17" s="1"/>
  <c r="BF126" i="17"/>
  <c r="BG126" i="17"/>
  <c r="BH126" i="17"/>
  <c r="BI126" i="17"/>
  <c r="BJ126" i="17"/>
  <c r="BK126" i="17"/>
  <c r="BL126" i="17"/>
  <c r="BM126" i="17"/>
  <c r="BN126" i="17"/>
  <c r="AV126" i="17" s="1"/>
  <c r="BO126" i="17"/>
  <c r="BP126" i="17"/>
  <c r="BR126" i="17"/>
  <c r="BQ126" i="17" s="1"/>
  <c r="BT126" i="17"/>
  <c r="BS126" i="17" s="1"/>
  <c r="BU126" i="17"/>
  <c r="BV126" i="17"/>
  <c r="BW126" i="17"/>
  <c r="BX126" i="17"/>
  <c r="BY126" i="17"/>
  <c r="BZ126" i="17"/>
  <c r="CA126" i="17"/>
  <c r="CB126" i="17"/>
  <c r="CD126" i="17" s="1"/>
  <c r="CC126" i="17"/>
  <c r="CE126" i="17"/>
  <c r="CF126" i="17"/>
  <c r="CG126" i="17"/>
  <c r="CH126" i="17"/>
  <c r="CI126" i="17" s="1"/>
  <c r="CK126" i="17"/>
  <c r="A127" i="17"/>
  <c r="B127" i="17"/>
  <c r="C127" i="17"/>
  <c r="D127" i="17"/>
  <c r="E127" i="17"/>
  <c r="F127" i="17"/>
  <c r="G127" i="17"/>
  <c r="H127" i="17"/>
  <c r="I127" i="17"/>
  <c r="J127" i="17"/>
  <c r="L127" i="17"/>
  <c r="M127" i="17"/>
  <c r="N127" i="17"/>
  <c r="O127" i="17"/>
  <c r="P127" i="17"/>
  <c r="Q127" i="17"/>
  <c r="U127" i="17"/>
  <c r="W127" i="17"/>
  <c r="X127" i="17" s="1"/>
  <c r="Y127" i="17"/>
  <c r="Z127" i="17"/>
  <c r="AB127" i="17"/>
  <c r="AC127" i="17"/>
  <c r="AD127" i="17"/>
  <c r="AE127" i="17"/>
  <c r="AF127" i="17"/>
  <c r="AG127" i="17"/>
  <c r="AI127" i="17"/>
  <c r="AJ127" i="17"/>
  <c r="AL127" i="17"/>
  <c r="AM127" i="17"/>
  <c r="AN127" i="17"/>
  <c r="AO127" i="17"/>
  <c r="AP127" i="17"/>
  <c r="AQ127" i="17"/>
  <c r="AR127" i="17"/>
  <c r="AT127" i="17" s="1"/>
  <c r="AX127" i="17"/>
  <c r="AY127" i="17"/>
  <c r="AZ127" i="17"/>
  <c r="BA127" i="17"/>
  <c r="BG127" i="17"/>
  <c r="BH127" i="17" s="1"/>
  <c r="BI127" i="17"/>
  <c r="BJ127" i="17"/>
  <c r="BK127" i="17"/>
  <c r="BL127" i="17"/>
  <c r="BM127" i="17"/>
  <c r="BN127" i="17" s="1"/>
  <c r="BO127" i="17"/>
  <c r="BP127" i="17"/>
  <c r="BQ127" i="17"/>
  <c r="BR127" i="17"/>
  <c r="BS127" i="17"/>
  <c r="BT127" i="17"/>
  <c r="BU127" i="17"/>
  <c r="BV127" i="17"/>
  <c r="BW127" i="17"/>
  <c r="BY127" i="17"/>
  <c r="BZ127" i="17" s="1"/>
  <c r="CB127" i="17"/>
  <c r="CC127" i="17"/>
  <c r="CE127" i="17"/>
  <c r="CF127" i="17"/>
  <c r="CG127" i="17"/>
  <c r="CH127" i="17"/>
  <c r="CI127" i="17" s="1"/>
  <c r="CK127" i="17"/>
  <c r="A128" i="17"/>
  <c r="B128" i="17"/>
  <c r="C128" i="17"/>
  <c r="D128" i="17"/>
  <c r="E128" i="17"/>
  <c r="F128" i="17"/>
  <c r="G128" i="17"/>
  <c r="H128" i="17"/>
  <c r="I128" i="17"/>
  <c r="J128" i="17"/>
  <c r="L128" i="17"/>
  <c r="M128" i="17"/>
  <c r="N128" i="17"/>
  <c r="O128" i="17"/>
  <c r="P128" i="17"/>
  <c r="Q128" i="17"/>
  <c r="R128" i="17" s="1"/>
  <c r="W128" i="17"/>
  <c r="AA128" i="17" s="1"/>
  <c r="Y128" i="17"/>
  <c r="AB128" i="17"/>
  <c r="AC128" i="17" s="1"/>
  <c r="AD128" i="17"/>
  <c r="AG128" i="17"/>
  <c r="AH128" i="17"/>
  <c r="AJ128" i="17"/>
  <c r="AN128" i="17"/>
  <c r="AM128" i="17" s="1"/>
  <c r="AP128" i="17"/>
  <c r="AQ128" i="17" s="1"/>
  <c r="AR128" i="17"/>
  <c r="AS128" i="17"/>
  <c r="AU128" i="17"/>
  <c r="AX128" i="17"/>
  <c r="AY128" i="17"/>
  <c r="AZ128" i="17"/>
  <c r="BA128" i="17"/>
  <c r="BC128" i="17" s="1"/>
  <c r="BD128" i="17" s="1"/>
  <c r="BB128" i="17"/>
  <c r="BF128" i="17"/>
  <c r="BG128" i="17"/>
  <c r="BH128" i="17"/>
  <c r="BI128" i="17"/>
  <c r="BK128" i="17"/>
  <c r="BL128" i="17"/>
  <c r="BM128" i="17"/>
  <c r="BN128" i="17" s="1"/>
  <c r="AV128" i="17" s="1"/>
  <c r="BO128" i="17"/>
  <c r="BP128" i="17"/>
  <c r="BQ128" i="17"/>
  <c r="BR128" i="17"/>
  <c r="BS128" i="17"/>
  <c r="BT128" i="17"/>
  <c r="BU128" i="17"/>
  <c r="BV128" i="17"/>
  <c r="BW128" i="17"/>
  <c r="CA128" i="17" s="1"/>
  <c r="BY128" i="17"/>
  <c r="BZ128" i="17" s="1"/>
  <c r="CB128" i="17"/>
  <c r="CD128" i="17" s="1"/>
  <c r="CC128" i="17"/>
  <c r="CE128" i="17"/>
  <c r="CF128" i="17"/>
  <c r="CG128" i="17"/>
  <c r="CH128" i="17"/>
  <c r="CI128" i="17" s="1"/>
  <c r="CK128" i="17"/>
  <c r="A129" i="17"/>
  <c r="B129" i="17"/>
  <c r="C129" i="17"/>
  <c r="D129" i="17"/>
  <c r="E129" i="17"/>
  <c r="F129" i="17"/>
  <c r="G129" i="17"/>
  <c r="H129" i="17"/>
  <c r="I129" i="17"/>
  <c r="J129" i="17"/>
  <c r="L129" i="17"/>
  <c r="AS129" i="17" s="1"/>
  <c r="AV129" i="17" s="1"/>
  <c r="M129" i="17"/>
  <c r="N129" i="17" s="1"/>
  <c r="P129" i="17"/>
  <c r="S129" i="17" s="1"/>
  <c r="Q129" i="17"/>
  <c r="R129" i="17"/>
  <c r="U129" i="17"/>
  <c r="W129" i="17"/>
  <c r="X129" i="17" s="1"/>
  <c r="Y129" i="17"/>
  <c r="Z129" i="17" s="1"/>
  <c r="AB129" i="17"/>
  <c r="AC129" i="17" s="1"/>
  <c r="AD129" i="17"/>
  <c r="AE129" i="17" s="1"/>
  <c r="AG129" i="17"/>
  <c r="AW129" i="17" s="1"/>
  <c r="AJ129" i="17"/>
  <c r="AK129" i="17"/>
  <c r="AN129" i="17"/>
  <c r="AM129" i="17" s="1"/>
  <c r="AP129" i="17"/>
  <c r="AI129" i="17" s="1"/>
  <c r="AR129" i="17"/>
  <c r="AX129" i="17"/>
  <c r="AY129" i="17"/>
  <c r="AZ129" i="17"/>
  <c r="BA129" i="17"/>
  <c r="BC129" i="17" s="1"/>
  <c r="BD129" i="17" s="1"/>
  <c r="BB129" i="17"/>
  <c r="BG129" i="17"/>
  <c r="BH129" i="17" s="1"/>
  <c r="BI129" i="17"/>
  <c r="BJ129" i="17" s="1"/>
  <c r="BK129" i="17"/>
  <c r="BL129" i="17"/>
  <c r="BM129" i="17"/>
  <c r="BN129" i="17"/>
  <c r="BO129" i="17"/>
  <c r="BP129" i="17" s="1"/>
  <c r="BQ129" i="17"/>
  <c r="BR129" i="17"/>
  <c r="BS129" i="17"/>
  <c r="BT129" i="17"/>
  <c r="BU129" i="17"/>
  <c r="BV129" i="17" s="1"/>
  <c r="BW129" i="17"/>
  <c r="BX129" i="17" s="1"/>
  <c r="BY129" i="17"/>
  <c r="BZ129" i="17" s="1"/>
  <c r="CB129" i="17"/>
  <c r="CD129" i="17" s="1"/>
  <c r="CC129" i="17"/>
  <c r="CE129" i="17"/>
  <c r="CF129" i="17"/>
  <c r="CG129" i="17"/>
  <c r="CH129" i="17"/>
  <c r="CI129" i="17"/>
  <c r="CK129" i="17"/>
  <c r="A130" i="17"/>
  <c r="B130" i="17"/>
  <c r="C130" i="17"/>
  <c r="D130" i="17"/>
  <c r="E130" i="17"/>
  <c r="F130" i="17"/>
  <c r="G130" i="17"/>
  <c r="H130" i="17"/>
  <c r="I130" i="17"/>
  <c r="J130" i="17"/>
  <c r="L130" i="17"/>
  <c r="M130" i="17"/>
  <c r="N130" i="17"/>
  <c r="P130" i="17"/>
  <c r="S130" i="17" s="1"/>
  <c r="T130" i="17" s="1"/>
  <c r="Q130" i="17"/>
  <c r="R130" i="17"/>
  <c r="V130" i="17"/>
  <c r="W130" i="17"/>
  <c r="X130" i="17"/>
  <c r="Y130" i="17"/>
  <c r="AA130" i="17"/>
  <c r="AB130" i="17"/>
  <c r="AC130" i="17" s="1"/>
  <c r="AD130" i="17"/>
  <c r="AE130" i="17" s="1"/>
  <c r="AG130" i="17"/>
  <c r="AI130" i="17" s="1"/>
  <c r="AH130" i="17"/>
  <c r="AJ130" i="17"/>
  <c r="AK130" i="17" s="1"/>
  <c r="AN130" i="17"/>
  <c r="AO130" i="17" s="1"/>
  <c r="AP130" i="17"/>
  <c r="AQ130" i="17" s="1"/>
  <c r="AR130" i="17"/>
  <c r="AS130" i="17" s="1"/>
  <c r="AT130" i="17"/>
  <c r="AX130" i="17"/>
  <c r="AY130" i="17"/>
  <c r="AZ130" i="17"/>
  <c r="BA130" i="17"/>
  <c r="BC130" i="17" s="1"/>
  <c r="BD130" i="17" s="1"/>
  <c r="BB130" i="17"/>
  <c r="BE130" i="17" s="1"/>
  <c r="BF130" i="17"/>
  <c r="BG130" i="17"/>
  <c r="BH130" i="17"/>
  <c r="BI130" i="17"/>
  <c r="AU130" i="17" s="1"/>
  <c r="BK130" i="17"/>
  <c r="BL130" i="17"/>
  <c r="BM130" i="17"/>
  <c r="BN130" i="17"/>
  <c r="BO130" i="17"/>
  <c r="BR130" i="17"/>
  <c r="BQ130" i="17" s="1"/>
  <c r="BT130" i="17"/>
  <c r="BS130" i="17" s="1"/>
  <c r="BU130" i="17"/>
  <c r="BW130" i="17"/>
  <c r="CA130" i="17" s="1"/>
  <c r="BX130" i="17"/>
  <c r="BY130" i="17"/>
  <c r="BZ130" i="17"/>
  <c r="CB130" i="17"/>
  <c r="CC130" i="17"/>
  <c r="CD130" i="17"/>
  <c r="CE130" i="17"/>
  <c r="CF130" i="17"/>
  <c r="CG130" i="17"/>
  <c r="CH130" i="17"/>
  <c r="CI130" i="17" s="1"/>
  <c r="CK130" i="17"/>
  <c r="A131" i="17"/>
  <c r="B131" i="17"/>
  <c r="C131" i="17"/>
  <c r="D131" i="17"/>
  <c r="E131" i="17"/>
  <c r="F131" i="17"/>
  <c r="G131" i="17"/>
  <c r="H131" i="17"/>
  <c r="I131" i="17"/>
  <c r="J131" i="17"/>
  <c r="L131" i="17"/>
  <c r="M131" i="17"/>
  <c r="N131" i="17" s="1"/>
  <c r="P131" i="17"/>
  <c r="Q131" i="17"/>
  <c r="R131" i="17" s="1"/>
  <c r="AK131" i="17" s="1"/>
  <c r="W131" i="17"/>
  <c r="X131" i="17" s="1"/>
  <c r="Y131" i="17"/>
  <c r="Z131" i="17" s="1"/>
  <c r="AB131" i="17"/>
  <c r="AC131" i="17"/>
  <c r="AD131" i="17"/>
  <c r="AE131" i="17"/>
  <c r="AG131" i="17"/>
  <c r="AH131" i="17" s="1"/>
  <c r="AI131" i="17"/>
  <c r="AJ131" i="17"/>
  <c r="AM131" i="17"/>
  <c r="AN131" i="17"/>
  <c r="AO131" i="17"/>
  <c r="AP131" i="17"/>
  <c r="AF131" i="17" s="1"/>
  <c r="AQ131" i="17"/>
  <c r="AR131" i="17"/>
  <c r="AS131" i="17"/>
  <c r="AT131" i="17"/>
  <c r="AU131" i="17"/>
  <c r="AW131" i="17"/>
  <c r="AX131" i="17"/>
  <c r="AY131" i="17"/>
  <c r="AZ131" i="17"/>
  <c r="BA131" i="17"/>
  <c r="BB131" i="17" s="1"/>
  <c r="BE131" i="17" s="1"/>
  <c r="BG131" i="17"/>
  <c r="BH131" i="17" s="1"/>
  <c r="BI131" i="17"/>
  <c r="BJ131" i="17" s="1"/>
  <c r="BK131" i="17"/>
  <c r="BL131" i="17"/>
  <c r="BM131" i="17"/>
  <c r="BN131" i="17" s="1"/>
  <c r="AV131" i="17" s="1"/>
  <c r="BO131" i="17"/>
  <c r="BP131" i="17" s="1"/>
  <c r="BQ131" i="17"/>
  <c r="BR131" i="17"/>
  <c r="BS131" i="17"/>
  <c r="BT131" i="17"/>
  <c r="BU131" i="17"/>
  <c r="BV131" i="17" s="1"/>
  <c r="BW131" i="17"/>
  <c r="BX131" i="17" s="1"/>
  <c r="BY131" i="17"/>
  <c r="BZ131" i="17" s="1"/>
  <c r="CA131" i="17"/>
  <c r="CB131" i="17"/>
  <c r="CC131" i="17"/>
  <c r="CD131" i="17" s="1"/>
  <c r="CE131" i="17"/>
  <c r="CF131" i="17"/>
  <c r="CG131" i="17"/>
  <c r="CI131" i="17" s="1"/>
  <c r="CH131" i="17"/>
  <c r="CK131" i="17"/>
  <c r="A132" i="17"/>
  <c r="B132" i="17"/>
  <c r="C132" i="17"/>
  <c r="D132" i="17"/>
  <c r="E132" i="17"/>
  <c r="F132" i="17"/>
  <c r="G132" i="17"/>
  <c r="H132" i="17"/>
  <c r="I132" i="17"/>
  <c r="J132" i="17"/>
  <c r="L132" i="17"/>
  <c r="M132" i="17"/>
  <c r="N132" i="17"/>
  <c r="P132" i="17"/>
  <c r="S132" i="17" s="1"/>
  <c r="T132" i="17" s="1"/>
  <c r="Q132" i="17"/>
  <c r="R132" i="17"/>
  <c r="V132" i="17"/>
  <c r="W132" i="17"/>
  <c r="AA132" i="17" s="1"/>
  <c r="X132" i="17"/>
  <c r="Y132" i="17"/>
  <c r="AB132" i="17"/>
  <c r="AC132" i="17" s="1"/>
  <c r="AD132" i="17"/>
  <c r="AE132" i="17" s="1"/>
  <c r="AG132" i="17"/>
  <c r="AW132" i="17" s="1"/>
  <c r="AJ132" i="17"/>
  <c r="AK132" i="17" s="1"/>
  <c r="AN132" i="17"/>
  <c r="AM132" i="17" s="1"/>
  <c r="AP132" i="17"/>
  <c r="AQ132" i="17" s="1"/>
  <c r="AR132" i="17"/>
  <c r="AS132" i="17" s="1"/>
  <c r="AX132" i="17"/>
  <c r="AY132" i="17"/>
  <c r="AZ132" i="17"/>
  <c r="BA132" i="17"/>
  <c r="BC132" i="17" s="1"/>
  <c r="BD132" i="17" s="1"/>
  <c r="BB132" i="17"/>
  <c r="BF132" i="17"/>
  <c r="BG132" i="17"/>
  <c r="BH132" i="17"/>
  <c r="BI132" i="17"/>
  <c r="BK132" i="17"/>
  <c r="BL132" i="17"/>
  <c r="BM132" i="17"/>
  <c r="BN132" i="17"/>
  <c r="AV132" i="17" s="1"/>
  <c r="BO132" i="17"/>
  <c r="BR132" i="17"/>
  <c r="BQ132" i="17" s="1"/>
  <c r="BT132" i="17"/>
  <c r="BS132" i="17" s="1"/>
  <c r="BU132" i="17"/>
  <c r="BW132" i="17"/>
  <c r="CA132" i="17" s="1"/>
  <c r="BY132" i="17"/>
  <c r="BZ132" i="17"/>
  <c r="CB132" i="17"/>
  <c r="CD132" i="17" s="1"/>
  <c r="CC132" i="17"/>
  <c r="CE132" i="17"/>
  <c r="CF132" i="17"/>
  <c r="CG132" i="17"/>
  <c r="CH132" i="17"/>
  <c r="CI132" i="17" s="1"/>
  <c r="CK132" i="17"/>
  <c r="A133" i="17"/>
  <c r="B133" i="17"/>
  <c r="C133" i="17"/>
  <c r="D133" i="17"/>
  <c r="E133" i="17"/>
  <c r="F133" i="17"/>
  <c r="G133" i="17"/>
  <c r="H133" i="17"/>
  <c r="I133" i="17"/>
  <c r="J133" i="17"/>
  <c r="L133" i="17"/>
  <c r="M133" i="17"/>
  <c r="P133" i="17"/>
  <c r="Q133" i="17"/>
  <c r="T133" i="17" s="1"/>
  <c r="S133" i="17"/>
  <c r="U133" i="17"/>
  <c r="W133" i="17"/>
  <c r="X133" i="17" s="1"/>
  <c r="Y133" i="17"/>
  <c r="AB133" i="17"/>
  <c r="AC133" i="17"/>
  <c r="AD133" i="17"/>
  <c r="AF133" i="17" s="1"/>
  <c r="AE133" i="17"/>
  <c r="AG133" i="17"/>
  <c r="AH133" i="17" s="1"/>
  <c r="AJ133" i="17"/>
  <c r="AL133" i="17" s="1"/>
  <c r="AM133" i="17"/>
  <c r="AN133" i="17"/>
  <c r="AO133" i="17"/>
  <c r="AP133" i="17"/>
  <c r="AT133" i="17" s="1"/>
  <c r="AQ133" i="17"/>
  <c r="AR133" i="17"/>
  <c r="AS133" i="17"/>
  <c r="AW133" i="17"/>
  <c r="AX133" i="17"/>
  <c r="AY133" i="17"/>
  <c r="AZ133" i="17"/>
  <c r="BA133" i="17"/>
  <c r="BF133" i="17" s="1"/>
  <c r="BC133" i="17"/>
  <c r="BD133" i="17" s="1"/>
  <c r="BG133" i="17"/>
  <c r="BH133" i="17" s="1"/>
  <c r="BI133" i="17"/>
  <c r="BK133" i="17"/>
  <c r="BL133" i="17"/>
  <c r="BM133" i="17"/>
  <c r="BN133" i="17" s="1"/>
  <c r="AV133" i="17" s="1"/>
  <c r="BO133" i="17"/>
  <c r="BP133" i="17" s="1"/>
  <c r="BQ133" i="17"/>
  <c r="BR133" i="17"/>
  <c r="BS133" i="17"/>
  <c r="BT133" i="17"/>
  <c r="BU133" i="17"/>
  <c r="BV133" i="17" s="1"/>
  <c r="BW133" i="17"/>
  <c r="BX133" i="17" s="1"/>
  <c r="BY133" i="17"/>
  <c r="BZ133" i="17" s="1"/>
  <c r="CB133" i="17"/>
  <c r="CC133" i="17"/>
  <c r="CD133" i="17" s="1"/>
  <c r="CE133" i="17"/>
  <c r="CF133" i="17"/>
  <c r="CG133" i="17"/>
  <c r="CI133" i="17" s="1"/>
  <c r="CH133" i="17"/>
  <c r="CK133" i="17"/>
  <c r="A134" i="17"/>
  <c r="B134" i="17"/>
  <c r="C134" i="17"/>
  <c r="D134" i="17"/>
  <c r="E134" i="17"/>
  <c r="F134" i="17"/>
  <c r="G134" i="17"/>
  <c r="H134" i="17"/>
  <c r="I134" i="17"/>
  <c r="J134" i="17"/>
  <c r="L134" i="17"/>
  <c r="M134" i="17"/>
  <c r="O134" i="17" s="1"/>
  <c r="N134" i="17"/>
  <c r="P134" i="17"/>
  <c r="U134" i="17" s="1"/>
  <c r="Q134" i="17"/>
  <c r="R134" i="17"/>
  <c r="V134" i="17"/>
  <c r="W134" i="17"/>
  <c r="X134" i="17"/>
  <c r="Y134" i="17"/>
  <c r="AA134" i="17" s="1"/>
  <c r="Z134" i="17"/>
  <c r="AB134" i="17"/>
  <c r="AC134" i="17" s="1"/>
  <c r="AD134" i="17"/>
  <c r="AE134" i="17" s="1"/>
  <c r="AF134" i="17"/>
  <c r="AG134" i="17"/>
  <c r="AH134" i="17"/>
  <c r="AJ134" i="17"/>
  <c r="AK134" i="17" s="1"/>
  <c r="AL134" i="17"/>
  <c r="AN134" i="17"/>
  <c r="AM134" i="17" s="1"/>
  <c r="AP134" i="17"/>
  <c r="AI134" i="17" s="1"/>
  <c r="AR134" i="17"/>
  <c r="AX134" i="17"/>
  <c r="AY134" i="17"/>
  <c r="AZ134" i="17"/>
  <c r="BA134" i="17"/>
  <c r="BB134" i="17"/>
  <c r="BF134" i="17"/>
  <c r="BG134" i="17"/>
  <c r="BH134" i="17"/>
  <c r="BI134" i="17"/>
  <c r="BJ134" i="17"/>
  <c r="BK134" i="17"/>
  <c r="BL134" i="17"/>
  <c r="BM134" i="17"/>
  <c r="BN134" i="17"/>
  <c r="BO134" i="17"/>
  <c r="BP134" i="17"/>
  <c r="BR134" i="17"/>
  <c r="BQ134" i="17" s="1"/>
  <c r="BT134" i="17"/>
  <c r="BS134" i="17" s="1"/>
  <c r="BU134" i="17"/>
  <c r="BV134" i="17"/>
  <c r="BW134" i="17"/>
  <c r="BX134" i="17"/>
  <c r="BY134" i="17"/>
  <c r="BZ134" i="17"/>
  <c r="CA134" i="17"/>
  <c r="CB134" i="17"/>
  <c r="CD134" i="17" s="1"/>
  <c r="CC134" i="17"/>
  <c r="CE134" i="17"/>
  <c r="CF134" i="17"/>
  <c r="CG134" i="17"/>
  <c r="CH134" i="17"/>
  <c r="CI134" i="17" s="1"/>
  <c r="CK134" i="17"/>
  <c r="A135" i="17"/>
  <c r="B135" i="17"/>
  <c r="C135" i="17"/>
  <c r="D135" i="17"/>
  <c r="E135" i="17"/>
  <c r="F135" i="17"/>
  <c r="G135" i="17"/>
  <c r="H135" i="17"/>
  <c r="I135" i="17"/>
  <c r="J135" i="17"/>
  <c r="L135" i="17"/>
  <c r="M135" i="17"/>
  <c r="N135" i="17" s="1"/>
  <c r="O135" i="17"/>
  <c r="P135" i="17"/>
  <c r="Q135" i="17"/>
  <c r="V135" i="17" s="1"/>
  <c r="U135" i="17"/>
  <c r="W135" i="17"/>
  <c r="X135" i="17" s="1"/>
  <c r="Y135" i="17"/>
  <c r="Z135" i="17" s="1"/>
  <c r="AA135" i="17"/>
  <c r="AB135" i="17"/>
  <c r="AC135" i="17"/>
  <c r="AD135" i="17"/>
  <c r="AE135" i="17"/>
  <c r="AF135" i="17"/>
  <c r="AG135" i="17"/>
  <c r="AJ135" i="17"/>
  <c r="AL135" i="17"/>
  <c r="AM135" i="17"/>
  <c r="AN135" i="17"/>
  <c r="AO135" i="17"/>
  <c r="AP135" i="17"/>
  <c r="AT135" i="17" s="1"/>
  <c r="AQ135" i="17"/>
  <c r="AR135" i="17"/>
  <c r="AS135" i="17"/>
  <c r="AU135" i="17"/>
  <c r="AX135" i="17"/>
  <c r="AY135" i="17"/>
  <c r="AZ135" i="17"/>
  <c r="BA135" i="17"/>
  <c r="BF135" i="17" s="1"/>
  <c r="BG135" i="17"/>
  <c r="BH135" i="17" s="1"/>
  <c r="BI135" i="17"/>
  <c r="BJ135" i="17" s="1"/>
  <c r="BK135" i="17"/>
  <c r="BL135" i="17"/>
  <c r="BM135" i="17"/>
  <c r="BN135" i="17" s="1"/>
  <c r="BO135" i="17"/>
  <c r="BP135" i="17" s="1"/>
  <c r="BQ135" i="17"/>
  <c r="BR135" i="17"/>
  <c r="BS135" i="17"/>
  <c r="BT135" i="17"/>
  <c r="BU135" i="17"/>
  <c r="BV135" i="17" s="1"/>
  <c r="BW135" i="17"/>
  <c r="BY135" i="17"/>
  <c r="BZ135" i="17" s="1"/>
  <c r="CB135" i="17"/>
  <c r="CC135" i="17"/>
  <c r="CE135" i="17"/>
  <c r="CF135" i="17"/>
  <c r="CG135" i="17"/>
  <c r="CH135" i="17"/>
  <c r="CI135" i="17"/>
  <c r="CK135" i="17"/>
  <c r="A136" i="17"/>
  <c r="B136" i="17"/>
  <c r="C136" i="17"/>
  <c r="D136" i="17"/>
  <c r="E136" i="17"/>
  <c r="F136" i="17"/>
  <c r="G136" i="17"/>
  <c r="H136" i="17"/>
  <c r="I136" i="17"/>
  <c r="J136" i="17"/>
  <c r="L136" i="17"/>
  <c r="M136" i="17"/>
  <c r="N136" i="17"/>
  <c r="P136" i="17"/>
  <c r="Q136" i="17"/>
  <c r="W136" i="17"/>
  <c r="X136" i="17"/>
  <c r="Y136" i="17"/>
  <c r="AA136" i="17"/>
  <c r="AB136" i="17"/>
  <c r="AD136" i="17"/>
  <c r="AG136" i="17"/>
  <c r="AI136" i="17" s="1"/>
  <c r="AH136" i="17"/>
  <c r="AJ136" i="17"/>
  <c r="AN136" i="17"/>
  <c r="AP136" i="17"/>
  <c r="AR136" i="17"/>
  <c r="AS136" i="17" s="1"/>
  <c r="AT136" i="17"/>
  <c r="AX136" i="17"/>
  <c r="AY136" i="17"/>
  <c r="AZ136" i="17"/>
  <c r="BA136" i="17"/>
  <c r="BB136" i="17"/>
  <c r="BF136" i="17"/>
  <c r="BG136" i="17"/>
  <c r="BH136" i="17"/>
  <c r="BI136" i="17"/>
  <c r="AU136" i="17" s="1"/>
  <c r="BK136" i="17"/>
  <c r="BL136" i="17"/>
  <c r="BM136" i="17"/>
  <c r="BN136" i="17"/>
  <c r="AV136" i="17" s="1"/>
  <c r="BO136" i="17"/>
  <c r="BR136" i="17"/>
  <c r="BT136" i="17"/>
  <c r="BS136" i="17" s="1"/>
  <c r="BU136" i="17"/>
  <c r="BW136" i="17"/>
  <c r="CA136" i="17" s="1"/>
  <c r="BX136" i="17"/>
  <c r="BY136" i="17"/>
  <c r="CB136" i="17"/>
  <c r="CC136" i="17"/>
  <c r="CD136" i="17"/>
  <c r="CE136" i="17"/>
  <c r="CF136" i="17"/>
  <c r="CG136" i="17"/>
  <c r="CH136" i="17"/>
  <c r="CI136" i="17" s="1"/>
  <c r="CK136" i="17"/>
  <c r="A137" i="17"/>
  <c r="B137" i="17"/>
  <c r="C137" i="17"/>
  <c r="D137" i="17"/>
  <c r="E137" i="17"/>
  <c r="F137" i="17"/>
  <c r="G137" i="17"/>
  <c r="H137" i="17"/>
  <c r="I137" i="17"/>
  <c r="J137" i="17"/>
  <c r="L137" i="17"/>
  <c r="M137" i="17"/>
  <c r="P137" i="17"/>
  <c r="Q137" i="17"/>
  <c r="S137" i="17"/>
  <c r="W137" i="17"/>
  <c r="X137" i="17" s="1"/>
  <c r="Y137" i="17"/>
  <c r="AB137" i="17"/>
  <c r="AC137" i="17"/>
  <c r="AD137" i="17"/>
  <c r="AE137" i="17"/>
  <c r="AF137" i="17"/>
  <c r="AG137" i="17"/>
  <c r="AH137" i="17" s="1"/>
  <c r="AI137" i="17"/>
  <c r="AJ137" i="17"/>
  <c r="AL137" i="17"/>
  <c r="AM137" i="17"/>
  <c r="AN137" i="17"/>
  <c r="AO137" i="17"/>
  <c r="AP137" i="17"/>
  <c r="AQ137" i="17"/>
  <c r="AR137" i="17"/>
  <c r="AS137" i="17"/>
  <c r="AT137" i="17"/>
  <c r="AU137" i="17"/>
  <c r="AW137" i="17"/>
  <c r="AX137" i="17"/>
  <c r="AY137" i="17"/>
  <c r="AZ137" i="17"/>
  <c r="BA137" i="17"/>
  <c r="BC137" i="17"/>
  <c r="BD137" i="17" s="1"/>
  <c r="BG137" i="17"/>
  <c r="BH137" i="17" s="1"/>
  <c r="BI137" i="17"/>
  <c r="BJ137" i="17" s="1"/>
  <c r="BK137" i="17"/>
  <c r="BL137" i="17"/>
  <c r="BM137" i="17"/>
  <c r="BN137" i="17" s="1"/>
  <c r="AV137" i="17" s="1"/>
  <c r="BO137" i="17"/>
  <c r="BP137" i="17" s="1"/>
  <c r="BQ137" i="17"/>
  <c r="BR137" i="17"/>
  <c r="BS137" i="17"/>
  <c r="BT137" i="17"/>
  <c r="BU137" i="17"/>
  <c r="BV137" i="17" s="1"/>
  <c r="BW137" i="17"/>
  <c r="BX137" i="17" s="1"/>
  <c r="BY137" i="17"/>
  <c r="BZ137" i="17" s="1"/>
  <c r="CB137" i="17"/>
  <c r="CC137" i="17"/>
  <c r="CD137" i="17" s="1"/>
  <c r="CE137" i="17"/>
  <c r="CF137" i="17"/>
  <c r="CG137" i="17"/>
  <c r="CI137" i="17" s="1"/>
  <c r="CH137" i="17"/>
  <c r="CK137" i="17"/>
  <c r="A138" i="17"/>
  <c r="B138" i="17"/>
  <c r="C138" i="17"/>
  <c r="D138" i="17"/>
  <c r="E138" i="17"/>
  <c r="F138" i="17"/>
  <c r="G138" i="17"/>
  <c r="H138" i="17"/>
  <c r="I138" i="17"/>
  <c r="J138" i="17"/>
  <c r="L138" i="17"/>
  <c r="M138" i="17"/>
  <c r="N138" i="17"/>
  <c r="P138" i="17"/>
  <c r="S138" i="17" s="1"/>
  <c r="T138" i="17" s="1"/>
  <c r="Q138" i="17"/>
  <c r="R138" i="17"/>
  <c r="V138" i="17"/>
  <c r="W138" i="17"/>
  <c r="AA138" i="17" s="1"/>
  <c r="X138" i="17"/>
  <c r="Y138" i="17"/>
  <c r="Z138" i="17"/>
  <c r="AB138" i="17"/>
  <c r="AC138" i="17" s="1"/>
  <c r="AD138" i="17"/>
  <c r="AE138" i="17" s="1"/>
  <c r="AF138" i="17"/>
  <c r="AG138" i="17"/>
  <c r="AJ138" i="17"/>
  <c r="AL138" i="17"/>
  <c r="AN138" i="17"/>
  <c r="AM138" i="17" s="1"/>
  <c r="AP138" i="17"/>
  <c r="AR138" i="17"/>
  <c r="AX138" i="17"/>
  <c r="AY138" i="17"/>
  <c r="AZ138" i="17"/>
  <c r="BA138" i="17"/>
  <c r="BC138" i="17" s="1"/>
  <c r="BB138" i="17"/>
  <c r="BD138" i="17"/>
  <c r="BF138" i="17"/>
  <c r="BG138" i="17"/>
  <c r="BH138" i="17"/>
  <c r="BI138" i="17"/>
  <c r="BJ138" i="17"/>
  <c r="BK138" i="17"/>
  <c r="BL138" i="17"/>
  <c r="BM138" i="17"/>
  <c r="BN138" i="17"/>
  <c r="BO138" i="17"/>
  <c r="BP138" i="17"/>
  <c r="BR138" i="17"/>
  <c r="BQ138" i="17" s="1"/>
  <c r="BT138" i="17"/>
  <c r="BS138" i="17" s="1"/>
  <c r="BU138" i="17"/>
  <c r="BV138" i="17"/>
  <c r="BW138" i="17"/>
  <c r="CA138" i="17" s="1"/>
  <c r="BY138" i="17"/>
  <c r="BZ138" i="17"/>
  <c r="CB138" i="17"/>
  <c r="CD138" i="17" s="1"/>
  <c r="CC138" i="17"/>
  <c r="CE138" i="17"/>
  <c r="CF138" i="17"/>
  <c r="CG138" i="17"/>
  <c r="CH138" i="17"/>
  <c r="CI138" i="17" s="1"/>
  <c r="CK138" i="17"/>
  <c r="A139" i="17"/>
  <c r="B139" i="17"/>
  <c r="C139" i="17"/>
  <c r="D139" i="17"/>
  <c r="E139" i="17"/>
  <c r="F139" i="17"/>
  <c r="G139" i="17"/>
  <c r="H139" i="17"/>
  <c r="I139" i="17"/>
  <c r="J139" i="17"/>
  <c r="L139" i="17"/>
  <c r="M139" i="17"/>
  <c r="N139" i="17" s="1"/>
  <c r="O139" i="17"/>
  <c r="P139" i="17"/>
  <c r="Q139" i="17"/>
  <c r="S139" i="17"/>
  <c r="U139" i="17"/>
  <c r="W139" i="17"/>
  <c r="X139" i="17" s="1"/>
  <c r="Y139" i="17"/>
  <c r="Z139" i="17" s="1"/>
  <c r="AB139" i="17"/>
  <c r="AC139" i="17"/>
  <c r="AD139" i="17"/>
  <c r="AF139" i="17" s="1"/>
  <c r="AE139" i="17"/>
  <c r="AG139" i="17"/>
  <c r="AJ139" i="17"/>
  <c r="AL139" i="17" s="1"/>
  <c r="AM139" i="17"/>
  <c r="AN139" i="17"/>
  <c r="AO139" i="17"/>
  <c r="AP139" i="17"/>
  <c r="AT139" i="17" s="1"/>
  <c r="AQ139" i="17"/>
  <c r="AR139" i="17"/>
  <c r="AS139" i="17"/>
  <c r="AX139" i="17"/>
  <c r="AY139" i="17"/>
  <c r="AZ139" i="17"/>
  <c r="BA139" i="17"/>
  <c r="BF139" i="17" s="1"/>
  <c r="BG139" i="17"/>
  <c r="BH139" i="17" s="1"/>
  <c r="BI139" i="17"/>
  <c r="BK139" i="17"/>
  <c r="BL139" i="17"/>
  <c r="BM139" i="17"/>
  <c r="BN139" i="17" s="1"/>
  <c r="AV139" i="17" s="1"/>
  <c r="BO139" i="17"/>
  <c r="BP139" i="17" s="1"/>
  <c r="BQ139" i="17"/>
  <c r="BR139" i="17"/>
  <c r="BS139" i="17"/>
  <c r="BT139" i="17"/>
  <c r="BU139" i="17"/>
  <c r="BV139" i="17" s="1"/>
  <c r="BW139" i="17"/>
  <c r="BX139" i="17" s="1"/>
  <c r="BY139" i="17"/>
  <c r="BZ139" i="17" s="1"/>
  <c r="CA139" i="17"/>
  <c r="CB139" i="17"/>
  <c r="CC139" i="17"/>
  <c r="CD139" i="17" s="1"/>
  <c r="CE139" i="17"/>
  <c r="CF139" i="17"/>
  <c r="CG139" i="17"/>
  <c r="CI139" i="17" s="1"/>
  <c r="CH139" i="17"/>
  <c r="CK139" i="17"/>
  <c r="A140" i="17"/>
  <c r="B140" i="17"/>
  <c r="C140" i="17"/>
  <c r="D140" i="17"/>
  <c r="E140" i="17"/>
  <c r="F140" i="17"/>
  <c r="G140" i="17"/>
  <c r="H140" i="17"/>
  <c r="I140" i="17"/>
  <c r="J140" i="17"/>
  <c r="L140" i="17"/>
  <c r="M140" i="17"/>
  <c r="O140" i="17" s="1"/>
  <c r="N140" i="17"/>
  <c r="P140" i="17"/>
  <c r="Q140" i="17"/>
  <c r="R140" i="17"/>
  <c r="W140" i="17"/>
  <c r="X140" i="17"/>
  <c r="Y140" i="17"/>
  <c r="AA140" i="17" s="1"/>
  <c r="Z140" i="17"/>
  <c r="AB140" i="17"/>
  <c r="AC140" i="17" s="1"/>
  <c r="AD140" i="17"/>
  <c r="AE140" i="17" s="1"/>
  <c r="AG140" i="17"/>
  <c r="AH140" i="17"/>
  <c r="AJ140" i="17"/>
  <c r="AN140" i="17"/>
  <c r="AP140" i="17"/>
  <c r="AT140" i="17" s="1"/>
  <c r="AR140" i="17"/>
  <c r="AS140" i="17" s="1"/>
  <c r="AV140" i="17"/>
  <c r="AX140" i="17"/>
  <c r="AY140" i="17"/>
  <c r="AZ140" i="17"/>
  <c r="BA140" i="17"/>
  <c r="BB140" i="17"/>
  <c r="BF140" i="17"/>
  <c r="BG140" i="17"/>
  <c r="BH140" i="17"/>
  <c r="BI140" i="17"/>
  <c r="AU140" i="17" s="1"/>
  <c r="BJ140" i="17"/>
  <c r="BK140" i="17"/>
  <c r="BL140" i="17"/>
  <c r="BM140" i="17"/>
  <c r="BN140" i="17"/>
  <c r="BO140" i="17"/>
  <c r="BP140" i="17"/>
  <c r="BR140" i="17"/>
  <c r="BQ140" i="17" s="1"/>
  <c r="BT140" i="17"/>
  <c r="BS140" i="17" s="1"/>
  <c r="BU140" i="17"/>
  <c r="BV140" i="17"/>
  <c r="BW140" i="17"/>
  <c r="BX140" i="17"/>
  <c r="BY140" i="17"/>
  <c r="BZ140" i="17"/>
  <c r="CA140" i="17"/>
  <c r="CB140" i="17"/>
  <c r="CD140" i="17" s="1"/>
  <c r="CC140" i="17"/>
  <c r="CE140" i="17"/>
  <c r="CF140" i="17"/>
  <c r="CG140" i="17"/>
  <c r="CH140" i="17"/>
  <c r="CI140" i="17" s="1"/>
  <c r="CK140" i="17"/>
  <c r="A141" i="17"/>
  <c r="B141" i="17"/>
  <c r="C141" i="17"/>
  <c r="D141" i="17"/>
  <c r="E141" i="17"/>
  <c r="F141" i="17"/>
  <c r="G141" i="17"/>
  <c r="H141" i="17"/>
  <c r="I141" i="17"/>
  <c r="J141" i="17"/>
  <c r="L141" i="17"/>
  <c r="M141" i="17"/>
  <c r="N141" i="17" s="1"/>
  <c r="P141" i="17"/>
  <c r="Q141" i="17"/>
  <c r="S141" i="17" s="1"/>
  <c r="W141" i="17"/>
  <c r="X141" i="17" s="1"/>
  <c r="Y141" i="17"/>
  <c r="Z141" i="17" s="1"/>
  <c r="AB141" i="17"/>
  <c r="AC141" i="17"/>
  <c r="AD141" i="17"/>
  <c r="AE141" i="17"/>
  <c r="AF141" i="17"/>
  <c r="AG141" i="17"/>
  <c r="AH141" i="17" s="1"/>
  <c r="AI141" i="17"/>
  <c r="AJ141" i="17"/>
  <c r="AL141" i="17"/>
  <c r="AM141" i="17"/>
  <c r="AN141" i="17"/>
  <c r="AO141" i="17"/>
  <c r="AP141" i="17"/>
  <c r="AT141" i="17" s="1"/>
  <c r="AQ141" i="17"/>
  <c r="AR141" i="17"/>
  <c r="AS141" i="17"/>
  <c r="AW141" i="17"/>
  <c r="AX141" i="17"/>
  <c r="AY141" i="17"/>
  <c r="AZ141" i="17"/>
  <c r="BA141" i="17"/>
  <c r="BG141" i="17"/>
  <c r="BH141" i="17" s="1"/>
  <c r="BI141" i="17"/>
  <c r="BJ141" i="17" s="1"/>
  <c r="BK141" i="17"/>
  <c r="BL141" i="17"/>
  <c r="BM141" i="17"/>
  <c r="BN141" i="17" s="1"/>
  <c r="AV141" i="17" s="1"/>
  <c r="BO141" i="17"/>
  <c r="BP141" i="17" s="1"/>
  <c r="BQ141" i="17"/>
  <c r="BR141" i="17"/>
  <c r="BS141" i="17"/>
  <c r="BT141" i="17"/>
  <c r="BU141" i="17"/>
  <c r="BV141" i="17" s="1"/>
  <c r="BW141" i="17"/>
  <c r="BX141" i="17" s="1"/>
  <c r="BY141" i="17"/>
  <c r="BZ141" i="17" s="1"/>
  <c r="CB141" i="17"/>
  <c r="CD141" i="17" s="1"/>
  <c r="CC141" i="17"/>
  <c r="CE141" i="17"/>
  <c r="CF141" i="17"/>
  <c r="CG141" i="17"/>
  <c r="CH141" i="17"/>
  <c r="CI141" i="17"/>
  <c r="CK141" i="17"/>
  <c r="A142" i="17"/>
  <c r="B142" i="17"/>
  <c r="C142" i="17"/>
  <c r="D142" i="17"/>
  <c r="E142" i="17"/>
  <c r="F142" i="17"/>
  <c r="G142" i="17"/>
  <c r="H142" i="17"/>
  <c r="I142" i="17"/>
  <c r="J142" i="17"/>
  <c r="L142" i="17"/>
  <c r="O142" i="17" s="1"/>
  <c r="M142" i="17"/>
  <c r="N142" i="17"/>
  <c r="P142" i="17"/>
  <c r="Q142" i="17"/>
  <c r="W142" i="17"/>
  <c r="Y142" i="17"/>
  <c r="AA142" i="17"/>
  <c r="AB142" i="17"/>
  <c r="AD142" i="17"/>
  <c r="AG142" i="17"/>
  <c r="AJ142" i="17"/>
  <c r="AN142" i="17"/>
  <c r="AP142" i="17"/>
  <c r="AT142" i="17" s="1"/>
  <c r="AR142" i="17"/>
  <c r="AX142" i="17"/>
  <c r="AY142" i="17"/>
  <c r="AZ142" i="17"/>
  <c r="BA142" i="17"/>
  <c r="BF142" i="17"/>
  <c r="BG142" i="17"/>
  <c r="BI142" i="17"/>
  <c r="AU142" i="17" s="1"/>
  <c r="BK142" i="17"/>
  <c r="BL142" i="17"/>
  <c r="BM142" i="17"/>
  <c r="BO142" i="17"/>
  <c r="BR142" i="17"/>
  <c r="BQ142" i="17" s="1"/>
  <c r="BT142" i="17"/>
  <c r="BU142" i="17"/>
  <c r="BW142" i="17"/>
  <c r="CA142" i="17" s="1"/>
  <c r="BY142" i="17"/>
  <c r="CB142" i="17"/>
  <c r="CC142" i="17"/>
  <c r="CD142" i="17"/>
  <c r="CE142" i="17"/>
  <c r="CF142" i="17"/>
  <c r="CG142" i="17"/>
  <c r="CH142" i="17"/>
  <c r="CI142" i="17" s="1"/>
  <c r="CK142" i="17"/>
  <c r="A143" i="17"/>
  <c r="B143" i="17"/>
  <c r="C143" i="17"/>
  <c r="D143" i="17"/>
  <c r="E143" i="17"/>
  <c r="F143" i="17"/>
  <c r="G143" i="17"/>
  <c r="H143" i="17"/>
  <c r="I143" i="17"/>
  <c r="J143" i="17"/>
  <c r="L143" i="17"/>
  <c r="M143" i="17"/>
  <c r="N143" i="17" s="1"/>
  <c r="O143" i="17"/>
  <c r="P143" i="17"/>
  <c r="Q143" i="17"/>
  <c r="S143" i="17"/>
  <c r="U143" i="17"/>
  <c r="V143" i="17"/>
  <c r="W143" i="17"/>
  <c r="X143" i="17" s="1"/>
  <c r="Y143" i="17"/>
  <c r="Z143" i="17" s="1"/>
  <c r="AB143" i="17"/>
  <c r="AC143" i="17" s="1"/>
  <c r="AD143" i="17"/>
  <c r="AE143" i="17"/>
  <c r="AF143" i="17"/>
  <c r="AG143" i="17"/>
  <c r="AH143" i="17"/>
  <c r="AI143" i="17"/>
  <c r="AJ143" i="17"/>
  <c r="AL143" i="17"/>
  <c r="AN143" i="17"/>
  <c r="AM143" i="17" s="1"/>
  <c r="AP143" i="17"/>
  <c r="AQ143" i="17"/>
  <c r="AR143" i="17"/>
  <c r="AS143" i="17"/>
  <c r="AT143" i="17"/>
  <c r="AU143" i="17"/>
  <c r="AW143" i="17"/>
  <c r="AX143" i="17"/>
  <c r="AY143" i="17"/>
  <c r="AZ143" i="17"/>
  <c r="BA143" i="17"/>
  <c r="BB143" i="17" s="1"/>
  <c r="BF143" i="17"/>
  <c r="BG143" i="17"/>
  <c r="BH143" i="17" s="1"/>
  <c r="BI143" i="17"/>
  <c r="BJ143" i="17" s="1"/>
  <c r="BK143" i="17"/>
  <c r="BL143" i="17"/>
  <c r="BM143" i="17"/>
  <c r="BN143" i="17" s="1"/>
  <c r="AV143" i="17" s="1"/>
  <c r="BO143" i="17"/>
  <c r="BP143" i="17" s="1"/>
  <c r="BQ143" i="17"/>
  <c r="BR143" i="17"/>
  <c r="BS143" i="17"/>
  <c r="BT143" i="17"/>
  <c r="BU143" i="17"/>
  <c r="BV143" i="17" s="1"/>
  <c r="BW143" i="17"/>
  <c r="BX143" i="17" s="1"/>
  <c r="BY143" i="17"/>
  <c r="BZ143" i="17" s="1"/>
  <c r="CB143" i="17"/>
  <c r="CC143" i="17"/>
  <c r="CD143" i="17"/>
  <c r="CE143" i="17"/>
  <c r="CF143" i="17"/>
  <c r="CG143" i="17"/>
  <c r="CI143" i="17" s="1"/>
  <c r="CH143" i="17"/>
  <c r="CK143" i="17"/>
  <c r="A144" i="17"/>
  <c r="B144" i="17"/>
  <c r="C144" i="17"/>
  <c r="D144" i="17"/>
  <c r="E144" i="17"/>
  <c r="F144" i="17"/>
  <c r="G144" i="17"/>
  <c r="H144" i="17"/>
  <c r="I144" i="17"/>
  <c r="J144" i="17"/>
  <c r="L144" i="17"/>
  <c r="O144" i="17" s="1"/>
  <c r="M144" i="17"/>
  <c r="N144" i="17"/>
  <c r="P144" i="17"/>
  <c r="Q144" i="17"/>
  <c r="R144" i="17"/>
  <c r="W144" i="17"/>
  <c r="AA144" i="17" s="1"/>
  <c r="Y144" i="17"/>
  <c r="Z144" i="17"/>
  <c r="AB144" i="17"/>
  <c r="AC144" i="17" s="1"/>
  <c r="AD144" i="17"/>
  <c r="AE144" i="17" s="1"/>
  <c r="AG144" i="17"/>
  <c r="AH144" i="17"/>
  <c r="AJ144" i="17"/>
  <c r="AN144" i="17"/>
  <c r="AM144" i="17" s="1"/>
  <c r="AO144" i="17"/>
  <c r="AP144" i="17"/>
  <c r="AQ144" i="17" s="1"/>
  <c r="AR144" i="17"/>
  <c r="AS144" i="17" s="1"/>
  <c r="AU144" i="17"/>
  <c r="AX144" i="17"/>
  <c r="AY144" i="17"/>
  <c r="AZ144" i="17"/>
  <c r="BA144" i="17"/>
  <c r="BC144" i="17" s="1"/>
  <c r="BB144" i="17"/>
  <c r="BE144" i="17" s="1"/>
  <c r="BD144" i="17"/>
  <c r="BF144" i="17"/>
  <c r="BG144" i="17"/>
  <c r="BH144" i="17" s="1"/>
  <c r="BI144" i="17"/>
  <c r="BJ144" i="17"/>
  <c r="BK144" i="17"/>
  <c r="BL144" i="17"/>
  <c r="BM144" i="17"/>
  <c r="BN144" i="17" s="1"/>
  <c r="AV144" i="17" s="1"/>
  <c r="BO144" i="17"/>
  <c r="BP144" i="17"/>
  <c r="BR144" i="17"/>
  <c r="BQ144" i="17" s="1"/>
  <c r="BT144" i="17"/>
  <c r="BS144" i="17" s="1"/>
  <c r="BU144" i="17"/>
  <c r="BW144" i="17"/>
  <c r="CA144" i="17" s="1"/>
  <c r="BX144" i="17"/>
  <c r="BY144" i="17"/>
  <c r="BZ144" i="17"/>
  <c r="CB144" i="17"/>
  <c r="CC144" i="17"/>
  <c r="CD144" i="17"/>
  <c r="CE144" i="17"/>
  <c r="CF144" i="17"/>
  <c r="CG144" i="17"/>
  <c r="CH144" i="17"/>
  <c r="CI144" i="17" s="1"/>
  <c r="CK144" i="17"/>
  <c r="A145" i="17"/>
  <c r="B145" i="17"/>
  <c r="C145" i="17"/>
  <c r="D145" i="17"/>
  <c r="E145" i="17"/>
  <c r="F145" i="17"/>
  <c r="G145" i="17"/>
  <c r="H145" i="17"/>
  <c r="I145" i="17"/>
  <c r="J145" i="17"/>
  <c r="L145" i="17"/>
  <c r="R145" i="17" s="1"/>
  <c r="M145" i="17"/>
  <c r="N145" i="17" s="1"/>
  <c r="P145" i="17"/>
  <c r="Q145" i="17"/>
  <c r="S145" i="17"/>
  <c r="U145" i="17"/>
  <c r="W145" i="17"/>
  <c r="AA145" i="17" s="1"/>
  <c r="X145" i="17"/>
  <c r="Y145" i="17"/>
  <c r="AB145" i="17"/>
  <c r="AD145" i="17"/>
  <c r="AE145" i="17"/>
  <c r="AG145" i="17"/>
  <c r="AJ145" i="17"/>
  <c r="AK145" i="17" s="1"/>
  <c r="AM145" i="17"/>
  <c r="AN145" i="17"/>
  <c r="AP145" i="17"/>
  <c r="AT145" i="17" s="1"/>
  <c r="AR145" i="17"/>
  <c r="AS145" i="17"/>
  <c r="AW145" i="17"/>
  <c r="AX145" i="17"/>
  <c r="AY145" i="17"/>
  <c r="AZ145" i="17"/>
  <c r="BA145" i="17"/>
  <c r="BF145" i="17"/>
  <c r="BG145" i="17"/>
  <c r="BI145" i="17"/>
  <c r="AU145" i="17" s="1"/>
  <c r="BK145" i="17"/>
  <c r="BL145" i="17"/>
  <c r="BM145" i="17"/>
  <c r="BO145" i="17"/>
  <c r="BP145" i="17" s="1"/>
  <c r="BR145" i="17"/>
  <c r="BQ145" i="17" s="1"/>
  <c r="BT145" i="17"/>
  <c r="BS145" i="17" s="1"/>
  <c r="BU145" i="17"/>
  <c r="BV145" i="17" s="1"/>
  <c r="BW145" i="17"/>
  <c r="BX145" i="17"/>
  <c r="BY145" i="17"/>
  <c r="CA145" i="17"/>
  <c r="CB145" i="17"/>
  <c r="CC145" i="17"/>
  <c r="CD145" i="17"/>
  <c r="CE145" i="17"/>
  <c r="CF145" i="17"/>
  <c r="CG145" i="17"/>
  <c r="CI145" i="17" s="1"/>
  <c r="CH145" i="17"/>
  <c r="CK145" i="17"/>
  <c r="A146" i="17"/>
  <c r="B146" i="17"/>
  <c r="C146" i="17"/>
  <c r="D146" i="17"/>
  <c r="E146" i="17"/>
  <c r="F146" i="17"/>
  <c r="G146" i="17"/>
  <c r="H146" i="17"/>
  <c r="I146" i="17"/>
  <c r="J146" i="17"/>
  <c r="L146" i="17"/>
  <c r="M146" i="17"/>
  <c r="N146" i="17"/>
  <c r="O146" i="17"/>
  <c r="P146" i="17"/>
  <c r="S146" i="17" s="1"/>
  <c r="Q146" i="17"/>
  <c r="R146" i="17" s="1"/>
  <c r="AK146" i="17" s="1"/>
  <c r="W146" i="17"/>
  <c r="X146" i="17" s="1"/>
  <c r="Y146" i="17"/>
  <c r="Z146" i="17"/>
  <c r="AB146" i="17"/>
  <c r="AC146" i="17"/>
  <c r="AD146" i="17"/>
  <c r="AE146" i="17"/>
  <c r="AF146" i="17"/>
  <c r="AG146" i="17"/>
  <c r="AW146" i="17" s="1"/>
  <c r="AH146" i="17"/>
  <c r="AI146" i="17"/>
  <c r="AJ146" i="17"/>
  <c r="AL146" i="17"/>
  <c r="AN146" i="17"/>
  <c r="AM146" i="17" s="1"/>
  <c r="AO146" i="17"/>
  <c r="AP146" i="17"/>
  <c r="AQ146" i="17"/>
  <c r="AR146" i="17"/>
  <c r="AS146" i="17" s="1"/>
  <c r="AU146" i="17"/>
  <c r="AX146" i="17"/>
  <c r="AY146" i="17"/>
  <c r="AZ146" i="17"/>
  <c r="BA146" i="17"/>
  <c r="BB146" i="17" s="1"/>
  <c r="BE146" i="17" s="1"/>
  <c r="BG146" i="17"/>
  <c r="BH146" i="17" s="1"/>
  <c r="BI146" i="17"/>
  <c r="BJ146" i="17"/>
  <c r="BK146" i="17"/>
  <c r="BL146" i="17"/>
  <c r="BM146" i="17"/>
  <c r="BN146" i="17" s="1"/>
  <c r="BO146" i="17"/>
  <c r="BP146" i="17"/>
  <c r="BR146" i="17"/>
  <c r="BQ146" i="17" s="1"/>
  <c r="BS146" i="17"/>
  <c r="BT146" i="17"/>
  <c r="BU146" i="17"/>
  <c r="BV146" i="17"/>
  <c r="BW146" i="17"/>
  <c r="CA146" i="17" s="1"/>
  <c r="BX146" i="17"/>
  <c r="BY146" i="17"/>
  <c r="BZ146" i="17" s="1"/>
  <c r="CB146" i="17"/>
  <c r="CD146" i="17" s="1"/>
  <c r="CC146" i="17"/>
  <c r="CE146" i="17"/>
  <c r="CF146" i="17"/>
  <c r="CG146" i="17"/>
  <c r="CH146" i="17"/>
  <c r="CI146" i="17" s="1"/>
  <c r="CK146" i="17"/>
  <c r="A147" i="17"/>
  <c r="B147" i="17"/>
  <c r="C147" i="17"/>
  <c r="D147" i="17"/>
  <c r="E147" i="17"/>
  <c r="F147" i="17"/>
  <c r="G147" i="17"/>
  <c r="H147" i="17"/>
  <c r="I147" i="17"/>
  <c r="J147" i="17"/>
  <c r="L147" i="17"/>
  <c r="M147" i="17"/>
  <c r="N147" i="17"/>
  <c r="P147" i="17"/>
  <c r="S147" i="17" s="1"/>
  <c r="Q147" i="17"/>
  <c r="R147" i="17"/>
  <c r="U147" i="17"/>
  <c r="W147" i="17"/>
  <c r="X147" i="17"/>
  <c r="Y147" i="17"/>
  <c r="AA147" i="17"/>
  <c r="AB147" i="17"/>
  <c r="AD147" i="17"/>
  <c r="AE147" i="17" s="1"/>
  <c r="AG147" i="17"/>
  <c r="AW147" i="17" s="1"/>
  <c r="AJ147" i="17"/>
  <c r="AK147" i="17" s="1"/>
  <c r="AN147" i="17"/>
  <c r="AP147" i="17"/>
  <c r="AQ147" i="17" s="1"/>
  <c r="AR147" i="17"/>
  <c r="AU147" i="17"/>
  <c r="AX147" i="17"/>
  <c r="AY147" i="17"/>
  <c r="AZ147" i="17"/>
  <c r="BA147" i="17"/>
  <c r="BC147" i="17" s="1"/>
  <c r="BD147" i="17" s="1"/>
  <c r="BB147" i="17"/>
  <c r="BG147" i="17"/>
  <c r="BH147" i="17"/>
  <c r="BI147" i="17"/>
  <c r="BK147" i="17"/>
  <c r="BL147" i="17"/>
  <c r="BM147" i="17"/>
  <c r="BN147" i="17"/>
  <c r="BO147" i="17"/>
  <c r="BR147" i="17"/>
  <c r="BT147" i="17"/>
  <c r="BS147" i="17" s="1"/>
  <c r="BU147" i="17"/>
  <c r="BW147" i="17"/>
  <c r="CA147" i="17" s="1"/>
  <c r="BY147" i="17"/>
  <c r="BZ147" i="17"/>
  <c r="CB147" i="17"/>
  <c r="CC147" i="17"/>
  <c r="CD147" i="17" s="1"/>
  <c r="CE147" i="17"/>
  <c r="CF147" i="17"/>
  <c r="CG147" i="17"/>
  <c r="CH147" i="17"/>
  <c r="CI147" i="17"/>
  <c r="CK147" i="17"/>
  <c r="A148" i="17"/>
  <c r="B148" i="17"/>
  <c r="C148" i="17"/>
  <c r="D148" i="17"/>
  <c r="E148" i="17"/>
  <c r="F148" i="17"/>
  <c r="G148" i="17"/>
  <c r="H148" i="17"/>
  <c r="I148" i="17"/>
  <c r="J148" i="17"/>
  <c r="L148" i="17"/>
  <c r="AS148" i="17" s="1"/>
  <c r="M148" i="17"/>
  <c r="N148" i="17" s="1"/>
  <c r="P148" i="17"/>
  <c r="U148" i="17" s="1"/>
  <c r="Q148" i="17"/>
  <c r="T148" i="17" s="1"/>
  <c r="R148" i="17"/>
  <c r="S148" i="17"/>
  <c r="V148" i="17"/>
  <c r="W148" i="17"/>
  <c r="X148" i="17"/>
  <c r="Y148" i="17"/>
  <c r="Z148" i="17" s="1"/>
  <c r="AB148" i="17"/>
  <c r="AC148" i="17" s="1"/>
  <c r="AD148" i="17"/>
  <c r="AF148" i="17" s="1"/>
  <c r="AE148" i="17"/>
  <c r="AG148" i="17"/>
  <c r="AH148" i="17"/>
  <c r="AJ148" i="17"/>
  <c r="AL148" i="17" s="1"/>
  <c r="AK148" i="17"/>
  <c r="AN148" i="17"/>
  <c r="AM148" i="17" s="1"/>
  <c r="AP148" i="17"/>
  <c r="AI148" i="17" s="1"/>
  <c r="AQ148" i="17"/>
  <c r="AR148" i="17"/>
  <c r="AT148" i="17"/>
  <c r="AW148" i="17"/>
  <c r="AX148" i="17"/>
  <c r="AY148" i="17"/>
  <c r="AZ148" i="17"/>
  <c r="BA148" i="17"/>
  <c r="BB148" i="17"/>
  <c r="BF148" i="17"/>
  <c r="BG148" i="17"/>
  <c r="BH148" i="17"/>
  <c r="BI148" i="17"/>
  <c r="BJ148" i="17" s="1"/>
  <c r="BK148" i="17"/>
  <c r="BL148" i="17"/>
  <c r="BM148" i="17"/>
  <c r="BN148" i="17"/>
  <c r="AV148" i="17" s="1"/>
  <c r="BO148" i="17"/>
  <c r="BP148" i="17" s="1"/>
  <c r="BR148" i="17"/>
  <c r="BQ148" i="17" s="1"/>
  <c r="BT148" i="17"/>
  <c r="BS148" i="17" s="1"/>
  <c r="BU148" i="17"/>
  <c r="BV148" i="17" s="1"/>
  <c r="BW148" i="17"/>
  <c r="BX148" i="17"/>
  <c r="BY148" i="17"/>
  <c r="BZ148" i="17"/>
  <c r="CA148" i="17"/>
  <c r="CB148" i="17"/>
  <c r="CC148" i="17"/>
  <c r="CD148" i="17"/>
  <c r="CE148" i="17"/>
  <c r="CF148" i="17"/>
  <c r="CG148" i="17"/>
  <c r="CI148" i="17" s="1"/>
  <c r="CH148" i="17"/>
  <c r="CK148" i="17"/>
  <c r="A149" i="17"/>
  <c r="B149" i="17"/>
  <c r="C149" i="17"/>
  <c r="D149" i="17"/>
  <c r="E149" i="17"/>
  <c r="F149" i="17"/>
  <c r="G149" i="17"/>
  <c r="H149" i="17"/>
  <c r="I149" i="17"/>
  <c r="J149" i="17"/>
  <c r="L149" i="17"/>
  <c r="AH149" i="17" s="1"/>
  <c r="M149" i="17"/>
  <c r="O149" i="17" s="1"/>
  <c r="N149" i="17"/>
  <c r="P149" i="17"/>
  <c r="U149" i="17" s="1"/>
  <c r="Q149" i="17"/>
  <c r="V149" i="17" s="1"/>
  <c r="W149" i="17"/>
  <c r="X149" i="17" s="1"/>
  <c r="Y149" i="17"/>
  <c r="AA149" i="17" s="1"/>
  <c r="Z149" i="17"/>
  <c r="AB149" i="17"/>
  <c r="AC149" i="17"/>
  <c r="AD149" i="17"/>
  <c r="AE149" i="17"/>
  <c r="AF149" i="17"/>
  <c r="AG149" i="17"/>
  <c r="AI149" i="17"/>
  <c r="AJ149" i="17"/>
  <c r="AL149" i="17"/>
  <c r="AN149" i="17"/>
  <c r="AM149" i="17" s="1"/>
  <c r="AO149" i="17"/>
  <c r="AP149" i="17"/>
  <c r="AT149" i="17" s="1"/>
  <c r="AQ149" i="17"/>
  <c r="AR149" i="17"/>
  <c r="AS149" i="17" s="1"/>
  <c r="AX149" i="17"/>
  <c r="AY149" i="17"/>
  <c r="AZ149" i="17"/>
  <c r="BA149" i="17"/>
  <c r="BF149" i="17" s="1"/>
  <c r="BG149" i="17"/>
  <c r="BH149" i="17" s="1"/>
  <c r="BI149" i="17"/>
  <c r="BJ149" i="17"/>
  <c r="BK149" i="17"/>
  <c r="BL149" i="17"/>
  <c r="BM149" i="17"/>
  <c r="BN149" i="17" s="1"/>
  <c r="AV149" i="17" s="1"/>
  <c r="BO149" i="17"/>
  <c r="BP149" i="17"/>
  <c r="BR149" i="17"/>
  <c r="BQ149" i="17" s="1"/>
  <c r="BS149" i="17"/>
  <c r="BT149" i="17"/>
  <c r="BU149" i="17"/>
  <c r="BV149" i="17"/>
  <c r="BW149" i="17"/>
  <c r="BY149" i="17"/>
  <c r="BZ149" i="17" s="1"/>
  <c r="CA149" i="17"/>
  <c r="CB149" i="17"/>
  <c r="CD149" i="17" s="1"/>
  <c r="CC149" i="17"/>
  <c r="CE149" i="17"/>
  <c r="CF149" i="17"/>
  <c r="CG149" i="17"/>
  <c r="CH149" i="17"/>
  <c r="CI149" i="17" s="1"/>
  <c r="CK149" i="17"/>
  <c r="A150" i="17"/>
  <c r="B150" i="17"/>
  <c r="C150" i="17"/>
  <c r="D150" i="17"/>
  <c r="E150" i="17"/>
  <c r="F150" i="17"/>
  <c r="G150" i="17"/>
  <c r="H150" i="17"/>
  <c r="I150" i="17"/>
  <c r="J150" i="17"/>
  <c r="L150" i="17"/>
  <c r="AC150" i="17" s="1"/>
  <c r="M150" i="17"/>
  <c r="N150" i="17"/>
  <c r="O150" i="17"/>
  <c r="P150" i="17"/>
  <c r="Q150" i="17"/>
  <c r="V150" i="17" s="1"/>
  <c r="R150" i="17"/>
  <c r="S150" i="17"/>
  <c r="T150" i="17"/>
  <c r="U150" i="17"/>
  <c r="W150" i="17"/>
  <c r="X150" i="17"/>
  <c r="Y150" i="17"/>
  <c r="AA150" i="17"/>
  <c r="AB150" i="17"/>
  <c r="AD150" i="17"/>
  <c r="AE150" i="17" s="1"/>
  <c r="AG150" i="17"/>
  <c r="AH150" i="17" s="1"/>
  <c r="AJ150" i="17"/>
  <c r="AK150" i="17" s="1"/>
  <c r="AM150" i="17"/>
  <c r="AN150" i="17"/>
  <c r="AP150" i="17"/>
  <c r="AT150" i="17" s="1"/>
  <c r="AR150" i="17"/>
  <c r="AS150" i="17"/>
  <c r="AX150" i="17"/>
  <c r="AY150" i="17"/>
  <c r="AZ150" i="17"/>
  <c r="BA150" i="17"/>
  <c r="BF150" i="17" s="1"/>
  <c r="BB150" i="17"/>
  <c r="BG150" i="17"/>
  <c r="BH150" i="17"/>
  <c r="BI150" i="17"/>
  <c r="AU150" i="17" s="1"/>
  <c r="BK150" i="17"/>
  <c r="BL150" i="17"/>
  <c r="BM150" i="17"/>
  <c r="BN150" i="17"/>
  <c r="AV150" i="17" s="1"/>
  <c r="BO150" i="17"/>
  <c r="BQ150" i="17"/>
  <c r="BR150" i="17"/>
  <c r="BT150" i="17"/>
  <c r="BS150" i="17" s="1"/>
  <c r="BU150" i="17"/>
  <c r="BW150" i="17"/>
  <c r="BX150" i="17" s="1"/>
  <c r="BY150" i="17"/>
  <c r="BZ150" i="17"/>
  <c r="CB150" i="17"/>
  <c r="CD150" i="17" s="1"/>
  <c r="CC150" i="17"/>
  <c r="CE150" i="17"/>
  <c r="CF150" i="17"/>
  <c r="CG150" i="17"/>
  <c r="CH150" i="17"/>
  <c r="CI150" i="17"/>
  <c r="CK150" i="17"/>
  <c r="A151" i="17"/>
  <c r="B151" i="17"/>
  <c r="C151" i="17"/>
  <c r="D151" i="17"/>
  <c r="E151" i="17"/>
  <c r="F151" i="17"/>
  <c r="G151" i="17"/>
  <c r="H151" i="17"/>
  <c r="I151" i="17"/>
  <c r="J151" i="17"/>
  <c r="L151" i="17"/>
  <c r="M151" i="17"/>
  <c r="N151" i="17" s="1"/>
  <c r="P151" i="17"/>
  <c r="S151" i="17" s="1"/>
  <c r="T151" i="17" s="1"/>
  <c r="Q151" i="17"/>
  <c r="R151" i="17"/>
  <c r="V151" i="17"/>
  <c r="W151" i="17"/>
  <c r="X151" i="17"/>
  <c r="Y151" i="17"/>
  <c r="Z151" i="17" s="1"/>
  <c r="AB151" i="17"/>
  <c r="AC151" i="17" s="1"/>
  <c r="AD151" i="17"/>
  <c r="AE151" i="17"/>
  <c r="AF151" i="17"/>
  <c r="AG151" i="17"/>
  <c r="AI151" i="17" s="1"/>
  <c r="AH151" i="17"/>
  <c r="AJ151" i="17"/>
  <c r="AK151" i="17"/>
  <c r="AL151" i="17"/>
  <c r="AN151" i="17"/>
  <c r="AO151" i="17" s="1"/>
  <c r="BE151" i="17" s="1"/>
  <c r="AP151" i="17"/>
  <c r="AQ151" i="17"/>
  <c r="AR151" i="17"/>
  <c r="AS151" i="17"/>
  <c r="AT151" i="17"/>
  <c r="AW151" i="17"/>
  <c r="AX151" i="17"/>
  <c r="AY151" i="17"/>
  <c r="AZ151" i="17"/>
  <c r="BA151" i="17"/>
  <c r="BB151" i="17"/>
  <c r="BF151" i="17"/>
  <c r="BG151" i="17"/>
  <c r="BH151" i="17"/>
  <c r="BI151" i="17"/>
  <c r="AU151" i="17" s="1"/>
  <c r="BK151" i="17"/>
  <c r="BL151" i="17"/>
  <c r="BM151" i="17"/>
  <c r="BN151" i="17"/>
  <c r="AV151" i="17" s="1"/>
  <c r="BO151" i="17"/>
  <c r="BP151" i="17" s="1"/>
  <c r="BR151" i="17"/>
  <c r="BQ151" i="17" s="1"/>
  <c r="BT151" i="17"/>
  <c r="BS151" i="17" s="1"/>
  <c r="BU151" i="17"/>
  <c r="BV151" i="17" s="1"/>
  <c r="BW151" i="17"/>
  <c r="BX151" i="17"/>
  <c r="BY151" i="17"/>
  <c r="BZ151" i="17"/>
  <c r="CA151" i="17"/>
  <c r="CB151" i="17"/>
  <c r="CC151" i="17"/>
  <c r="CD151" i="17"/>
  <c r="CE151" i="17"/>
  <c r="CF151" i="17"/>
  <c r="CG151" i="17"/>
  <c r="CI151" i="17" s="1"/>
  <c r="CH151" i="17"/>
  <c r="CK151" i="17"/>
  <c r="A152" i="17"/>
  <c r="B152" i="17"/>
  <c r="C152" i="17"/>
  <c r="D152" i="17"/>
  <c r="E152" i="17"/>
  <c r="F152" i="17"/>
  <c r="G152" i="17"/>
  <c r="H152" i="17"/>
  <c r="I152" i="17"/>
  <c r="J152" i="17"/>
  <c r="L152" i="17"/>
  <c r="M152" i="17"/>
  <c r="N152" i="17"/>
  <c r="O152" i="17"/>
  <c r="P152" i="17"/>
  <c r="S152" i="17" s="1"/>
  <c r="Q152" i="17"/>
  <c r="R152" i="17" s="1"/>
  <c r="AK152" i="17" s="1"/>
  <c r="W152" i="17"/>
  <c r="X152" i="17" s="1"/>
  <c r="Y152" i="17"/>
  <c r="Z152" i="17"/>
  <c r="AB152" i="17"/>
  <c r="AC152" i="17"/>
  <c r="AD152" i="17"/>
  <c r="AE152" i="17"/>
  <c r="AF152" i="17"/>
  <c r="AG152" i="17"/>
  <c r="AW152" i="17" s="1"/>
  <c r="AH152" i="17"/>
  <c r="AI152" i="17"/>
  <c r="AJ152" i="17"/>
  <c r="AL152" i="17"/>
  <c r="AN152" i="17"/>
  <c r="AM152" i="17" s="1"/>
  <c r="AO152" i="17"/>
  <c r="AP152" i="17"/>
  <c r="AQ152" i="17"/>
  <c r="AR152" i="17"/>
  <c r="AS152" i="17" s="1"/>
  <c r="AU152" i="17"/>
  <c r="AX152" i="17"/>
  <c r="AY152" i="17"/>
  <c r="AZ152" i="17"/>
  <c r="BA152" i="17"/>
  <c r="BB152" i="17" s="1"/>
  <c r="BE152" i="17" s="1"/>
  <c r="BG152" i="17"/>
  <c r="BH152" i="17" s="1"/>
  <c r="BI152" i="17"/>
  <c r="BJ152" i="17"/>
  <c r="BK152" i="17"/>
  <c r="BL152" i="17"/>
  <c r="BM152" i="17"/>
  <c r="BN152" i="17" s="1"/>
  <c r="BO152" i="17"/>
  <c r="BP152" i="17"/>
  <c r="BR152" i="17"/>
  <c r="BQ152" i="17" s="1"/>
  <c r="BS152" i="17"/>
  <c r="BT152" i="17"/>
  <c r="BU152" i="17"/>
  <c r="BV152" i="17"/>
  <c r="BW152" i="17"/>
  <c r="CA152" i="17" s="1"/>
  <c r="BX152" i="17"/>
  <c r="BY152" i="17"/>
  <c r="BZ152" i="17" s="1"/>
  <c r="CB152" i="17"/>
  <c r="CD152" i="17" s="1"/>
  <c r="CC152" i="17"/>
  <c r="CE152" i="17"/>
  <c r="CF152" i="17"/>
  <c r="CG152" i="17"/>
  <c r="CH152" i="17"/>
  <c r="CI152" i="17" s="1"/>
  <c r="CK152" i="17"/>
  <c r="A153" i="17"/>
  <c r="B153" i="17"/>
  <c r="C153" i="17"/>
  <c r="D153" i="17"/>
  <c r="E153" i="17"/>
  <c r="F153" i="17"/>
  <c r="G153" i="17"/>
  <c r="H153" i="17"/>
  <c r="I153" i="17"/>
  <c r="J153" i="17"/>
  <c r="L153" i="17"/>
  <c r="M153" i="17"/>
  <c r="N153" i="17"/>
  <c r="P153" i="17"/>
  <c r="S153" i="17" s="1"/>
  <c r="Q153" i="17"/>
  <c r="R153" i="17"/>
  <c r="U153" i="17"/>
  <c r="W153" i="17"/>
  <c r="X153" i="17"/>
  <c r="Y153" i="17"/>
  <c r="AA153" i="17"/>
  <c r="AB153" i="17"/>
  <c r="AD153" i="17"/>
  <c r="AE153" i="17" s="1"/>
  <c r="AG153" i="17"/>
  <c r="AW153" i="17" s="1"/>
  <c r="AJ153" i="17"/>
  <c r="AK153" i="17" s="1"/>
  <c r="AN153" i="17"/>
  <c r="AP153" i="17"/>
  <c r="AQ153" i="17" s="1"/>
  <c r="AR153" i="17"/>
  <c r="AU153" i="17"/>
  <c r="AX153" i="17"/>
  <c r="AY153" i="17"/>
  <c r="AZ153" i="17"/>
  <c r="BA153" i="17"/>
  <c r="BC153" i="17" s="1"/>
  <c r="BD153" i="17" s="1"/>
  <c r="BB153" i="17"/>
  <c r="BG153" i="17"/>
  <c r="BH153" i="17"/>
  <c r="BI153" i="17"/>
  <c r="BK153" i="17"/>
  <c r="BL153" i="17"/>
  <c r="BM153" i="17"/>
  <c r="BN153" i="17"/>
  <c r="BO153" i="17"/>
  <c r="BR153" i="17"/>
  <c r="BT153" i="17"/>
  <c r="BS153" i="17" s="1"/>
  <c r="BU153" i="17"/>
  <c r="BW153" i="17"/>
  <c r="CA153" i="17" s="1"/>
  <c r="BY153" i="17"/>
  <c r="BZ153" i="17"/>
  <c r="CB153" i="17"/>
  <c r="CC153" i="17"/>
  <c r="CD153" i="17" s="1"/>
  <c r="CE153" i="17"/>
  <c r="CF153" i="17"/>
  <c r="CG153" i="17"/>
  <c r="CH153" i="17"/>
  <c r="CI153" i="17"/>
  <c r="CK153" i="17"/>
  <c r="A154" i="17"/>
  <c r="B154" i="17"/>
  <c r="C154" i="17"/>
  <c r="D154" i="17"/>
  <c r="E154" i="17"/>
  <c r="F154" i="17"/>
  <c r="G154" i="17"/>
  <c r="H154" i="17"/>
  <c r="I154" i="17"/>
  <c r="J154" i="17"/>
  <c r="L154" i="17"/>
  <c r="AS154" i="17" s="1"/>
  <c r="M154" i="17"/>
  <c r="N154" i="17" s="1"/>
  <c r="P154" i="17"/>
  <c r="U154" i="17" s="1"/>
  <c r="Q154" i="17"/>
  <c r="T154" i="17" s="1"/>
  <c r="R154" i="17"/>
  <c r="S154" i="17"/>
  <c r="V154" i="17"/>
  <c r="W154" i="17"/>
  <c r="X154" i="17"/>
  <c r="Y154" i="17"/>
  <c r="Z154" i="17" s="1"/>
  <c r="AB154" i="17"/>
  <c r="AC154" i="17" s="1"/>
  <c r="AD154" i="17"/>
  <c r="AF154" i="17" s="1"/>
  <c r="AE154" i="17"/>
  <c r="AG154" i="17"/>
  <c r="AH154" i="17"/>
  <c r="AJ154" i="17"/>
  <c r="AL154" i="17" s="1"/>
  <c r="AK154" i="17"/>
  <c r="AN154" i="17"/>
  <c r="AM154" i="17" s="1"/>
  <c r="AP154" i="17"/>
  <c r="AI154" i="17" s="1"/>
  <c r="AQ154" i="17"/>
  <c r="AR154" i="17"/>
  <c r="AT154" i="17"/>
  <c r="AW154" i="17"/>
  <c r="AX154" i="17"/>
  <c r="AY154" i="17"/>
  <c r="AZ154" i="17"/>
  <c r="BA154" i="17"/>
  <c r="BB154" i="17"/>
  <c r="BF154" i="17"/>
  <c r="BG154" i="17"/>
  <c r="BH154" i="17"/>
  <c r="BI154" i="17"/>
  <c r="BJ154" i="17" s="1"/>
  <c r="BK154" i="17"/>
  <c r="BL154" i="17"/>
  <c r="BM154" i="17"/>
  <c r="BN154" i="17"/>
  <c r="AV154" i="17" s="1"/>
  <c r="BO154" i="17"/>
  <c r="BP154" i="17" s="1"/>
  <c r="BR154" i="17"/>
  <c r="BQ154" i="17" s="1"/>
  <c r="BT154" i="17"/>
  <c r="BS154" i="17" s="1"/>
  <c r="BU154" i="17"/>
  <c r="BV154" i="17" s="1"/>
  <c r="BW154" i="17"/>
  <c r="BX154" i="17"/>
  <c r="BY154" i="17"/>
  <c r="BZ154" i="17"/>
  <c r="CA154" i="17"/>
  <c r="CB154" i="17"/>
  <c r="CC154" i="17"/>
  <c r="CD154" i="17"/>
  <c r="CE154" i="17"/>
  <c r="CF154" i="17"/>
  <c r="CG154" i="17"/>
  <c r="CI154" i="17" s="1"/>
  <c r="CH154" i="17"/>
  <c r="CK154" i="17"/>
  <c r="A155" i="17"/>
  <c r="B155" i="17"/>
  <c r="C155" i="17"/>
  <c r="D155" i="17"/>
  <c r="E155" i="17"/>
  <c r="F155" i="17"/>
  <c r="G155" i="17"/>
  <c r="H155" i="17"/>
  <c r="I155" i="17"/>
  <c r="J155" i="17"/>
  <c r="L155" i="17"/>
  <c r="AH155" i="17" s="1"/>
  <c r="M155" i="17"/>
  <c r="O155" i="17" s="1"/>
  <c r="N155" i="17"/>
  <c r="P155" i="17"/>
  <c r="U155" i="17" s="1"/>
  <c r="Q155" i="17"/>
  <c r="V155" i="17" s="1"/>
  <c r="W155" i="17"/>
  <c r="X155" i="17" s="1"/>
  <c r="Y155" i="17"/>
  <c r="AA155" i="17" s="1"/>
  <c r="Z155" i="17"/>
  <c r="AB155" i="17"/>
  <c r="AC155" i="17"/>
  <c r="AD155" i="17"/>
  <c r="AE155" i="17"/>
  <c r="AF155" i="17"/>
  <c r="AG155" i="17"/>
  <c r="AI155" i="17"/>
  <c r="AJ155" i="17"/>
  <c r="AL155" i="17"/>
  <c r="AN155" i="17"/>
  <c r="AM155" i="17" s="1"/>
  <c r="AO155" i="17"/>
  <c r="AP155" i="17"/>
  <c r="AT155" i="17" s="1"/>
  <c r="AQ155" i="17"/>
  <c r="AR155" i="17"/>
  <c r="AS155" i="17" s="1"/>
  <c r="AX155" i="17"/>
  <c r="AY155" i="17"/>
  <c r="AZ155" i="17"/>
  <c r="BA155" i="17"/>
  <c r="BF155" i="17" s="1"/>
  <c r="BG155" i="17"/>
  <c r="BH155" i="17" s="1"/>
  <c r="BI155" i="17"/>
  <c r="BJ155" i="17"/>
  <c r="BK155" i="17"/>
  <c r="BL155" i="17"/>
  <c r="BM155" i="17"/>
  <c r="BN155" i="17" s="1"/>
  <c r="AV155" i="17" s="1"/>
  <c r="BO155" i="17"/>
  <c r="BP155" i="17"/>
  <c r="BR155" i="17"/>
  <c r="BQ155" i="17" s="1"/>
  <c r="BS155" i="17"/>
  <c r="BT155" i="17"/>
  <c r="BU155" i="17"/>
  <c r="BV155" i="17"/>
  <c r="BW155" i="17"/>
  <c r="BY155" i="17"/>
  <c r="BZ155" i="17" s="1"/>
  <c r="CA155" i="17"/>
  <c r="CB155" i="17"/>
  <c r="CD155" i="17" s="1"/>
  <c r="CC155" i="17"/>
  <c r="CE155" i="17"/>
  <c r="CF155" i="17"/>
  <c r="CG155" i="17"/>
  <c r="CH155" i="17"/>
  <c r="CI155" i="17" s="1"/>
  <c r="CK155" i="17"/>
  <c r="A156" i="17"/>
  <c r="B156" i="17"/>
  <c r="C156" i="17"/>
  <c r="D156" i="17"/>
  <c r="E156" i="17"/>
  <c r="F156" i="17"/>
  <c r="G156" i="17"/>
  <c r="H156" i="17"/>
  <c r="I156" i="17"/>
  <c r="J156" i="17"/>
  <c r="L156" i="17"/>
  <c r="AC156" i="17" s="1"/>
  <c r="M156" i="17"/>
  <c r="N156" i="17"/>
  <c r="O156" i="17"/>
  <c r="P156" i="17"/>
  <c r="Q156" i="17"/>
  <c r="V156" i="17" s="1"/>
  <c r="R156" i="17"/>
  <c r="S156" i="17"/>
  <c r="T156" i="17"/>
  <c r="U156" i="17"/>
  <c r="W156" i="17"/>
  <c r="X156" i="17"/>
  <c r="Y156" i="17"/>
  <c r="AA156" i="17"/>
  <c r="AB156" i="17"/>
  <c r="AD156" i="17"/>
  <c r="AE156" i="17" s="1"/>
  <c r="AG156" i="17"/>
  <c r="AH156" i="17" s="1"/>
  <c r="AJ156" i="17"/>
  <c r="AK156" i="17" s="1"/>
  <c r="AM156" i="17"/>
  <c r="AN156" i="17"/>
  <c r="AP156" i="17"/>
  <c r="AT156" i="17" s="1"/>
  <c r="AR156" i="17"/>
  <c r="AS156" i="17"/>
  <c r="AX156" i="17"/>
  <c r="AY156" i="17"/>
  <c r="AZ156" i="17"/>
  <c r="BA156" i="17"/>
  <c r="BF156" i="17" s="1"/>
  <c r="BB156" i="17"/>
  <c r="BG156" i="17"/>
  <c r="BH156" i="17"/>
  <c r="BI156" i="17"/>
  <c r="AU156" i="17" s="1"/>
  <c r="BK156" i="17"/>
  <c r="BL156" i="17"/>
  <c r="BM156" i="17"/>
  <c r="BN156" i="17"/>
  <c r="AV156" i="17" s="1"/>
  <c r="BO156" i="17"/>
  <c r="BQ156" i="17"/>
  <c r="BR156" i="17"/>
  <c r="BT156" i="17"/>
  <c r="BS156" i="17" s="1"/>
  <c r="BU156" i="17"/>
  <c r="BW156" i="17"/>
  <c r="BX156" i="17" s="1"/>
  <c r="BY156" i="17"/>
  <c r="BZ156" i="17"/>
  <c r="CB156" i="17"/>
  <c r="CD156" i="17" s="1"/>
  <c r="CC156" i="17"/>
  <c r="CE156" i="17"/>
  <c r="CF156" i="17"/>
  <c r="CG156" i="17"/>
  <c r="CH156" i="17"/>
  <c r="CI156" i="17"/>
  <c r="CK156" i="17"/>
  <c r="A157" i="17"/>
  <c r="B157" i="17"/>
  <c r="C157" i="17"/>
  <c r="D157" i="17"/>
  <c r="E157" i="17"/>
  <c r="F157" i="17"/>
  <c r="G157" i="17"/>
  <c r="H157" i="17"/>
  <c r="I157" i="17"/>
  <c r="J157" i="17"/>
  <c r="L157" i="17"/>
  <c r="M157" i="17"/>
  <c r="N157" i="17" s="1"/>
  <c r="P157" i="17"/>
  <c r="S157" i="17" s="1"/>
  <c r="T157" i="17" s="1"/>
  <c r="Q157" i="17"/>
  <c r="R157" i="17"/>
  <c r="V157" i="17"/>
  <c r="W157" i="17"/>
  <c r="X157" i="17"/>
  <c r="Y157" i="17"/>
  <c r="Z157" i="17" s="1"/>
  <c r="AB157" i="17"/>
  <c r="AC157" i="17" s="1"/>
  <c r="AD157" i="17"/>
  <c r="AE157" i="17"/>
  <c r="AF157" i="17"/>
  <c r="AG157" i="17"/>
  <c r="AI157" i="17" s="1"/>
  <c r="AH157" i="17"/>
  <c r="AJ157" i="17"/>
  <c r="AK157" i="17"/>
  <c r="AL157" i="17"/>
  <c r="AN157" i="17"/>
  <c r="AO157" i="17" s="1"/>
  <c r="BE157" i="17" s="1"/>
  <c r="AP157" i="17"/>
  <c r="AQ157" i="17"/>
  <c r="AR157" i="17"/>
  <c r="AS157" i="17"/>
  <c r="AT157" i="17"/>
  <c r="AW157" i="17"/>
  <c r="AX157" i="17"/>
  <c r="AY157" i="17"/>
  <c r="AZ157" i="17"/>
  <c r="BA157" i="17"/>
  <c r="BB157" i="17"/>
  <c r="BF157" i="17"/>
  <c r="BG157" i="17"/>
  <c r="BH157" i="17"/>
  <c r="BI157" i="17"/>
  <c r="AU157" i="17" s="1"/>
  <c r="BK157" i="17"/>
  <c r="BL157" i="17"/>
  <c r="BM157" i="17"/>
  <c r="BN157" i="17"/>
  <c r="AV157" i="17" s="1"/>
  <c r="BO157" i="17"/>
  <c r="BP157" i="17" s="1"/>
  <c r="BR157" i="17"/>
  <c r="BQ157" i="17" s="1"/>
  <c r="BT157" i="17"/>
  <c r="BS157" i="17" s="1"/>
  <c r="BU157" i="17"/>
  <c r="BV157" i="17" s="1"/>
  <c r="BW157" i="17"/>
  <c r="BX157" i="17"/>
  <c r="BY157" i="17"/>
  <c r="BZ157" i="17"/>
  <c r="CA157" i="17"/>
  <c r="CB157" i="17"/>
  <c r="CC157" i="17"/>
  <c r="CD157" i="17"/>
  <c r="CE157" i="17"/>
  <c r="CF157" i="17"/>
  <c r="CG157" i="17"/>
  <c r="CI157" i="17" s="1"/>
  <c r="CH157" i="17"/>
  <c r="CK157" i="17"/>
  <c r="A158" i="17"/>
  <c r="B158" i="17"/>
  <c r="C158" i="17"/>
  <c r="D158" i="17"/>
  <c r="E158" i="17"/>
  <c r="F158" i="17"/>
  <c r="G158" i="17"/>
  <c r="H158" i="17"/>
  <c r="I158" i="17"/>
  <c r="J158" i="17"/>
  <c r="L158" i="17"/>
  <c r="M158" i="17"/>
  <c r="N158" i="17"/>
  <c r="O158" i="17"/>
  <c r="P158" i="17"/>
  <c r="S158" i="17" s="1"/>
  <c r="Q158" i="17"/>
  <c r="R158" i="17" s="1"/>
  <c r="AK158" i="17" s="1"/>
  <c r="W158" i="17"/>
  <c r="X158" i="17" s="1"/>
  <c r="Y158" i="17"/>
  <c r="Z158" i="17"/>
  <c r="AB158" i="17"/>
  <c r="AC158" i="17"/>
  <c r="AD158" i="17"/>
  <c r="AE158" i="17"/>
  <c r="AF158" i="17"/>
  <c r="AG158" i="17"/>
  <c r="AW158" i="17" s="1"/>
  <c r="AH158" i="17"/>
  <c r="AI158" i="17"/>
  <c r="AJ158" i="17"/>
  <c r="AL158" i="17"/>
  <c r="AN158" i="17"/>
  <c r="AM158" i="17" s="1"/>
  <c r="AO158" i="17"/>
  <c r="AP158" i="17"/>
  <c r="AQ158" i="17"/>
  <c r="AR158" i="17"/>
  <c r="AS158" i="17" s="1"/>
  <c r="AU158" i="17"/>
  <c r="AX158" i="17"/>
  <c r="AY158" i="17"/>
  <c r="AZ158" i="17"/>
  <c r="BA158" i="17"/>
  <c r="BB158" i="17" s="1"/>
  <c r="BE158" i="17" s="1"/>
  <c r="BG158" i="17"/>
  <c r="BH158" i="17" s="1"/>
  <c r="BI158" i="17"/>
  <c r="BJ158" i="17"/>
  <c r="BK158" i="17"/>
  <c r="BL158" i="17"/>
  <c r="BM158" i="17"/>
  <c r="BN158" i="17" s="1"/>
  <c r="BO158" i="17"/>
  <c r="BP158" i="17"/>
  <c r="BR158" i="17"/>
  <c r="BQ158" i="17" s="1"/>
  <c r="BS158" i="17"/>
  <c r="BT158" i="17"/>
  <c r="BU158" i="17"/>
  <c r="BV158" i="17"/>
  <c r="BW158" i="17"/>
  <c r="CA158" i="17" s="1"/>
  <c r="BX158" i="17"/>
  <c r="BY158" i="17"/>
  <c r="BZ158" i="17" s="1"/>
  <c r="CB158" i="17"/>
  <c r="CD158" i="17" s="1"/>
  <c r="CC158" i="17"/>
  <c r="CE158" i="17"/>
  <c r="CF158" i="17"/>
  <c r="CG158" i="17"/>
  <c r="CH158" i="17"/>
  <c r="CI158" i="17" s="1"/>
  <c r="CK158" i="17"/>
  <c r="A159" i="17"/>
  <c r="B159" i="17"/>
  <c r="C159" i="17"/>
  <c r="D159" i="17"/>
  <c r="E159" i="17"/>
  <c r="F159" i="17"/>
  <c r="G159" i="17"/>
  <c r="H159" i="17"/>
  <c r="I159" i="17"/>
  <c r="J159" i="17"/>
  <c r="L159" i="17"/>
  <c r="M159" i="17"/>
  <c r="N159" i="17"/>
  <c r="P159" i="17"/>
  <c r="S159" i="17" s="1"/>
  <c r="Q159" i="17"/>
  <c r="R159" i="17"/>
  <c r="U159" i="17"/>
  <c r="W159" i="17"/>
  <c r="X159" i="17"/>
  <c r="Y159" i="17"/>
  <c r="AA159" i="17"/>
  <c r="AB159" i="17"/>
  <c r="AD159" i="17"/>
  <c r="AE159" i="17" s="1"/>
  <c r="AG159" i="17"/>
  <c r="AW159" i="17" s="1"/>
  <c r="AJ159" i="17"/>
  <c r="AK159" i="17" s="1"/>
  <c r="AN159" i="17"/>
  <c r="AP159" i="17"/>
  <c r="AQ159" i="17" s="1"/>
  <c r="AR159" i="17"/>
  <c r="AU159" i="17"/>
  <c r="AX159" i="17"/>
  <c r="AY159" i="17"/>
  <c r="AZ159" i="17"/>
  <c r="BA159" i="17"/>
  <c r="BC159" i="17" s="1"/>
  <c r="BD159" i="17" s="1"/>
  <c r="BB159" i="17"/>
  <c r="BG159" i="17"/>
  <c r="BH159" i="17"/>
  <c r="BI159" i="17"/>
  <c r="BK159" i="17"/>
  <c r="BL159" i="17"/>
  <c r="BM159" i="17"/>
  <c r="BN159" i="17"/>
  <c r="BO159" i="17"/>
  <c r="BR159" i="17"/>
  <c r="BT159" i="17"/>
  <c r="BS159" i="17" s="1"/>
  <c r="BU159" i="17"/>
  <c r="BW159" i="17"/>
  <c r="CA159" i="17" s="1"/>
  <c r="BY159" i="17"/>
  <c r="BZ159" i="17"/>
  <c r="CB159" i="17"/>
  <c r="CC159" i="17"/>
  <c r="CD159" i="17" s="1"/>
  <c r="CE159" i="17"/>
  <c r="CF159" i="17"/>
  <c r="CG159" i="17"/>
  <c r="CH159" i="17"/>
  <c r="CI159" i="17"/>
  <c r="CK159" i="17"/>
  <c r="A160" i="17"/>
  <c r="B160" i="17"/>
  <c r="C160" i="17"/>
  <c r="D160" i="17"/>
  <c r="E160" i="17"/>
  <c r="F160" i="17"/>
  <c r="G160" i="17"/>
  <c r="H160" i="17"/>
  <c r="I160" i="17"/>
  <c r="J160" i="17"/>
  <c r="L160" i="17"/>
  <c r="AS160" i="17" s="1"/>
  <c r="M160" i="17"/>
  <c r="N160" i="17" s="1"/>
  <c r="P160" i="17"/>
  <c r="U160" i="17" s="1"/>
  <c r="Q160" i="17"/>
  <c r="T160" i="17" s="1"/>
  <c r="R160" i="17"/>
  <c r="S160" i="17"/>
  <c r="V160" i="17"/>
  <c r="W160" i="17"/>
  <c r="X160" i="17"/>
  <c r="Y160" i="17"/>
  <c r="Z160" i="17" s="1"/>
  <c r="AB160" i="17"/>
  <c r="AC160" i="17" s="1"/>
  <c r="AD160" i="17"/>
  <c r="AF160" i="17" s="1"/>
  <c r="AE160" i="17"/>
  <c r="AG160" i="17"/>
  <c r="AH160" i="17"/>
  <c r="AJ160" i="17"/>
  <c r="AL160" i="17" s="1"/>
  <c r="AK160" i="17"/>
  <c r="AN160" i="17"/>
  <c r="AM160" i="17" s="1"/>
  <c r="AP160" i="17"/>
  <c r="AI160" i="17" s="1"/>
  <c r="AQ160" i="17"/>
  <c r="AR160" i="17"/>
  <c r="AT160" i="17"/>
  <c r="AW160" i="17"/>
  <c r="AX160" i="17"/>
  <c r="AY160" i="17"/>
  <c r="AZ160" i="17"/>
  <c r="BA160" i="17"/>
  <c r="BB160" i="17"/>
  <c r="BF160" i="17"/>
  <c r="BG160" i="17"/>
  <c r="BH160" i="17"/>
  <c r="BI160" i="17"/>
  <c r="BJ160" i="17" s="1"/>
  <c r="BK160" i="17"/>
  <c r="BL160" i="17"/>
  <c r="BM160" i="17"/>
  <c r="BN160" i="17"/>
  <c r="AV160" i="17" s="1"/>
  <c r="BO160" i="17"/>
  <c r="BP160" i="17" s="1"/>
  <c r="BR160" i="17"/>
  <c r="BQ160" i="17" s="1"/>
  <c r="BT160" i="17"/>
  <c r="BS160" i="17" s="1"/>
  <c r="BU160" i="17"/>
  <c r="BV160" i="17" s="1"/>
  <c r="BW160" i="17"/>
  <c r="BX160" i="17"/>
  <c r="BY160" i="17"/>
  <c r="BZ160" i="17"/>
  <c r="CA160" i="17"/>
  <c r="CB160" i="17"/>
  <c r="CC160" i="17"/>
  <c r="CD160" i="17"/>
  <c r="CE160" i="17"/>
  <c r="CF160" i="17"/>
  <c r="CG160" i="17"/>
  <c r="CI160" i="17" s="1"/>
  <c r="CH160" i="17"/>
  <c r="CK160" i="17"/>
  <c r="A161" i="17"/>
  <c r="B161" i="17"/>
  <c r="C161" i="17"/>
  <c r="D161" i="17"/>
  <c r="E161" i="17"/>
  <c r="F161" i="17"/>
  <c r="G161" i="17"/>
  <c r="H161" i="17"/>
  <c r="I161" i="17"/>
  <c r="J161" i="17"/>
  <c r="L161" i="17"/>
  <c r="AH161" i="17" s="1"/>
  <c r="M161" i="17"/>
  <c r="O161" i="17" s="1"/>
  <c r="N161" i="17"/>
  <c r="P161" i="17"/>
  <c r="U161" i="17" s="1"/>
  <c r="Q161" i="17"/>
  <c r="V161" i="17" s="1"/>
  <c r="W161" i="17"/>
  <c r="X161" i="17" s="1"/>
  <c r="Y161" i="17"/>
  <c r="AA161" i="17" s="1"/>
  <c r="Z161" i="17"/>
  <c r="AB161" i="17"/>
  <c r="AC161" i="17"/>
  <c r="AD161" i="17"/>
  <c r="AE161" i="17"/>
  <c r="AF161" i="17"/>
  <c r="AG161" i="17"/>
  <c r="AI161" i="17"/>
  <c r="AJ161" i="17"/>
  <c r="AL161" i="17"/>
  <c r="AN161" i="17"/>
  <c r="AM161" i="17" s="1"/>
  <c r="AO161" i="17"/>
  <c r="AP161" i="17"/>
  <c r="AT161" i="17" s="1"/>
  <c r="AQ161" i="17"/>
  <c r="AR161" i="17"/>
  <c r="AS161" i="17" s="1"/>
  <c r="AX161" i="17"/>
  <c r="AY161" i="17"/>
  <c r="AZ161" i="17"/>
  <c r="BA161" i="17"/>
  <c r="BF161" i="17" s="1"/>
  <c r="BG161" i="17"/>
  <c r="BH161" i="17" s="1"/>
  <c r="BI161" i="17"/>
  <c r="BJ161" i="17"/>
  <c r="BK161" i="17"/>
  <c r="BL161" i="17"/>
  <c r="BM161" i="17"/>
  <c r="BN161" i="17" s="1"/>
  <c r="AV161" i="17" s="1"/>
  <c r="BO161" i="17"/>
  <c r="BP161" i="17"/>
  <c r="BR161" i="17"/>
  <c r="BQ161" i="17" s="1"/>
  <c r="BS161" i="17"/>
  <c r="BT161" i="17"/>
  <c r="BU161" i="17"/>
  <c r="BV161" i="17"/>
  <c r="BW161" i="17"/>
  <c r="BY161" i="17"/>
  <c r="BZ161" i="17" s="1"/>
  <c r="CA161" i="17"/>
  <c r="CB161" i="17"/>
  <c r="CD161" i="17" s="1"/>
  <c r="CC161" i="17"/>
  <c r="CE161" i="17"/>
  <c r="CF161" i="17"/>
  <c r="CG161" i="17"/>
  <c r="CH161" i="17"/>
  <c r="CI161" i="17" s="1"/>
  <c r="CK161" i="17"/>
  <c r="A162" i="17"/>
  <c r="B162" i="17"/>
  <c r="C162" i="17"/>
  <c r="D162" i="17"/>
  <c r="E162" i="17"/>
  <c r="F162" i="17"/>
  <c r="G162" i="17"/>
  <c r="H162" i="17"/>
  <c r="I162" i="17"/>
  <c r="J162" i="17"/>
  <c r="L162" i="17"/>
  <c r="AC162" i="17" s="1"/>
  <c r="M162" i="17"/>
  <c r="N162" i="17"/>
  <c r="O162" i="17"/>
  <c r="P162" i="17"/>
  <c r="Q162" i="17"/>
  <c r="V162" i="17" s="1"/>
  <c r="R162" i="17"/>
  <c r="S162" i="17"/>
  <c r="T162" i="17"/>
  <c r="U162" i="17"/>
  <c r="W162" i="17"/>
  <c r="X162" i="17"/>
  <c r="Y162" i="17"/>
  <c r="AA162" i="17"/>
  <c r="AB162" i="17"/>
  <c r="AD162" i="17"/>
  <c r="AE162" i="17" s="1"/>
  <c r="AG162" i="17"/>
  <c r="AH162" i="17" s="1"/>
  <c r="AJ162" i="17"/>
  <c r="AK162" i="17" s="1"/>
  <c r="AM162" i="17"/>
  <c r="AN162" i="17"/>
  <c r="AP162" i="17"/>
  <c r="AT162" i="17" s="1"/>
  <c r="AR162" i="17"/>
  <c r="AS162" i="17"/>
  <c r="AX162" i="17"/>
  <c r="AY162" i="17"/>
  <c r="AZ162" i="17"/>
  <c r="BA162" i="17"/>
  <c r="BF162" i="17" s="1"/>
  <c r="BB162" i="17"/>
  <c r="BG162" i="17"/>
  <c r="BH162" i="17"/>
  <c r="BI162" i="17"/>
  <c r="AU162" i="17" s="1"/>
  <c r="BK162" i="17"/>
  <c r="BL162" i="17"/>
  <c r="BM162" i="17"/>
  <c r="BN162" i="17"/>
  <c r="AV162" i="17" s="1"/>
  <c r="BO162" i="17"/>
  <c r="BQ162" i="17"/>
  <c r="BR162" i="17"/>
  <c r="BT162" i="17"/>
  <c r="BS162" i="17" s="1"/>
  <c r="BU162" i="17"/>
  <c r="BW162" i="17"/>
  <c r="BX162" i="17" s="1"/>
  <c r="BY162" i="17"/>
  <c r="BZ162" i="17"/>
  <c r="CB162" i="17"/>
  <c r="CD162" i="17" s="1"/>
  <c r="CC162" i="17"/>
  <c r="CE162" i="17"/>
  <c r="CF162" i="17"/>
  <c r="CG162" i="17"/>
  <c r="CH162" i="17"/>
  <c r="CI162" i="17"/>
  <c r="CK162" i="17"/>
  <c r="A163" i="17"/>
  <c r="B163" i="17"/>
  <c r="C163" i="17"/>
  <c r="D163" i="17"/>
  <c r="E163" i="17"/>
  <c r="F163" i="17"/>
  <c r="G163" i="17"/>
  <c r="H163" i="17"/>
  <c r="I163" i="17"/>
  <c r="J163" i="17"/>
  <c r="L163" i="17"/>
  <c r="M163" i="17"/>
  <c r="N163" i="17" s="1"/>
  <c r="P163" i="17"/>
  <c r="S163" i="17" s="1"/>
  <c r="T163" i="17" s="1"/>
  <c r="Q163" i="17"/>
  <c r="R163" i="17"/>
  <c r="V163" i="17"/>
  <c r="W163" i="17"/>
  <c r="X163" i="17"/>
  <c r="Y163" i="17"/>
  <c r="Z163" i="17" s="1"/>
  <c r="AB163" i="17"/>
  <c r="AC163" i="17" s="1"/>
  <c r="AD163" i="17"/>
  <c r="AE163" i="17"/>
  <c r="AF163" i="17"/>
  <c r="AG163" i="17"/>
  <c r="AI163" i="17" s="1"/>
  <c r="AH163" i="17"/>
  <c r="AJ163" i="17"/>
  <c r="AK163" i="17"/>
  <c r="AL163" i="17"/>
  <c r="AN163" i="17"/>
  <c r="AO163" i="17" s="1"/>
  <c r="BE163" i="17" s="1"/>
  <c r="AP163" i="17"/>
  <c r="AQ163" i="17"/>
  <c r="AR163" i="17"/>
  <c r="AS163" i="17"/>
  <c r="AT163" i="17"/>
  <c r="AW163" i="17"/>
  <c r="AX163" i="17"/>
  <c r="AY163" i="17"/>
  <c r="AZ163" i="17"/>
  <c r="BA163" i="17"/>
  <c r="BB163" i="17"/>
  <c r="BF163" i="17"/>
  <c r="BG163" i="17"/>
  <c r="BH163" i="17"/>
  <c r="BI163" i="17"/>
  <c r="AU163" i="17" s="1"/>
  <c r="BK163" i="17"/>
  <c r="BL163" i="17"/>
  <c r="BM163" i="17"/>
  <c r="BN163" i="17"/>
  <c r="AV163" i="17" s="1"/>
  <c r="BO163" i="17"/>
  <c r="BP163" i="17" s="1"/>
  <c r="BR163" i="17"/>
  <c r="BQ163" i="17" s="1"/>
  <c r="BT163" i="17"/>
  <c r="BS163" i="17" s="1"/>
  <c r="BU163" i="17"/>
  <c r="BV163" i="17" s="1"/>
  <c r="BW163" i="17"/>
  <c r="BX163" i="17"/>
  <c r="BY163" i="17"/>
  <c r="BZ163" i="17"/>
  <c r="CA163" i="17"/>
  <c r="CB163" i="17"/>
  <c r="CC163" i="17"/>
  <c r="CD163" i="17"/>
  <c r="CE163" i="17"/>
  <c r="CF163" i="17"/>
  <c r="CG163" i="17"/>
  <c r="CI163" i="17" s="1"/>
  <c r="CH163" i="17"/>
  <c r="CK163" i="17"/>
  <c r="A164" i="17"/>
  <c r="B164" i="17"/>
  <c r="C164" i="17"/>
  <c r="D164" i="17"/>
  <c r="E164" i="17"/>
  <c r="F164" i="17"/>
  <c r="G164" i="17"/>
  <c r="H164" i="17"/>
  <c r="I164" i="17"/>
  <c r="J164" i="17"/>
  <c r="L164" i="17"/>
  <c r="M164" i="17"/>
  <c r="N164" i="17"/>
  <c r="O164" i="17"/>
  <c r="P164" i="17"/>
  <c r="S164" i="17" s="1"/>
  <c r="Q164" i="17"/>
  <c r="R164" i="17" s="1"/>
  <c r="AK164" i="17" s="1"/>
  <c r="W164" i="17"/>
  <c r="X164" i="17" s="1"/>
  <c r="Y164" i="17"/>
  <c r="Z164" i="17"/>
  <c r="AB164" i="17"/>
  <c r="AC164" i="17"/>
  <c r="AD164" i="17"/>
  <c r="AE164" i="17"/>
  <c r="AF164" i="17"/>
  <c r="AG164" i="17"/>
  <c r="AW164" i="17" s="1"/>
  <c r="AH164" i="17"/>
  <c r="AI164" i="17"/>
  <c r="AJ164" i="17"/>
  <c r="AL164" i="17"/>
  <c r="AN164" i="17"/>
  <c r="AM164" i="17" s="1"/>
  <c r="AO164" i="17"/>
  <c r="AP164" i="17"/>
  <c r="AQ164" i="17"/>
  <c r="AR164" i="17"/>
  <c r="AS164" i="17" s="1"/>
  <c r="AU164" i="17"/>
  <c r="AX164" i="17"/>
  <c r="AY164" i="17"/>
  <c r="AZ164" i="17"/>
  <c r="BA164" i="17"/>
  <c r="BB164" i="17" s="1"/>
  <c r="BE164" i="17" s="1"/>
  <c r="BG164" i="17"/>
  <c r="BH164" i="17" s="1"/>
  <c r="BI164" i="17"/>
  <c r="BJ164" i="17"/>
  <c r="BK164" i="17"/>
  <c r="BL164" i="17"/>
  <c r="BM164" i="17"/>
  <c r="BN164" i="17" s="1"/>
  <c r="BO164" i="17"/>
  <c r="BP164" i="17"/>
  <c r="BR164" i="17"/>
  <c r="BQ164" i="17" s="1"/>
  <c r="BS164" i="17"/>
  <c r="BT164" i="17"/>
  <c r="BU164" i="17"/>
  <c r="BV164" i="17"/>
  <c r="BW164" i="17"/>
  <c r="CA164" i="17" s="1"/>
  <c r="BX164" i="17"/>
  <c r="BY164" i="17"/>
  <c r="BZ164" i="17" s="1"/>
  <c r="CB164" i="17"/>
  <c r="CD164" i="17" s="1"/>
  <c r="CC164" i="17"/>
  <c r="CE164" i="17"/>
  <c r="CF164" i="17"/>
  <c r="CG164" i="17"/>
  <c r="CH164" i="17"/>
  <c r="CI164" i="17" s="1"/>
  <c r="CK164" i="17"/>
  <c r="A165" i="17"/>
  <c r="B165" i="17"/>
  <c r="C165" i="17"/>
  <c r="D165" i="17"/>
  <c r="E165" i="17"/>
  <c r="F165" i="17"/>
  <c r="G165" i="17"/>
  <c r="H165" i="17"/>
  <c r="I165" i="17"/>
  <c r="J165" i="17"/>
  <c r="L165" i="17"/>
  <c r="M165" i="17"/>
  <c r="N165" i="17"/>
  <c r="P165" i="17"/>
  <c r="S165" i="17" s="1"/>
  <c r="Q165" i="17"/>
  <c r="R165" i="17"/>
  <c r="U165" i="17"/>
  <c r="W165" i="17"/>
  <c r="X165" i="17"/>
  <c r="Y165" i="17"/>
  <c r="AA165" i="17"/>
  <c r="AB165" i="17"/>
  <c r="AD165" i="17"/>
  <c r="AE165" i="17" s="1"/>
  <c r="AG165" i="17"/>
  <c r="AW165" i="17" s="1"/>
  <c r="AJ165" i="17"/>
  <c r="AK165" i="17" s="1"/>
  <c r="AN165" i="17"/>
  <c r="AP165" i="17"/>
  <c r="AQ165" i="17" s="1"/>
  <c r="AR165" i="17"/>
  <c r="AU165" i="17"/>
  <c r="AX165" i="17"/>
  <c r="AY165" i="17"/>
  <c r="AZ165" i="17"/>
  <c r="BA165" i="17"/>
  <c r="BC165" i="17" s="1"/>
  <c r="BD165" i="17" s="1"/>
  <c r="BB165" i="17"/>
  <c r="BG165" i="17"/>
  <c r="BH165" i="17"/>
  <c r="BI165" i="17"/>
  <c r="BK165" i="17"/>
  <c r="BL165" i="17"/>
  <c r="BM165" i="17"/>
  <c r="BN165" i="17"/>
  <c r="BO165" i="17"/>
  <c r="BR165" i="17"/>
  <c r="BT165" i="17"/>
  <c r="BS165" i="17" s="1"/>
  <c r="BU165" i="17"/>
  <c r="BW165" i="17"/>
  <c r="CA165" i="17" s="1"/>
  <c r="BY165" i="17"/>
  <c r="BZ165" i="17"/>
  <c r="CB165" i="17"/>
  <c r="CC165" i="17"/>
  <c r="CD165" i="17" s="1"/>
  <c r="CE165" i="17"/>
  <c r="CF165" i="17"/>
  <c r="CG165" i="17"/>
  <c r="CH165" i="17"/>
  <c r="CI165" i="17"/>
  <c r="CK165" i="17"/>
  <c r="A166" i="17"/>
  <c r="B166" i="17"/>
  <c r="C166" i="17"/>
  <c r="D166" i="17"/>
  <c r="E166" i="17"/>
  <c r="F166" i="17"/>
  <c r="G166" i="17"/>
  <c r="H166" i="17"/>
  <c r="I166" i="17"/>
  <c r="J166" i="17"/>
  <c r="L166" i="17"/>
  <c r="AS166" i="17" s="1"/>
  <c r="M166" i="17"/>
  <c r="P166" i="17"/>
  <c r="U166" i="17" s="1"/>
  <c r="Q166" i="17"/>
  <c r="T166" i="17" s="1"/>
  <c r="R166" i="17"/>
  <c r="S166" i="17"/>
  <c r="V166" i="17"/>
  <c r="W166" i="17"/>
  <c r="X166" i="17"/>
  <c r="Y166" i="17"/>
  <c r="AB166" i="17"/>
  <c r="AC166" i="17" s="1"/>
  <c r="AD166" i="17"/>
  <c r="AF166" i="17" s="1"/>
  <c r="AE166" i="17"/>
  <c r="AG166" i="17"/>
  <c r="AH166" i="17"/>
  <c r="AJ166" i="17"/>
  <c r="AL166" i="17" s="1"/>
  <c r="AK166" i="17"/>
  <c r="AN166" i="17"/>
  <c r="AM166" i="17" s="1"/>
  <c r="AP166" i="17"/>
  <c r="AI166" i="17" s="1"/>
  <c r="AQ166" i="17"/>
  <c r="AR166" i="17"/>
  <c r="AT166" i="17"/>
  <c r="AW166" i="17"/>
  <c r="AX166" i="17"/>
  <c r="AY166" i="17"/>
  <c r="AZ166" i="17"/>
  <c r="BA166" i="17"/>
  <c r="BB166" i="17"/>
  <c r="BC166" i="17"/>
  <c r="BD166" i="17" s="1"/>
  <c r="BF166" i="17"/>
  <c r="BG166" i="17"/>
  <c r="BH166" i="17"/>
  <c r="BI166" i="17"/>
  <c r="BK166" i="17"/>
  <c r="BL166" i="17"/>
  <c r="BM166" i="17"/>
  <c r="BN166" i="17"/>
  <c r="AV166" i="17" s="1"/>
  <c r="BO166" i="17"/>
  <c r="BP166" i="17" s="1"/>
  <c r="BR166" i="17"/>
  <c r="BQ166" i="17" s="1"/>
  <c r="BT166" i="17"/>
  <c r="BS166" i="17" s="1"/>
  <c r="BU166" i="17"/>
  <c r="BV166" i="17" s="1"/>
  <c r="BW166" i="17"/>
  <c r="BX166" i="17"/>
  <c r="BY166" i="17"/>
  <c r="BZ166" i="17"/>
  <c r="CB166" i="17"/>
  <c r="CC166" i="17"/>
  <c r="CD166" i="17"/>
  <c r="CE166" i="17"/>
  <c r="CF166" i="17"/>
  <c r="CG166" i="17"/>
  <c r="CI166" i="17" s="1"/>
  <c r="CH166" i="17"/>
  <c r="CK166" i="17"/>
  <c r="A167" i="17"/>
  <c r="B167" i="17"/>
  <c r="C167" i="17"/>
  <c r="D167" i="17"/>
  <c r="E167" i="17"/>
  <c r="F167" i="17"/>
  <c r="G167" i="17"/>
  <c r="H167" i="17"/>
  <c r="I167" i="17"/>
  <c r="J167" i="17"/>
  <c r="L167" i="17"/>
  <c r="AH167" i="17" s="1"/>
  <c r="M167" i="17"/>
  <c r="O167" i="17" s="1"/>
  <c r="N167" i="17"/>
  <c r="P167" i="17"/>
  <c r="U167" i="17" s="1"/>
  <c r="Q167" i="17"/>
  <c r="V167" i="17" s="1"/>
  <c r="W167" i="17"/>
  <c r="X167" i="17" s="1"/>
  <c r="Y167" i="17"/>
  <c r="AA167" i="17" s="1"/>
  <c r="Z167" i="17"/>
  <c r="AB167" i="17"/>
  <c r="AC167" i="17"/>
  <c r="AD167" i="17"/>
  <c r="AE167" i="17"/>
  <c r="AF167" i="17"/>
  <c r="AG167" i="17"/>
  <c r="AI167" i="17"/>
  <c r="AJ167" i="17"/>
  <c r="AL167" i="17"/>
  <c r="AN167" i="17"/>
  <c r="AM167" i="17" s="1"/>
  <c r="AO167" i="17"/>
  <c r="AP167" i="17"/>
  <c r="AT167" i="17" s="1"/>
  <c r="AQ167" i="17"/>
  <c r="AR167" i="17"/>
  <c r="AX167" i="17"/>
  <c r="AY167" i="17"/>
  <c r="AZ167" i="17"/>
  <c r="BA167" i="17"/>
  <c r="BF167" i="17" s="1"/>
  <c r="BG167" i="17"/>
  <c r="BH167" i="17" s="1"/>
  <c r="BI167" i="17"/>
  <c r="BJ167" i="17"/>
  <c r="BK167" i="17"/>
  <c r="BL167" i="17"/>
  <c r="BM167" i="17"/>
  <c r="BN167" i="17" s="1"/>
  <c r="BO167" i="17"/>
  <c r="BP167" i="17"/>
  <c r="BR167" i="17"/>
  <c r="BQ167" i="17" s="1"/>
  <c r="BS167" i="17"/>
  <c r="BT167" i="17"/>
  <c r="BU167" i="17"/>
  <c r="BV167" i="17"/>
  <c r="BW167" i="17"/>
  <c r="BY167" i="17"/>
  <c r="BZ167" i="17" s="1"/>
  <c r="CA167" i="17"/>
  <c r="CB167" i="17"/>
  <c r="CD167" i="17" s="1"/>
  <c r="CC167" i="17"/>
  <c r="CE167" i="17"/>
  <c r="CF167" i="17"/>
  <c r="CG167" i="17"/>
  <c r="CH167" i="17"/>
  <c r="CI167" i="17" s="1"/>
  <c r="CK167" i="17"/>
  <c r="A168" i="17"/>
  <c r="B168" i="17"/>
  <c r="C168" i="17"/>
  <c r="D168" i="17"/>
  <c r="E168" i="17"/>
  <c r="F168" i="17"/>
  <c r="G168" i="17"/>
  <c r="H168" i="17"/>
  <c r="I168" i="17"/>
  <c r="J168" i="17"/>
  <c r="L168" i="17"/>
  <c r="AC168" i="17" s="1"/>
  <c r="M168" i="17"/>
  <c r="N168" i="17"/>
  <c r="O168" i="17"/>
  <c r="P168" i="17"/>
  <c r="Q168" i="17"/>
  <c r="V168" i="17" s="1"/>
  <c r="R168" i="17"/>
  <c r="S168" i="17"/>
  <c r="T168" i="17"/>
  <c r="U168" i="17"/>
  <c r="W168" i="17"/>
  <c r="X168" i="17"/>
  <c r="Y168" i="17"/>
  <c r="AA168" i="17"/>
  <c r="AB168" i="17"/>
  <c r="AD168" i="17"/>
  <c r="AE168" i="17" s="1"/>
  <c r="AG168" i="17"/>
  <c r="AJ168" i="17"/>
  <c r="AK168" i="17" s="1"/>
  <c r="AM168" i="17"/>
  <c r="AN168" i="17"/>
  <c r="AP168" i="17"/>
  <c r="AT168" i="17" s="1"/>
  <c r="AR168" i="17"/>
  <c r="AS168" i="17"/>
  <c r="AX168" i="17"/>
  <c r="AY168" i="17"/>
  <c r="AZ168" i="17"/>
  <c r="BA168" i="17"/>
  <c r="BF168" i="17" s="1"/>
  <c r="BB168" i="17"/>
  <c r="BG168" i="17"/>
  <c r="BH168" i="17"/>
  <c r="BI168" i="17"/>
  <c r="AU168" i="17" s="1"/>
  <c r="BK168" i="17"/>
  <c r="BL168" i="17"/>
  <c r="BM168" i="17"/>
  <c r="BN168" i="17"/>
  <c r="AV168" i="17" s="1"/>
  <c r="BO168" i="17"/>
  <c r="BQ168" i="17"/>
  <c r="BR168" i="17"/>
  <c r="BT168" i="17"/>
  <c r="BS168" i="17" s="1"/>
  <c r="BU168" i="17"/>
  <c r="BW168" i="17"/>
  <c r="BY168" i="17"/>
  <c r="BZ168" i="17"/>
  <c r="CB168" i="17"/>
  <c r="CD168" i="17" s="1"/>
  <c r="CC168" i="17"/>
  <c r="CE168" i="17"/>
  <c r="CF168" i="17"/>
  <c r="CG168" i="17"/>
  <c r="CH168" i="17"/>
  <c r="CI168" i="17"/>
  <c r="CK168" i="17"/>
  <c r="A169" i="17"/>
  <c r="B169" i="17"/>
  <c r="C169" i="17"/>
  <c r="D169" i="17"/>
  <c r="E169" i="17"/>
  <c r="F169" i="17"/>
  <c r="G169" i="17"/>
  <c r="H169" i="17"/>
  <c r="I169" i="17"/>
  <c r="J169" i="17"/>
  <c r="L169" i="17"/>
  <c r="M169" i="17"/>
  <c r="N169" i="17" s="1"/>
  <c r="P169" i="17"/>
  <c r="V169" i="17" s="1"/>
  <c r="Q169" i="17"/>
  <c r="R169" i="17"/>
  <c r="W169" i="17"/>
  <c r="X169" i="17"/>
  <c r="Y169" i="17"/>
  <c r="Z169" i="17" s="1"/>
  <c r="AB169" i="17"/>
  <c r="AC169" i="17" s="1"/>
  <c r="AD169" i="17"/>
  <c r="AE169" i="17"/>
  <c r="AF169" i="17"/>
  <c r="AG169" i="17"/>
  <c r="AI169" i="17" s="1"/>
  <c r="AH169" i="17"/>
  <c r="AJ169" i="17"/>
  <c r="AK169" i="17"/>
  <c r="AL169" i="17"/>
  <c r="AN169" i="17"/>
  <c r="AP169" i="17"/>
  <c r="AQ169" i="17"/>
  <c r="AR169" i="17"/>
  <c r="AS169" i="17"/>
  <c r="AT169" i="17"/>
  <c r="AW169" i="17"/>
  <c r="AX169" i="17"/>
  <c r="AY169" i="17"/>
  <c r="AZ169" i="17"/>
  <c r="BA169" i="17"/>
  <c r="BB169" i="17"/>
  <c r="BF169" i="17"/>
  <c r="BG169" i="17"/>
  <c r="BH169" i="17"/>
  <c r="BI169" i="17"/>
  <c r="AU169" i="17" s="1"/>
  <c r="BK169" i="17"/>
  <c r="BL169" i="17"/>
  <c r="BM169" i="17"/>
  <c r="BN169" i="17"/>
  <c r="AV169" i="17" s="1"/>
  <c r="BO169" i="17"/>
  <c r="BP169" i="17" s="1"/>
  <c r="BR169" i="17"/>
  <c r="BQ169" i="17" s="1"/>
  <c r="BT169" i="17"/>
  <c r="BS169" i="17" s="1"/>
  <c r="BU169" i="17"/>
  <c r="BV169" i="17" s="1"/>
  <c r="BW169" i="17"/>
  <c r="BX169" i="17"/>
  <c r="BY169" i="17"/>
  <c r="BZ169" i="17"/>
  <c r="CA169" i="17"/>
  <c r="CB169" i="17"/>
  <c r="CC169" i="17"/>
  <c r="CD169" i="17"/>
  <c r="CE169" i="17"/>
  <c r="CF169" i="17"/>
  <c r="CG169" i="17"/>
  <c r="CI169" i="17" s="1"/>
  <c r="CH169" i="17"/>
  <c r="CK169" i="17"/>
  <c r="A170" i="17"/>
  <c r="B170" i="17"/>
  <c r="C170" i="17"/>
  <c r="D170" i="17"/>
  <c r="E170" i="17"/>
  <c r="F170" i="17"/>
  <c r="G170" i="17"/>
  <c r="H170" i="17"/>
  <c r="I170" i="17"/>
  <c r="J170" i="17"/>
  <c r="L170" i="17"/>
  <c r="M170" i="17"/>
  <c r="N170" i="17"/>
  <c r="O170" i="17"/>
  <c r="P170" i="17"/>
  <c r="Q170" i="17"/>
  <c r="W170" i="17"/>
  <c r="Y170" i="17"/>
  <c r="Z170" i="17"/>
  <c r="AB170" i="17"/>
  <c r="AC170" i="17"/>
  <c r="AD170" i="17"/>
  <c r="AE170" i="17"/>
  <c r="AF170" i="17"/>
  <c r="AG170" i="17"/>
  <c r="AW170" i="17" s="1"/>
  <c r="AH170" i="17"/>
  <c r="AI170" i="17"/>
  <c r="AJ170" i="17"/>
  <c r="AL170" i="17"/>
  <c r="AN170" i="17"/>
  <c r="AM170" i="17" s="1"/>
  <c r="AO170" i="17"/>
  <c r="AP170" i="17"/>
  <c r="AQ170" i="17"/>
  <c r="AR170" i="17"/>
  <c r="AS170" i="17" s="1"/>
  <c r="AU170" i="17"/>
  <c r="AX170" i="17"/>
  <c r="AY170" i="17"/>
  <c r="AZ170" i="17"/>
  <c r="BA170" i="17"/>
  <c r="BG170" i="17"/>
  <c r="BH170" i="17" s="1"/>
  <c r="BI170" i="17"/>
  <c r="BJ170" i="17"/>
  <c r="BK170" i="17"/>
  <c r="BL170" i="17"/>
  <c r="BM170" i="17"/>
  <c r="BN170" i="17" s="1"/>
  <c r="AV170" i="17" s="1"/>
  <c r="BO170" i="17"/>
  <c r="BP170" i="17"/>
  <c r="BR170" i="17"/>
  <c r="BQ170" i="17" s="1"/>
  <c r="BS170" i="17"/>
  <c r="BT170" i="17"/>
  <c r="BU170" i="17"/>
  <c r="BV170" i="17"/>
  <c r="BW170" i="17"/>
  <c r="CA170" i="17" s="1"/>
  <c r="BX170" i="17"/>
  <c r="BY170" i="17"/>
  <c r="BZ170" i="17" s="1"/>
  <c r="CB170" i="17"/>
  <c r="CD170" i="17" s="1"/>
  <c r="CC170" i="17"/>
  <c r="CE170" i="17"/>
  <c r="CF170" i="17"/>
  <c r="CG170" i="17"/>
  <c r="CH170" i="17"/>
  <c r="CI170" i="17" s="1"/>
  <c r="CK170" i="17"/>
  <c r="A171" i="17"/>
  <c r="B171" i="17"/>
  <c r="C171" i="17"/>
  <c r="D171" i="17"/>
  <c r="E171" i="17"/>
  <c r="F171" i="17"/>
  <c r="G171" i="17"/>
  <c r="H171" i="17"/>
  <c r="I171" i="17"/>
  <c r="J171" i="17"/>
  <c r="L171" i="17"/>
  <c r="M171" i="17"/>
  <c r="N171" i="17"/>
  <c r="P171" i="17"/>
  <c r="S171" i="17" s="1"/>
  <c r="Q171" i="17"/>
  <c r="T171" i="17" s="1"/>
  <c r="R171" i="17"/>
  <c r="U171" i="17"/>
  <c r="W171" i="17"/>
  <c r="Y171" i="17"/>
  <c r="AA171" i="17"/>
  <c r="AB171" i="17"/>
  <c r="AD171" i="17"/>
  <c r="AG171" i="17"/>
  <c r="AJ171" i="17"/>
  <c r="AM171" i="17"/>
  <c r="AN171" i="17"/>
  <c r="AP171" i="17"/>
  <c r="AR171" i="17"/>
  <c r="AS171" i="17"/>
  <c r="AU171" i="17"/>
  <c r="AX171" i="17"/>
  <c r="AY171" i="17"/>
  <c r="AZ171" i="17"/>
  <c r="BA171" i="17"/>
  <c r="BC171" i="17" s="1"/>
  <c r="BD171" i="17" s="1"/>
  <c r="BG171" i="17"/>
  <c r="BH171" i="17"/>
  <c r="BI171" i="17"/>
  <c r="BK171" i="17"/>
  <c r="BL171" i="17"/>
  <c r="BM171" i="17"/>
  <c r="BN171" i="17"/>
  <c r="AV171" i="17" s="1"/>
  <c r="BO171" i="17"/>
  <c r="BQ171" i="17"/>
  <c r="BR171" i="17"/>
  <c r="BT171" i="17"/>
  <c r="BU171" i="17"/>
  <c r="BW171" i="17"/>
  <c r="BY171" i="17"/>
  <c r="BZ171" i="17"/>
  <c r="CB171" i="17"/>
  <c r="CC171" i="17"/>
  <c r="CD171" i="17" s="1"/>
  <c r="CE171" i="17"/>
  <c r="CF171" i="17"/>
  <c r="CG171" i="17"/>
  <c r="CH171" i="17"/>
  <c r="CI171" i="17"/>
  <c r="CK171" i="17"/>
  <c r="A172" i="17"/>
  <c r="B172" i="17"/>
  <c r="C172" i="17"/>
  <c r="D172" i="17"/>
  <c r="E172" i="17"/>
  <c r="F172" i="17"/>
  <c r="G172" i="17"/>
  <c r="H172" i="17"/>
  <c r="I172" i="17"/>
  <c r="J172" i="17"/>
  <c r="L172" i="17"/>
  <c r="AS172" i="17" s="1"/>
  <c r="M172" i="17"/>
  <c r="P172" i="17"/>
  <c r="U172" i="17" s="1"/>
  <c r="Q172" i="17"/>
  <c r="R172" i="17"/>
  <c r="W172" i="17"/>
  <c r="X172" i="17"/>
  <c r="Y172" i="17"/>
  <c r="AB172" i="17"/>
  <c r="AC172" i="17" s="1"/>
  <c r="AD172" i="17"/>
  <c r="AF172" i="17" s="1"/>
  <c r="AE172" i="17"/>
  <c r="AG172" i="17"/>
  <c r="AH172" i="17"/>
  <c r="AJ172" i="17"/>
  <c r="AL172" i="17" s="1"/>
  <c r="AK172" i="17"/>
  <c r="AN172" i="17"/>
  <c r="AP172" i="17"/>
  <c r="AI172" i="17" s="1"/>
  <c r="AQ172" i="17"/>
  <c r="AR172" i="17"/>
  <c r="AT172" i="17"/>
  <c r="AW172" i="17"/>
  <c r="AX172" i="17"/>
  <c r="AY172" i="17"/>
  <c r="AZ172" i="17"/>
  <c r="BA172" i="17"/>
  <c r="BB172" i="17"/>
  <c r="BF172" i="17"/>
  <c r="BG172" i="17"/>
  <c r="BH172" i="17"/>
  <c r="BI172" i="17"/>
  <c r="BC172" i="17" s="1"/>
  <c r="BD172" i="17" s="1"/>
  <c r="BK172" i="17"/>
  <c r="BL172" i="17"/>
  <c r="BM172" i="17"/>
  <c r="BN172" i="17"/>
  <c r="AV172" i="17" s="1"/>
  <c r="BO172" i="17"/>
  <c r="BP172" i="17" s="1"/>
  <c r="BR172" i="17"/>
  <c r="BQ172" i="17" s="1"/>
  <c r="BT172" i="17"/>
  <c r="BS172" i="17" s="1"/>
  <c r="BU172" i="17"/>
  <c r="BV172" i="17" s="1"/>
  <c r="BW172" i="17"/>
  <c r="BX172" i="17"/>
  <c r="BY172" i="17"/>
  <c r="BZ172" i="17"/>
  <c r="CA172" i="17"/>
  <c r="CB172" i="17"/>
  <c r="CC172" i="17"/>
  <c r="CD172" i="17"/>
  <c r="CE172" i="17"/>
  <c r="CF172" i="17"/>
  <c r="CG172" i="17"/>
  <c r="CI172" i="17" s="1"/>
  <c r="CH172" i="17"/>
  <c r="CK172" i="17"/>
  <c r="A173" i="17"/>
  <c r="B173" i="17"/>
  <c r="C173" i="17"/>
  <c r="D173" i="17"/>
  <c r="E173" i="17"/>
  <c r="F173" i="17"/>
  <c r="G173" i="17"/>
  <c r="H173" i="17"/>
  <c r="I173" i="17"/>
  <c r="J173" i="17"/>
  <c r="L173" i="17"/>
  <c r="AH173" i="17" s="1"/>
  <c r="M173" i="17"/>
  <c r="O173" i="17" s="1"/>
  <c r="N173" i="17"/>
  <c r="P173" i="17"/>
  <c r="U173" i="17" s="1"/>
  <c r="Q173" i="17"/>
  <c r="W173" i="17"/>
  <c r="X173" i="17" s="1"/>
  <c r="Y173" i="17"/>
  <c r="Z173" i="17"/>
  <c r="AB173" i="17"/>
  <c r="AC173" i="17"/>
  <c r="AD173" i="17"/>
  <c r="AE173" i="17"/>
  <c r="AF173" i="17"/>
  <c r="AG173" i="17"/>
  <c r="AI173" i="17"/>
  <c r="AJ173" i="17"/>
  <c r="AL173" i="17"/>
  <c r="AN173" i="17"/>
  <c r="AM173" i="17" s="1"/>
  <c r="AO173" i="17"/>
  <c r="AP173" i="17"/>
  <c r="AT173" i="17" s="1"/>
  <c r="AQ173" i="17"/>
  <c r="AR173" i="17"/>
  <c r="AU173" i="17"/>
  <c r="AX173" i="17"/>
  <c r="AY173" i="17"/>
  <c r="AZ173" i="17"/>
  <c r="BA173" i="17"/>
  <c r="BG173" i="17"/>
  <c r="BH173" i="17" s="1"/>
  <c r="BI173" i="17"/>
  <c r="BJ173" i="17"/>
  <c r="BK173" i="17"/>
  <c r="BL173" i="17"/>
  <c r="BM173" i="17"/>
  <c r="BN173" i="17" s="1"/>
  <c r="BO173" i="17"/>
  <c r="BP173" i="17"/>
  <c r="BR173" i="17"/>
  <c r="BQ173" i="17" s="1"/>
  <c r="BS173" i="17"/>
  <c r="BT173" i="17"/>
  <c r="BU173" i="17"/>
  <c r="BV173" i="17"/>
  <c r="BW173" i="17"/>
  <c r="BY173" i="17"/>
  <c r="BZ173" i="17" s="1"/>
  <c r="CA173" i="17"/>
  <c r="CB173" i="17"/>
  <c r="CD173" i="17" s="1"/>
  <c r="CC173" i="17"/>
  <c r="CE173" i="17"/>
  <c r="CF173" i="17"/>
  <c r="CG173" i="17"/>
  <c r="CH173" i="17"/>
  <c r="CI173" i="17" s="1"/>
  <c r="CK173" i="17"/>
  <c r="A174" i="17"/>
  <c r="B174" i="17"/>
  <c r="C174" i="17"/>
  <c r="D174" i="17"/>
  <c r="E174" i="17"/>
  <c r="F174" i="17"/>
  <c r="G174" i="17"/>
  <c r="H174" i="17"/>
  <c r="I174" i="17"/>
  <c r="J174" i="17"/>
  <c r="L174" i="17"/>
  <c r="BQ174" i="17" s="1"/>
  <c r="M174" i="17"/>
  <c r="N174" i="17"/>
  <c r="P174" i="17"/>
  <c r="Q174" i="17"/>
  <c r="V174" i="17" s="1"/>
  <c r="R174" i="17"/>
  <c r="S174" i="17"/>
  <c r="T174" i="17"/>
  <c r="U174" i="17"/>
  <c r="W174" i="17"/>
  <c r="Y174" i="17"/>
  <c r="AA174" i="17"/>
  <c r="AB174" i="17"/>
  <c r="AD174" i="17"/>
  <c r="AG174" i="17"/>
  <c r="AJ174" i="17"/>
  <c r="AM174" i="17"/>
  <c r="AN174" i="17"/>
  <c r="AP174" i="17"/>
  <c r="AR174" i="17"/>
  <c r="AX174" i="17"/>
  <c r="AY174" i="17"/>
  <c r="AZ174" i="17"/>
  <c r="BA174" i="17"/>
  <c r="BF174" i="17" s="1"/>
  <c r="BG174" i="17"/>
  <c r="BH174" i="17"/>
  <c r="BI174" i="17"/>
  <c r="AU174" i="17" s="1"/>
  <c r="BK174" i="17"/>
  <c r="BL174" i="17"/>
  <c r="BM174" i="17"/>
  <c r="BN174" i="17"/>
  <c r="BO174" i="17"/>
  <c r="BR174" i="17"/>
  <c r="BT174" i="17"/>
  <c r="BU174" i="17"/>
  <c r="BW174" i="17"/>
  <c r="BY174" i="17"/>
  <c r="CB174" i="17"/>
  <c r="CC174" i="17"/>
  <c r="CE174" i="17"/>
  <c r="CF174" i="17"/>
  <c r="CG174" i="17"/>
  <c r="CH174" i="17"/>
  <c r="CI174" i="17"/>
  <c r="CK174" i="17"/>
  <c r="A175" i="17"/>
  <c r="B175" i="17"/>
  <c r="C175" i="17"/>
  <c r="D175" i="17"/>
  <c r="E175" i="17"/>
  <c r="F175" i="17"/>
  <c r="G175" i="17"/>
  <c r="H175" i="17"/>
  <c r="I175" i="17"/>
  <c r="J175" i="17"/>
  <c r="L175" i="17"/>
  <c r="M175" i="17"/>
  <c r="P175" i="17"/>
  <c r="U175" i="17" s="1"/>
  <c r="Q175" i="17"/>
  <c r="R175" i="17"/>
  <c r="S175" i="17"/>
  <c r="T175" i="17" s="1"/>
  <c r="V175" i="17"/>
  <c r="W175" i="17"/>
  <c r="X175" i="17"/>
  <c r="Y175" i="17"/>
  <c r="AB175" i="17"/>
  <c r="AC175" i="17" s="1"/>
  <c r="AD175" i="17"/>
  <c r="AE175" i="17"/>
  <c r="AF175" i="17"/>
  <c r="AG175" i="17"/>
  <c r="AI175" i="17" s="1"/>
  <c r="AH175" i="17"/>
  <c r="AJ175" i="17"/>
  <c r="AK175" i="17"/>
  <c r="AL175" i="17"/>
  <c r="AN175" i="17"/>
  <c r="AP175" i="17"/>
  <c r="AQ175" i="17"/>
  <c r="AR175" i="17"/>
  <c r="AS175" i="17"/>
  <c r="AT175" i="17"/>
  <c r="AW175" i="17"/>
  <c r="AX175" i="17"/>
  <c r="AY175" i="17"/>
  <c r="AZ175" i="17"/>
  <c r="BA175" i="17"/>
  <c r="BB175" i="17"/>
  <c r="BC175" i="17"/>
  <c r="BD175" i="17" s="1"/>
  <c r="BF175" i="17"/>
  <c r="BG175" i="17"/>
  <c r="BH175" i="17"/>
  <c r="BI175" i="17"/>
  <c r="BK175" i="17"/>
  <c r="BL175" i="17"/>
  <c r="BM175" i="17"/>
  <c r="BN175" i="17"/>
  <c r="AV175" i="17" s="1"/>
  <c r="BO175" i="17"/>
  <c r="BP175" i="17" s="1"/>
  <c r="BR175" i="17"/>
  <c r="BQ175" i="17" s="1"/>
  <c r="BT175" i="17"/>
  <c r="BS175" i="17" s="1"/>
  <c r="BU175" i="17"/>
  <c r="BV175" i="17" s="1"/>
  <c r="BW175" i="17"/>
  <c r="BX175" i="17"/>
  <c r="BY175" i="17"/>
  <c r="BZ175" i="17"/>
  <c r="CB175" i="17"/>
  <c r="CC175" i="17"/>
  <c r="CD175" i="17"/>
  <c r="CE175" i="17"/>
  <c r="CF175" i="17"/>
  <c r="CG175" i="17"/>
  <c r="CI175" i="17" s="1"/>
  <c r="CH175" i="17"/>
  <c r="CK175" i="17"/>
  <c r="A176" i="17"/>
  <c r="B176" i="17"/>
  <c r="C176" i="17"/>
  <c r="D176" i="17"/>
  <c r="E176" i="17"/>
  <c r="F176" i="17"/>
  <c r="G176" i="17"/>
  <c r="H176" i="17"/>
  <c r="I176" i="17"/>
  <c r="J176" i="17"/>
  <c r="L176" i="17"/>
  <c r="M176" i="17"/>
  <c r="N176" i="17"/>
  <c r="O176" i="17"/>
  <c r="P176" i="17"/>
  <c r="S176" i="17" s="1"/>
  <c r="Q176" i="17"/>
  <c r="T176" i="17"/>
  <c r="W176" i="17"/>
  <c r="Y176" i="17"/>
  <c r="Z176" i="17"/>
  <c r="AB176" i="17"/>
  <c r="AC176" i="17"/>
  <c r="AD176" i="17"/>
  <c r="AE176" i="17"/>
  <c r="AF176" i="17"/>
  <c r="AG176" i="17"/>
  <c r="AH176" i="17"/>
  <c r="AI176" i="17"/>
  <c r="AJ176" i="17"/>
  <c r="AL176" i="17"/>
  <c r="AN176" i="17"/>
  <c r="AM176" i="17" s="1"/>
  <c r="AO176" i="17"/>
  <c r="AP176" i="17"/>
  <c r="AQ176" i="17"/>
  <c r="AR176" i="17"/>
  <c r="AU176" i="17"/>
  <c r="AX176" i="17"/>
  <c r="AY176" i="17"/>
  <c r="AZ176" i="17"/>
  <c r="BA176" i="17"/>
  <c r="BG176" i="17"/>
  <c r="BH176" i="17" s="1"/>
  <c r="BI176" i="17"/>
  <c r="BJ176" i="17"/>
  <c r="BK176" i="17"/>
  <c r="BL176" i="17"/>
  <c r="BM176" i="17"/>
  <c r="BN176" i="17" s="1"/>
  <c r="BO176" i="17"/>
  <c r="BP176" i="17"/>
  <c r="BR176" i="17"/>
  <c r="BQ176" i="17" s="1"/>
  <c r="BS176" i="17"/>
  <c r="BT176" i="17"/>
  <c r="BU176" i="17"/>
  <c r="BV176" i="17"/>
  <c r="BW176" i="17"/>
  <c r="CA176" i="17" s="1"/>
  <c r="BX176" i="17"/>
  <c r="BY176" i="17"/>
  <c r="BZ176" i="17" s="1"/>
  <c r="CB176" i="17"/>
  <c r="CD176" i="17" s="1"/>
  <c r="CC176" i="17"/>
  <c r="CE176" i="17"/>
  <c r="CF176" i="17"/>
  <c r="CG176" i="17"/>
  <c r="CH176" i="17"/>
  <c r="CI176" i="17" s="1"/>
  <c r="CK176" i="17"/>
  <c r="A177" i="17"/>
  <c r="B177" i="17"/>
  <c r="C177" i="17"/>
  <c r="D177" i="17"/>
  <c r="E177" i="17"/>
  <c r="F177" i="17"/>
  <c r="G177" i="17"/>
  <c r="H177" i="17"/>
  <c r="I177" i="17"/>
  <c r="J177" i="17"/>
  <c r="L177" i="17"/>
  <c r="M177" i="17"/>
  <c r="N177" i="17"/>
  <c r="O177" i="17"/>
  <c r="P177" i="17"/>
  <c r="Q177" i="17"/>
  <c r="R177" i="17" s="1"/>
  <c r="U177" i="17"/>
  <c r="W177" i="17"/>
  <c r="AA177" i="17" s="1"/>
  <c r="Y177" i="17"/>
  <c r="AB177" i="17"/>
  <c r="AC177" i="17"/>
  <c r="AD177" i="17"/>
  <c r="AG177" i="17"/>
  <c r="AI177" i="17"/>
  <c r="AJ177" i="17"/>
  <c r="AM177" i="17"/>
  <c r="AN177" i="17"/>
  <c r="AO177" i="17"/>
  <c r="AP177" i="17"/>
  <c r="AR177" i="17"/>
  <c r="AS177" i="17"/>
  <c r="AU177" i="17"/>
  <c r="AX177" i="17"/>
  <c r="AY177" i="17"/>
  <c r="AZ177" i="17"/>
  <c r="BA177" i="17"/>
  <c r="BB177" i="17" s="1"/>
  <c r="BE177" i="17" s="1"/>
  <c r="BG177" i="17"/>
  <c r="BH177" i="17" s="1"/>
  <c r="BI177" i="17"/>
  <c r="BK177" i="17"/>
  <c r="BL177" i="17"/>
  <c r="BM177" i="17"/>
  <c r="BN177" i="17"/>
  <c r="AV177" i="17" s="1"/>
  <c r="BO177" i="17"/>
  <c r="BQ177" i="17"/>
  <c r="BR177" i="17"/>
  <c r="BT177" i="17"/>
  <c r="BS177" i="17" s="1"/>
  <c r="BU177" i="17"/>
  <c r="BW177" i="17"/>
  <c r="BY177" i="17"/>
  <c r="BZ177" i="17"/>
  <c r="CB177" i="17"/>
  <c r="CC177" i="17"/>
  <c r="CD177" i="17" s="1"/>
  <c r="CE177" i="17"/>
  <c r="CF177" i="17"/>
  <c r="CG177" i="17"/>
  <c r="CH177" i="17"/>
  <c r="CI177" i="17"/>
  <c r="CK177" i="17"/>
  <c r="A178" i="17"/>
  <c r="B178" i="17"/>
  <c r="C178" i="17"/>
  <c r="D178" i="17"/>
  <c r="E178" i="17"/>
  <c r="F178" i="17"/>
  <c r="G178" i="17"/>
  <c r="H178" i="17"/>
  <c r="I178" i="17"/>
  <c r="J178" i="17"/>
  <c r="L178" i="17"/>
  <c r="AS178" i="17" s="1"/>
  <c r="M178" i="17"/>
  <c r="P178" i="17"/>
  <c r="U178" i="17" s="1"/>
  <c r="Q178" i="17"/>
  <c r="R178" i="17"/>
  <c r="W178" i="17"/>
  <c r="X178" i="17"/>
  <c r="Y178" i="17"/>
  <c r="AB178" i="17"/>
  <c r="AC178" i="17" s="1"/>
  <c r="AD178" i="17"/>
  <c r="AF178" i="17" s="1"/>
  <c r="AG178" i="17"/>
  <c r="AH178" i="17"/>
  <c r="AJ178" i="17"/>
  <c r="AL178" i="17" s="1"/>
  <c r="AK178" i="17"/>
  <c r="AN178" i="17"/>
  <c r="AP178" i="17"/>
  <c r="AI178" i="17" s="1"/>
  <c r="AQ178" i="17"/>
  <c r="AR178" i="17"/>
  <c r="AT178" i="17"/>
  <c r="AW178" i="17"/>
  <c r="AX178" i="17"/>
  <c r="AY178" i="17"/>
  <c r="AZ178" i="17"/>
  <c r="BA178" i="17"/>
  <c r="BB178" i="17"/>
  <c r="BC178" i="17"/>
  <c r="BD178" i="17" s="1"/>
  <c r="BF178" i="17"/>
  <c r="BG178" i="17"/>
  <c r="BH178" i="17"/>
  <c r="BI178" i="17"/>
  <c r="BK178" i="17"/>
  <c r="BL178" i="17"/>
  <c r="BM178" i="17"/>
  <c r="BN178" i="17"/>
  <c r="AV178" i="17" s="1"/>
  <c r="BO178" i="17"/>
  <c r="BP178" i="17" s="1"/>
  <c r="BR178" i="17"/>
  <c r="BQ178" i="17" s="1"/>
  <c r="BT178" i="17"/>
  <c r="BS178" i="17" s="1"/>
  <c r="BU178" i="17"/>
  <c r="BV178" i="17" s="1"/>
  <c r="BW178" i="17"/>
  <c r="BX178" i="17"/>
  <c r="BY178" i="17"/>
  <c r="BZ178" i="17"/>
  <c r="CB178" i="17"/>
  <c r="CC178" i="17"/>
  <c r="CD178" i="17"/>
  <c r="CE178" i="17"/>
  <c r="CF178" i="17"/>
  <c r="CG178" i="17"/>
  <c r="CI178" i="17" s="1"/>
  <c r="CH178" i="17"/>
  <c r="CK178" i="17"/>
  <c r="A179" i="17"/>
  <c r="B179" i="17"/>
  <c r="C179" i="17"/>
  <c r="D179" i="17"/>
  <c r="E179" i="17"/>
  <c r="F179" i="17"/>
  <c r="G179" i="17"/>
  <c r="H179" i="17"/>
  <c r="I179" i="17"/>
  <c r="J179" i="17"/>
  <c r="L179" i="17"/>
  <c r="AH179" i="17" s="1"/>
  <c r="M179" i="17"/>
  <c r="O179" i="17" s="1"/>
  <c r="P179" i="17"/>
  <c r="Q179" i="17"/>
  <c r="S179" i="17" s="1"/>
  <c r="T179" i="17" s="1"/>
  <c r="W179" i="17"/>
  <c r="X179" i="17" s="1"/>
  <c r="Y179" i="17"/>
  <c r="Z179" i="17"/>
  <c r="AB179" i="17"/>
  <c r="AC179" i="17"/>
  <c r="AD179" i="17"/>
  <c r="AE179" i="17"/>
  <c r="AF179" i="17"/>
  <c r="AG179" i="17"/>
  <c r="AI179" i="17"/>
  <c r="AJ179" i="17"/>
  <c r="AL179" i="17"/>
  <c r="AN179" i="17"/>
  <c r="AM179" i="17" s="1"/>
  <c r="AO179" i="17"/>
  <c r="AP179" i="17"/>
  <c r="AQ179" i="17"/>
  <c r="AR179" i="17"/>
  <c r="AS179" i="17" s="1"/>
  <c r="AU179" i="17"/>
  <c r="AX179" i="17"/>
  <c r="AY179" i="17"/>
  <c r="AZ179" i="17"/>
  <c r="BA179" i="17"/>
  <c r="BC179" i="17"/>
  <c r="BD179" i="17" s="1"/>
  <c r="BG179" i="17"/>
  <c r="BH179" i="17" s="1"/>
  <c r="BI179" i="17"/>
  <c r="BJ179" i="17" s="1"/>
  <c r="BK179" i="17"/>
  <c r="BL179" i="17"/>
  <c r="BM179" i="17"/>
  <c r="BN179" i="17" s="1"/>
  <c r="BO179" i="17"/>
  <c r="BP179" i="17"/>
  <c r="BR179" i="17"/>
  <c r="BQ179" i="17" s="1"/>
  <c r="BS179" i="17"/>
  <c r="BT179" i="17"/>
  <c r="BU179" i="17"/>
  <c r="BV179" i="17" s="1"/>
  <c r="BW179" i="17"/>
  <c r="BY179" i="17"/>
  <c r="BZ179" i="17" s="1"/>
  <c r="CA179" i="17"/>
  <c r="CB179" i="17"/>
  <c r="CD179" i="17" s="1"/>
  <c r="CC179" i="17"/>
  <c r="CE179" i="17"/>
  <c r="CF179" i="17"/>
  <c r="CG179" i="17"/>
  <c r="CH179" i="17"/>
  <c r="CI179" i="17" s="1"/>
  <c r="CK179" i="17"/>
  <c r="A180" i="17"/>
  <c r="B180" i="17"/>
  <c r="C180" i="17"/>
  <c r="D180" i="17"/>
  <c r="E180" i="17"/>
  <c r="F180" i="17"/>
  <c r="G180" i="17"/>
  <c r="H180" i="17"/>
  <c r="I180" i="17"/>
  <c r="J180" i="17"/>
  <c r="L180" i="17"/>
  <c r="BQ180" i="17" s="1"/>
  <c r="M180" i="17"/>
  <c r="N180" i="17"/>
  <c r="P180" i="17"/>
  <c r="Q180" i="17"/>
  <c r="V180" i="17" s="1"/>
  <c r="R180" i="17"/>
  <c r="S180" i="17"/>
  <c r="T180" i="17"/>
  <c r="U180" i="17"/>
  <c r="W180" i="17"/>
  <c r="Y180" i="17"/>
  <c r="Z180" i="17"/>
  <c r="AA180" i="17"/>
  <c r="AB180" i="17"/>
  <c r="AD180" i="17"/>
  <c r="AF180" i="17" s="1"/>
  <c r="AG180" i="17"/>
  <c r="AJ180" i="17"/>
  <c r="AK180" i="17" s="1"/>
  <c r="AN180" i="17"/>
  <c r="AP180" i="17"/>
  <c r="AR180" i="17"/>
  <c r="AS180" i="17"/>
  <c r="AX180" i="17"/>
  <c r="AY180" i="17"/>
  <c r="AZ180" i="17"/>
  <c r="BA180" i="17"/>
  <c r="BF180" i="17" s="1"/>
  <c r="BB180" i="17"/>
  <c r="BG180" i="17"/>
  <c r="BI180" i="17"/>
  <c r="AU180" i="17" s="1"/>
  <c r="BJ180" i="17"/>
  <c r="BK180" i="17"/>
  <c r="BL180" i="17"/>
  <c r="BM180" i="17"/>
  <c r="BO180" i="17"/>
  <c r="BP180" i="17"/>
  <c r="BR180" i="17"/>
  <c r="BT180" i="17"/>
  <c r="BU180" i="17"/>
  <c r="BV180" i="17"/>
  <c r="BW180" i="17"/>
  <c r="BY180" i="17"/>
  <c r="CB180" i="17"/>
  <c r="CD180" i="17" s="1"/>
  <c r="CC180" i="17"/>
  <c r="CE180" i="17"/>
  <c r="CF180" i="17"/>
  <c r="CG180" i="17"/>
  <c r="CH180" i="17"/>
  <c r="CI180" i="17"/>
  <c r="CK180" i="17"/>
  <c r="A181" i="17"/>
  <c r="B181" i="17"/>
  <c r="C181" i="17"/>
  <c r="D181" i="17"/>
  <c r="E181" i="17"/>
  <c r="F181" i="17"/>
  <c r="G181" i="17"/>
  <c r="H181" i="17"/>
  <c r="I181" i="17"/>
  <c r="J181" i="17"/>
  <c r="L181" i="17"/>
  <c r="M181" i="17"/>
  <c r="N181" i="17" s="1"/>
  <c r="O181" i="17"/>
  <c r="P181" i="17"/>
  <c r="S181" i="17" s="1"/>
  <c r="T181" i="17" s="1"/>
  <c r="Q181" i="17"/>
  <c r="R181" i="17"/>
  <c r="W181" i="17"/>
  <c r="X181" i="17"/>
  <c r="Y181" i="17"/>
  <c r="Z181" i="17" s="1"/>
  <c r="AA181" i="17"/>
  <c r="AB181" i="17"/>
  <c r="AC181" i="17" s="1"/>
  <c r="AD181" i="17"/>
  <c r="AE181" i="17"/>
  <c r="AF181" i="17"/>
  <c r="AG181" i="17"/>
  <c r="AI181" i="17" s="1"/>
  <c r="AH181" i="17"/>
  <c r="AJ181" i="17"/>
  <c r="AK181" i="17"/>
  <c r="AL181" i="17"/>
  <c r="AN181" i="17"/>
  <c r="AO181" i="17" s="1"/>
  <c r="AP181" i="17"/>
  <c r="AQ181" i="17"/>
  <c r="AR181" i="17"/>
  <c r="AS181" i="17"/>
  <c r="AT181" i="17"/>
  <c r="AW181" i="17"/>
  <c r="AX181" i="17"/>
  <c r="AY181" i="17"/>
  <c r="AZ181" i="17"/>
  <c r="BA181" i="17"/>
  <c r="BB181" i="17"/>
  <c r="BC181" i="17"/>
  <c r="BD181" i="17" s="1"/>
  <c r="BE181" i="17"/>
  <c r="BF181" i="17"/>
  <c r="BG181" i="17"/>
  <c r="BH181" i="17"/>
  <c r="BI181" i="17"/>
  <c r="BK181" i="17"/>
  <c r="BL181" i="17"/>
  <c r="BM181" i="17"/>
  <c r="BN181" i="17"/>
  <c r="BO181" i="17"/>
  <c r="BP181" i="17" s="1"/>
  <c r="BR181" i="17"/>
  <c r="BQ181" i="17" s="1"/>
  <c r="BT181" i="17"/>
  <c r="BS181" i="17" s="1"/>
  <c r="BU181" i="17"/>
  <c r="BV181" i="17" s="1"/>
  <c r="BW181" i="17"/>
  <c r="CA181" i="17" s="1"/>
  <c r="BX181" i="17"/>
  <c r="BY181" i="17"/>
  <c r="BZ181" i="17"/>
  <c r="CB181" i="17"/>
  <c r="CC181" i="17"/>
  <c r="CD181" i="17"/>
  <c r="CE181" i="17"/>
  <c r="CF181" i="17"/>
  <c r="CG181" i="17"/>
  <c r="CH181" i="17"/>
  <c r="CI181" i="17"/>
  <c r="CK181" i="17"/>
  <c r="A182" i="17"/>
  <c r="B182" i="17"/>
  <c r="C182" i="17"/>
  <c r="D182" i="17"/>
  <c r="E182" i="17"/>
  <c r="F182" i="17"/>
  <c r="G182" i="17"/>
  <c r="H182" i="17"/>
  <c r="I182" i="17"/>
  <c r="J182" i="17"/>
  <c r="L182" i="17"/>
  <c r="M182" i="17"/>
  <c r="N182" i="17"/>
  <c r="O182" i="17"/>
  <c r="P182" i="17"/>
  <c r="Q182" i="17"/>
  <c r="R182" i="17" s="1"/>
  <c r="AK182" i="17" s="1"/>
  <c r="W182" i="17"/>
  <c r="Y182" i="17"/>
  <c r="Z182" i="17"/>
  <c r="AB182" i="17"/>
  <c r="AC182" i="17" s="1"/>
  <c r="AD182" i="17"/>
  <c r="AE182" i="17"/>
  <c r="AF182" i="17"/>
  <c r="AG182" i="17"/>
  <c r="AW182" i="17" s="1"/>
  <c r="AH182" i="17"/>
  <c r="AI182" i="17"/>
  <c r="AJ182" i="17"/>
  <c r="AL182" i="17"/>
  <c r="AN182" i="17"/>
  <c r="AM182" i="17" s="1"/>
  <c r="AO182" i="17"/>
  <c r="AP182" i="17"/>
  <c r="AQ182" i="17"/>
  <c r="AR182" i="17"/>
  <c r="AS182" i="17" s="1"/>
  <c r="AT182" i="17"/>
  <c r="AX182" i="17"/>
  <c r="AY182" i="17"/>
  <c r="AZ182" i="17"/>
  <c r="BA182" i="17"/>
  <c r="BG182" i="17"/>
  <c r="BH182" i="17" s="1"/>
  <c r="BI182" i="17"/>
  <c r="BJ182" i="17"/>
  <c r="BK182" i="17"/>
  <c r="BL182" i="17"/>
  <c r="BM182" i="17"/>
  <c r="BN182" i="17" s="1"/>
  <c r="BO182" i="17"/>
  <c r="BP182" i="17"/>
  <c r="BR182" i="17"/>
  <c r="BQ182" i="17" s="1"/>
  <c r="BS182" i="17"/>
  <c r="BT182" i="17"/>
  <c r="BU182" i="17"/>
  <c r="BV182" i="17"/>
  <c r="BW182" i="17"/>
  <c r="CA182" i="17" s="1"/>
  <c r="BX182" i="17"/>
  <c r="BY182" i="17"/>
  <c r="BZ182" i="17" s="1"/>
  <c r="CB182" i="17"/>
  <c r="CC182" i="17"/>
  <c r="CD182" i="17"/>
  <c r="CE182" i="17"/>
  <c r="CF182" i="17"/>
  <c r="CG182" i="17"/>
  <c r="CH182" i="17"/>
  <c r="CI182" i="17" s="1"/>
  <c r="CK182" i="17"/>
  <c r="A183" i="17"/>
  <c r="B183" i="17"/>
  <c r="C183" i="17"/>
  <c r="D183" i="17"/>
  <c r="E183" i="17"/>
  <c r="F183" i="17"/>
  <c r="G183" i="17"/>
  <c r="H183" i="17"/>
  <c r="I183" i="17"/>
  <c r="J183" i="17"/>
  <c r="L183" i="17"/>
  <c r="M183" i="17"/>
  <c r="N183" i="17"/>
  <c r="P183" i="17"/>
  <c r="S183" i="17" s="1"/>
  <c r="Q183" i="17"/>
  <c r="R183" i="17"/>
  <c r="U183" i="17"/>
  <c r="W183" i="17"/>
  <c r="Y183" i="17"/>
  <c r="AA183" i="17"/>
  <c r="AB183" i="17"/>
  <c r="AC183" i="17"/>
  <c r="AD183" i="17"/>
  <c r="AG183" i="17"/>
  <c r="AJ183" i="17"/>
  <c r="AM183" i="17"/>
  <c r="AN183" i="17"/>
  <c r="AP183" i="17"/>
  <c r="AI183" i="17" s="1"/>
  <c r="AR183" i="17"/>
  <c r="AS183" i="17"/>
  <c r="AT183" i="17"/>
  <c r="AU183" i="17"/>
  <c r="AX183" i="17"/>
  <c r="AY183" i="17"/>
  <c r="AZ183" i="17"/>
  <c r="BA183" i="17"/>
  <c r="BC183" i="17" s="1"/>
  <c r="BD183" i="17" s="1"/>
  <c r="BG183" i="17"/>
  <c r="BH183" i="17"/>
  <c r="BI183" i="17"/>
  <c r="BK183" i="17"/>
  <c r="BL183" i="17"/>
  <c r="BM183" i="17"/>
  <c r="BN183" i="17" s="1"/>
  <c r="AV183" i="17" s="1"/>
  <c r="BO183" i="17"/>
  <c r="BQ183" i="17"/>
  <c r="BR183" i="17"/>
  <c r="BT183" i="17"/>
  <c r="BS183" i="17" s="1"/>
  <c r="BU183" i="17"/>
  <c r="BW183" i="17"/>
  <c r="CA183" i="17" s="1"/>
  <c r="BX183" i="17"/>
  <c r="BY183" i="17"/>
  <c r="CB183" i="17"/>
  <c r="CC183" i="17"/>
  <c r="CD183" i="17"/>
  <c r="CE183" i="17"/>
  <c r="CF183" i="17"/>
  <c r="CG183" i="17"/>
  <c r="CH183" i="17"/>
  <c r="CI183" i="17"/>
  <c r="CK183" i="17"/>
  <c r="A184" i="17"/>
  <c r="B184" i="17"/>
  <c r="C184" i="17"/>
  <c r="D184" i="17"/>
  <c r="E184" i="17"/>
  <c r="F184" i="17"/>
  <c r="G184" i="17"/>
  <c r="H184" i="17"/>
  <c r="I184" i="17"/>
  <c r="J184" i="17"/>
  <c r="L184" i="17"/>
  <c r="AS184" i="17" s="1"/>
  <c r="M184" i="17"/>
  <c r="P184" i="17"/>
  <c r="Q184" i="17"/>
  <c r="R184" i="17" s="1"/>
  <c r="AK184" i="17" s="1"/>
  <c r="S184" i="17"/>
  <c r="V184" i="17"/>
  <c r="W184" i="17"/>
  <c r="Y184" i="17"/>
  <c r="AB184" i="17"/>
  <c r="AD184" i="17"/>
  <c r="AF184" i="17" s="1"/>
  <c r="AG184" i="17"/>
  <c r="AJ184" i="17"/>
  <c r="AL184" i="17" s="1"/>
  <c r="AN184" i="17"/>
  <c r="AP184" i="17"/>
  <c r="AI184" i="17" s="1"/>
  <c r="AR184" i="17"/>
  <c r="AT184" i="17"/>
  <c r="AX184" i="17"/>
  <c r="AY184" i="17"/>
  <c r="AZ184" i="17"/>
  <c r="BA184" i="17"/>
  <c r="BC184" i="17"/>
  <c r="BF184" i="17"/>
  <c r="BG184" i="17"/>
  <c r="BH184" i="17"/>
  <c r="BI184" i="17"/>
  <c r="BK184" i="17"/>
  <c r="BL184" i="17"/>
  <c r="BM184" i="17"/>
  <c r="BO184" i="17"/>
  <c r="BP184" i="17" s="1"/>
  <c r="BR184" i="17"/>
  <c r="BT184" i="17"/>
  <c r="BS184" i="17" s="1"/>
  <c r="BU184" i="17"/>
  <c r="BW184" i="17"/>
  <c r="BX184" i="17"/>
  <c r="BY184" i="17"/>
  <c r="CA184" i="17"/>
  <c r="CB184" i="17"/>
  <c r="CC184" i="17"/>
  <c r="CD184" i="17"/>
  <c r="CE184" i="17"/>
  <c r="CF184" i="17"/>
  <c r="CG184" i="17"/>
  <c r="CI184" i="17" s="1"/>
  <c r="CH184" i="17"/>
  <c r="CK184" i="17"/>
  <c r="A185" i="17"/>
  <c r="B185" i="17"/>
  <c r="C185" i="17"/>
  <c r="D185" i="17"/>
  <c r="E185" i="17"/>
  <c r="F185" i="17"/>
  <c r="G185" i="17"/>
  <c r="H185" i="17"/>
  <c r="I185" i="17"/>
  <c r="J185" i="17"/>
  <c r="L185" i="17"/>
  <c r="AC185" i="17" s="1"/>
  <c r="M185" i="17"/>
  <c r="N185" i="17"/>
  <c r="P185" i="17"/>
  <c r="U185" i="17" s="1"/>
  <c r="Q185" i="17"/>
  <c r="V185" i="17" s="1"/>
  <c r="S185" i="17"/>
  <c r="W185" i="17"/>
  <c r="Y185" i="17"/>
  <c r="AB185" i="17"/>
  <c r="AD185" i="17"/>
  <c r="AF185" i="17" s="1"/>
  <c r="AG185" i="17"/>
  <c r="AJ185" i="17"/>
  <c r="AN185" i="17"/>
  <c r="AP185" i="17"/>
  <c r="AT185" i="17" s="1"/>
  <c r="AR185" i="17"/>
  <c r="AW185" i="17"/>
  <c r="AX185" i="17"/>
  <c r="AY185" i="17"/>
  <c r="AZ185" i="17"/>
  <c r="BA185" i="17"/>
  <c r="BF185" i="17" s="1"/>
  <c r="BC185" i="17"/>
  <c r="BD185" i="17"/>
  <c r="BG185" i="17"/>
  <c r="BI185" i="17"/>
  <c r="AU185" i="17" s="1"/>
  <c r="BK185" i="17"/>
  <c r="BL185" i="17"/>
  <c r="BM185" i="17"/>
  <c r="BO185" i="17"/>
  <c r="BP185" i="17" s="1"/>
  <c r="BR185" i="17"/>
  <c r="BS185" i="17"/>
  <c r="BT185" i="17"/>
  <c r="BU185" i="17"/>
  <c r="CA185" i="17" s="1"/>
  <c r="BW185" i="17"/>
  <c r="BY185" i="17"/>
  <c r="BZ185" i="17"/>
  <c r="CB185" i="17"/>
  <c r="CD185" i="17" s="1"/>
  <c r="CC185" i="17"/>
  <c r="CE185" i="17"/>
  <c r="CF185" i="17"/>
  <c r="CG185" i="17"/>
  <c r="CH185" i="17"/>
  <c r="CK185" i="17"/>
  <c r="A186" i="17"/>
  <c r="B186" i="17"/>
  <c r="C186" i="17"/>
  <c r="D186" i="17"/>
  <c r="E186" i="17"/>
  <c r="F186" i="17"/>
  <c r="G186" i="17"/>
  <c r="H186" i="17"/>
  <c r="I186" i="17"/>
  <c r="J186" i="17"/>
  <c r="L186" i="17"/>
  <c r="M186" i="17"/>
  <c r="N186" i="17" s="1"/>
  <c r="O186" i="17"/>
  <c r="P186" i="17"/>
  <c r="Q186" i="17"/>
  <c r="V186" i="17" s="1"/>
  <c r="R186" i="17"/>
  <c r="S186" i="17"/>
  <c r="U186" i="17"/>
  <c r="W186" i="17"/>
  <c r="X186" i="17" s="1"/>
  <c r="Y186" i="17"/>
  <c r="AA186" i="17" s="1"/>
  <c r="Z186" i="17"/>
  <c r="AB186" i="17"/>
  <c r="AC186" i="17"/>
  <c r="AD186" i="17"/>
  <c r="AE186" i="17"/>
  <c r="AG186" i="17"/>
  <c r="AJ186" i="17"/>
  <c r="AK186" i="17" s="1"/>
  <c r="AM186" i="17"/>
  <c r="AN186" i="17"/>
  <c r="AO186" i="17"/>
  <c r="AP186" i="17"/>
  <c r="AT186" i="17" s="1"/>
  <c r="AR186" i="17"/>
  <c r="AS186" i="17"/>
  <c r="AW186" i="17"/>
  <c r="AX186" i="17"/>
  <c r="AY186" i="17"/>
  <c r="AZ186" i="17"/>
  <c r="BA186" i="17"/>
  <c r="BF186" i="17" s="1"/>
  <c r="BB186" i="17"/>
  <c r="BE186" i="17" s="1"/>
  <c r="BC186" i="17"/>
  <c r="BD186" i="17" s="1"/>
  <c r="BG186" i="17"/>
  <c r="BH186" i="17" s="1"/>
  <c r="BI186" i="17"/>
  <c r="AU186" i="17" s="1"/>
  <c r="BJ186" i="17"/>
  <c r="BK186" i="17"/>
  <c r="BL186" i="17"/>
  <c r="BM186" i="17"/>
  <c r="BN186" i="17" s="1"/>
  <c r="AV186" i="17" s="1"/>
  <c r="BO186" i="17"/>
  <c r="BP186" i="17"/>
  <c r="BQ186" i="17"/>
  <c r="BR186" i="17"/>
  <c r="BS186" i="17"/>
  <c r="BT186" i="17"/>
  <c r="BU186" i="17"/>
  <c r="BV186" i="17"/>
  <c r="BW186" i="17"/>
  <c r="BX186" i="17" s="1"/>
  <c r="BY186" i="17"/>
  <c r="BZ186" i="17"/>
  <c r="CB186" i="17"/>
  <c r="CC186" i="17"/>
  <c r="CE186" i="17"/>
  <c r="CF186" i="17"/>
  <c r="CG186" i="17"/>
  <c r="CH186" i="17"/>
  <c r="CI186" i="17"/>
  <c r="CK186" i="17"/>
  <c r="A187" i="17"/>
  <c r="B187" i="17"/>
  <c r="C187" i="17"/>
  <c r="D187" i="17"/>
  <c r="E187" i="17"/>
  <c r="F187" i="17"/>
  <c r="G187" i="17"/>
  <c r="H187" i="17"/>
  <c r="I187" i="17"/>
  <c r="J187" i="17"/>
  <c r="L187" i="17"/>
  <c r="AQ187" i="17" s="1"/>
  <c r="M187" i="17"/>
  <c r="N187" i="17" s="1"/>
  <c r="P187" i="17"/>
  <c r="U187" i="17" s="1"/>
  <c r="Q187" i="17"/>
  <c r="R187" i="17"/>
  <c r="S187" i="17"/>
  <c r="T187" i="17" s="1"/>
  <c r="V187" i="17"/>
  <c r="W187" i="17"/>
  <c r="X187" i="17"/>
  <c r="Y187" i="17"/>
  <c r="Z187" i="17" s="1"/>
  <c r="AB187" i="17"/>
  <c r="AD187" i="17"/>
  <c r="AE187" i="17"/>
  <c r="AF187" i="17"/>
  <c r="AG187" i="17"/>
  <c r="AJ187" i="17"/>
  <c r="AK187" i="17" s="1"/>
  <c r="AL187" i="17"/>
  <c r="AM187" i="17"/>
  <c r="AN187" i="17"/>
  <c r="AP187" i="17"/>
  <c r="AR187" i="17"/>
  <c r="AS187" i="17"/>
  <c r="AT187" i="17"/>
  <c r="AX187" i="17"/>
  <c r="AY187" i="17"/>
  <c r="AZ187" i="17"/>
  <c r="BA187" i="17"/>
  <c r="BF187" i="17"/>
  <c r="BG187" i="17"/>
  <c r="BI187" i="17"/>
  <c r="AU187" i="17" s="1"/>
  <c r="BK187" i="17"/>
  <c r="BL187" i="17"/>
  <c r="BM187" i="17"/>
  <c r="BO187" i="17"/>
  <c r="BR187" i="17"/>
  <c r="BQ187" i="17" s="1"/>
  <c r="BT187" i="17"/>
  <c r="BS187" i="17" s="1"/>
  <c r="BU187" i="17"/>
  <c r="BW187" i="17"/>
  <c r="BX187" i="17" s="1"/>
  <c r="BY187" i="17"/>
  <c r="BZ187" i="17"/>
  <c r="CB187" i="17"/>
  <c r="CD187" i="17" s="1"/>
  <c r="CC187" i="17"/>
  <c r="CE187" i="17"/>
  <c r="CF187" i="17"/>
  <c r="CG187" i="17"/>
  <c r="CH187" i="17"/>
  <c r="CI187" i="17"/>
  <c r="CK187" i="17"/>
  <c r="A188" i="17"/>
  <c r="B188" i="17"/>
  <c r="C188" i="17"/>
  <c r="D188" i="17"/>
  <c r="E188" i="17"/>
  <c r="F188" i="17"/>
  <c r="G188" i="17"/>
  <c r="H188" i="17"/>
  <c r="I188" i="17"/>
  <c r="J188" i="17"/>
  <c r="L188" i="17"/>
  <c r="M188" i="17"/>
  <c r="N188" i="17" s="1"/>
  <c r="P188" i="17"/>
  <c r="U188" i="17" s="1"/>
  <c r="Q188" i="17"/>
  <c r="R188" i="17" s="1"/>
  <c r="S188" i="17"/>
  <c r="T188" i="17"/>
  <c r="W188" i="17"/>
  <c r="X188" i="17" s="1"/>
  <c r="Y188" i="17"/>
  <c r="Z188" i="17"/>
  <c r="AA188" i="17"/>
  <c r="AB188" i="17"/>
  <c r="AC188" i="17" s="1"/>
  <c r="AD188" i="17"/>
  <c r="AE188" i="17"/>
  <c r="AF188" i="17"/>
  <c r="AG188" i="17"/>
  <c r="AW188" i="17" s="1"/>
  <c r="AJ188" i="17"/>
  <c r="AK188" i="17"/>
  <c r="AL188" i="17"/>
  <c r="AM188" i="17"/>
  <c r="AN188" i="17"/>
  <c r="AO188" i="17" s="1"/>
  <c r="AP188" i="17"/>
  <c r="AQ188" i="17"/>
  <c r="AR188" i="17"/>
  <c r="AS188" i="17"/>
  <c r="AX188" i="17"/>
  <c r="AY188" i="17"/>
  <c r="AZ188" i="17"/>
  <c r="BA188" i="17"/>
  <c r="BB188" i="17" s="1"/>
  <c r="BE188" i="17" s="1"/>
  <c r="BF188" i="17"/>
  <c r="BG188" i="17"/>
  <c r="BH188" i="17" s="1"/>
  <c r="BI188" i="17"/>
  <c r="AU188" i="17" s="1"/>
  <c r="BJ188" i="17"/>
  <c r="BK188" i="17"/>
  <c r="BL188" i="17"/>
  <c r="BM188" i="17"/>
  <c r="BN188" i="17" s="1"/>
  <c r="AV188" i="17" s="1"/>
  <c r="BO188" i="17"/>
  <c r="BP188" i="17"/>
  <c r="BR188" i="17"/>
  <c r="BQ188" i="17" s="1"/>
  <c r="BS188" i="17"/>
  <c r="BT188" i="17"/>
  <c r="BU188" i="17"/>
  <c r="BV188" i="17"/>
  <c r="BW188" i="17"/>
  <c r="CA188" i="17" s="1"/>
  <c r="BX188" i="17"/>
  <c r="BY188" i="17"/>
  <c r="BZ188" i="17" s="1"/>
  <c r="CB188" i="17"/>
  <c r="CC188" i="17"/>
  <c r="CD188" i="17"/>
  <c r="CE188" i="17"/>
  <c r="CF188" i="17"/>
  <c r="CG188" i="17"/>
  <c r="CH188" i="17"/>
  <c r="CI188" i="17" s="1"/>
  <c r="CK188" i="17"/>
  <c r="A189" i="17"/>
  <c r="B189" i="17"/>
  <c r="C189" i="17"/>
  <c r="D189" i="17"/>
  <c r="E189" i="17"/>
  <c r="F189" i="17"/>
  <c r="G189" i="17"/>
  <c r="H189" i="17"/>
  <c r="I189" i="17"/>
  <c r="J189" i="17"/>
  <c r="L189" i="17"/>
  <c r="BH189" i="17" s="1"/>
  <c r="M189" i="17"/>
  <c r="N189" i="17" s="1"/>
  <c r="P189" i="17"/>
  <c r="Q189" i="17"/>
  <c r="R189" i="17" s="1"/>
  <c r="W189" i="17"/>
  <c r="Y189" i="17"/>
  <c r="AB189" i="17"/>
  <c r="AC189" i="17"/>
  <c r="AD189" i="17"/>
  <c r="AG189" i="17"/>
  <c r="AH189" i="17" s="1"/>
  <c r="AI189" i="17"/>
  <c r="AJ189" i="17"/>
  <c r="AN189" i="17"/>
  <c r="AO189" i="17"/>
  <c r="AP189" i="17"/>
  <c r="AR189" i="17"/>
  <c r="AU189" i="17"/>
  <c r="AX189" i="17"/>
  <c r="AY189" i="17"/>
  <c r="AZ189" i="17"/>
  <c r="BA189" i="17"/>
  <c r="BG189" i="17"/>
  <c r="BI189" i="17"/>
  <c r="BJ189" i="17" s="1"/>
  <c r="BK189" i="17"/>
  <c r="BL189" i="17"/>
  <c r="BM189" i="17"/>
  <c r="BN189" i="17" s="1"/>
  <c r="BO189" i="17"/>
  <c r="BR189" i="17"/>
  <c r="BT189" i="17"/>
  <c r="BS189" i="17" s="1"/>
  <c r="BU189" i="17"/>
  <c r="BV189" i="17" s="1"/>
  <c r="BW189" i="17"/>
  <c r="BY189" i="17"/>
  <c r="BZ189" i="17"/>
  <c r="CB189" i="17"/>
  <c r="CC189" i="17"/>
  <c r="CD189" i="17" s="1"/>
  <c r="CE189" i="17"/>
  <c r="CF189" i="17"/>
  <c r="CG189" i="17"/>
  <c r="CH189" i="17"/>
  <c r="CI189" i="17"/>
  <c r="CK189" i="17"/>
  <c r="A190" i="17"/>
  <c r="B190" i="17"/>
  <c r="C190" i="17"/>
  <c r="D190" i="17"/>
  <c r="E190" i="17"/>
  <c r="F190" i="17"/>
  <c r="G190" i="17"/>
  <c r="H190" i="17"/>
  <c r="I190" i="17"/>
  <c r="J190" i="17"/>
  <c r="L190" i="17"/>
  <c r="M190" i="17"/>
  <c r="P190" i="17"/>
  <c r="U190" i="17" s="1"/>
  <c r="Q190" i="17"/>
  <c r="R190" i="17"/>
  <c r="S190" i="17"/>
  <c r="V190" i="17"/>
  <c r="W190" i="17"/>
  <c r="X190" i="17"/>
  <c r="Y190" i="17"/>
  <c r="AB190" i="17"/>
  <c r="AC190" i="17" s="1"/>
  <c r="AD190" i="17"/>
  <c r="AE190" i="17" s="1"/>
  <c r="AG190" i="17"/>
  <c r="AJ190" i="17"/>
  <c r="AL190" i="17" s="1"/>
  <c r="AN190" i="17"/>
  <c r="AO190" i="17" s="1"/>
  <c r="AP190" i="17"/>
  <c r="AQ190" i="17" s="1"/>
  <c r="AR190" i="17"/>
  <c r="AS190" i="17" s="1"/>
  <c r="AV190" i="17" s="1"/>
  <c r="AX190" i="17"/>
  <c r="AY190" i="17"/>
  <c r="AZ190" i="17"/>
  <c r="BA190" i="17"/>
  <c r="BB190" i="17"/>
  <c r="BE190" i="17" s="1"/>
  <c r="BF190" i="17"/>
  <c r="BG190" i="17"/>
  <c r="BH190" i="17"/>
  <c r="BI190" i="17"/>
  <c r="BK190" i="17"/>
  <c r="BL190" i="17"/>
  <c r="BM190" i="17"/>
  <c r="BN190" i="17"/>
  <c r="BO190" i="17"/>
  <c r="BP190" i="17" s="1"/>
  <c r="BR190" i="17"/>
  <c r="BQ190" i="17" s="1"/>
  <c r="BT190" i="17"/>
  <c r="BS190" i="17" s="1"/>
  <c r="BU190" i="17"/>
  <c r="BV190" i="17" s="1"/>
  <c r="BW190" i="17"/>
  <c r="BY190" i="17"/>
  <c r="BZ190" i="17"/>
  <c r="CA190" i="17"/>
  <c r="CB190" i="17"/>
  <c r="CC190" i="17"/>
  <c r="CD190" i="17"/>
  <c r="CE190" i="17"/>
  <c r="CF190" i="17"/>
  <c r="CG190" i="17"/>
  <c r="CH190" i="17"/>
  <c r="CK190" i="17"/>
  <c r="A191" i="17"/>
  <c r="B191" i="17"/>
  <c r="C191" i="17"/>
  <c r="D191" i="17"/>
  <c r="E191" i="17"/>
  <c r="F191" i="17"/>
  <c r="G191" i="17"/>
  <c r="H191" i="17"/>
  <c r="I191" i="17"/>
  <c r="J191" i="17"/>
  <c r="L191" i="17"/>
  <c r="AM191" i="17" s="1"/>
  <c r="M191" i="17"/>
  <c r="O191" i="17" s="1"/>
  <c r="N191" i="17"/>
  <c r="P191" i="17"/>
  <c r="Q191" i="17"/>
  <c r="R191" i="17" s="1"/>
  <c r="S191" i="17"/>
  <c r="T191" i="17" s="1"/>
  <c r="W191" i="17"/>
  <c r="X191" i="17" s="1"/>
  <c r="Y191" i="17"/>
  <c r="AA191" i="17" s="1"/>
  <c r="Z191" i="17"/>
  <c r="AB191" i="17"/>
  <c r="AC191" i="17"/>
  <c r="AD191" i="17"/>
  <c r="AE191" i="17"/>
  <c r="AF191" i="17"/>
  <c r="AG191" i="17"/>
  <c r="AH191" i="17" s="1"/>
  <c r="AI191" i="17"/>
  <c r="AJ191" i="17"/>
  <c r="AK191" i="17"/>
  <c r="AL191" i="17"/>
  <c r="AN191" i="17"/>
  <c r="AO191" i="17"/>
  <c r="AP191" i="17"/>
  <c r="AQ191" i="17"/>
  <c r="AR191" i="17"/>
  <c r="AW191" i="17" s="1"/>
  <c r="AX191" i="17"/>
  <c r="AY191" i="17"/>
  <c r="AZ191" i="17"/>
  <c r="BA191" i="17"/>
  <c r="BB191" i="17" s="1"/>
  <c r="BE191" i="17" s="1"/>
  <c r="BG191" i="17"/>
  <c r="BH191" i="17" s="1"/>
  <c r="BI191" i="17"/>
  <c r="AU191" i="17" s="1"/>
  <c r="BK191" i="17"/>
  <c r="BL191" i="17"/>
  <c r="BM191" i="17"/>
  <c r="BN191" i="17" s="1"/>
  <c r="BO191" i="17"/>
  <c r="BP191" i="17"/>
  <c r="BR191" i="17"/>
  <c r="BQ191" i="17" s="1"/>
  <c r="BS191" i="17"/>
  <c r="BT191" i="17"/>
  <c r="BU191" i="17"/>
  <c r="BV191" i="17"/>
  <c r="BW191" i="17"/>
  <c r="BY191" i="17"/>
  <c r="BZ191" i="17" s="1"/>
  <c r="CA191" i="17"/>
  <c r="CB191" i="17"/>
  <c r="CD191" i="17" s="1"/>
  <c r="CC191" i="17"/>
  <c r="CE191" i="17"/>
  <c r="CF191" i="17"/>
  <c r="CG191" i="17"/>
  <c r="CH191" i="17"/>
  <c r="CI191" i="17" s="1"/>
  <c r="CK191" i="17"/>
  <c r="A192" i="17"/>
  <c r="B192" i="17"/>
  <c r="C192" i="17"/>
  <c r="D192" i="17"/>
  <c r="E192" i="17"/>
  <c r="F192" i="17"/>
  <c r="G192" i="17"/>
  <c r="H192" i="17"/>
  <c r="I192" i="17"/>
  <c r="J192" i="17"/>
  <c r="L192" i="17"/>
  <c r="M192" i="17"/>
  <c r="N192" i="17"/>
  <c r="P192" i="17"/>
  <c r="Q192" i="17"/>
  <c r="S192" i="17" s="1"/>
  <c r="T192" i="17"/>
  <c r="U192" i="17"/>
  <c r="W192" i="17"/>
  <c r="Y192" i="17"/>
  <c r="AA192" i="17"/>
  <c r="AB192" i="17"/>
  <c r="AD192" i="17"/>
  <c r="AG192" i="17"/>
  <c r="AJ192" i="17"/>
  <c r="AN192" i="17"/>
  <c r="AP192" i="17"/>
  <c r="AR192" i="17"/>
  <c r="AU192" i="17" s="1"/>
  <c r="AS192" i="17"/>
  <c r="AX192" i="17"/>
  <c r="AY192" i="17"/>
  <c r="AZ192" i="17"/>
  <c r="BA192" i="17"/>
  <c r="BC192" i="17" s="1"/>
  <c r="BB192" i="17"/>
  <c r="BG192" i="17"/>
  <c r="BI192" i="17"/>
  <c r="BK192" i="17"/>
  <c r="BL192" i="17"/>
  <c r="BM192" i="17"/>
  <c r="BO192" i="17"/>
  <c r="BP192" i="17"/>
  <c r="BR192" i="17"/>
  <c r="BT192" i="17"/>
  <c r="BU192" i="17"/>
  <c r="BW192" i="17"/>
  <c r="BY192" i="17"/>
  <c r="CB192" i="17"/>
  <c r="CC192" i="17"/>
  <c r="CE192" i="17"/>
  <c r="CF192" i="17"/>
  <c r="CG192" i="17"/>
  <c r="CH192" i="17"/>
  <c r="CI192" i="17"/>
  <c r="CK192" i="17"/>
  <c r="A193" i="17"/>
  <c r="B193" i="17"/>
  <c r="C193" i="17"/>
  <c r="D193" i="17"/>
  <c r="E193" i="17"/>
  <c r="F193" i="17"/>
  <c r="G193" i="17"/>
  <c r="H193" i="17"/>
  <c r="I193" i="17"/>
  <c r="J193" i="17"/>
  <c r="L193" i="17"/>
  <c r="M193" i="17"/>
  <c r="N193" i="17" s="1"/>
  <c r="P193" i="17"/>
  <c r="Q193" i="17"/>
  <c r="W193" i="17"/>
  <c r="X193" i="17" s="1"/>
  <c r="Y193" i="17"/>
  <c r="AB193" i="17"/>
  <c r="AC193" i="17" s="1"/>
  <c r="AD193" i="17"/>
  <c r="AF193" i="17" s="1"/>
  <c r="AE193" i="17"/>
  <c r="AG193" i="17"/>
  <c r="AI193" i="17" s="1"/>
  <c r="AH193" i="17"/>
  <c r="AJ193" i="17"/>
  <c r="AL193" i="17" s="1"/>
  <c r="AN193" i="17"/>
  <c r="AO193" i="17" s="1"/>
  <c r="AP193" i="17"/>
  <c r="AQ193" i="17"/>
  <c r="AR193" i="17"/>
  <c r="AS193" i="17"/>
  <c r="AT193" i="17"/>
  <c r="AW193" i="17"/>
  <c r="AX193" i="17"/>
  <c r="AY193" i="17"/>
  <c r="AZ193" i="17"/>
  <c r="BA193" i="17"/>
  <c r="BB193" i="17" s="1"/>
  <c r="BE193" i="17"/>
  <c r="BF193" i="17"/>
  <c r="BG193" i="17"/>
  <c r="BH193" i="17" s="1"/>
  <c r="BI193" i="17"/>
  <c r="BC193" i="17" s="1"/>
  <c r="BD193" i="17" s="1"/>
  <c r="BK193" i="17"/>
  <c r="BL193" i="17"/>
  <c r="BM193" i="17"/>
  <c r="BN193" i="17" s="1"/>
  <c r="AV193" i="17" s="1"/>
  <c r="BO193" i="17"/>
  <c r="BP193" i="17" s="1"/>
  <c r="BQ193" i="17"/>
  <c r="BR193" i="17"/>
  <c r="BS193" i="17"/>
  <c r="BT193" i="17"/>
  <c r="BU193" i="17"/>
  <c r="BV193" i="17" s="1"/>
  <c r="BW193" i="17"/>
  <c r="BX193" i="17"/>
  <c r="BY193" i="17"/>
  <c r="BZ193" i="17" s="1"/>
  <c r="CB193" i="17"/>
  <c r="CC193" i="17"/>
  <c r="CD193" i="17" s="1"/>
  <c r="CE193" i="17"/>
  <c r="CF193" i="17"/>
  <c r="CG193" i="17"/>
  <c r="CH193" i="17"/>
  <c r="CI193" i="17"/>
  <c r="CK193" i="17"/>
  <c r="A194" i="17"/>
  <c r="B194" i="17"/>
  <c r="C194" i="17"/>
  <c r="D194" i="17"/>
  <c r="E194" i="17"/>
  <c r="F194" i="17"/>
  <c r="G194" i="17"/>
  <c r="H194" i="17"/>
  <c r="I194" i="17"/>
  <c r="J194" i="17"/>
  <c r="L194" i="17"/>
  <c r="M194" i="17"/>
  <c r="O194" i="17" s="1"/>
  <c r="N194" i="17"/>
  <c r="P194" i="17"/>
  <c r="Q194" i="17"/>
  <c r="R194" i="17" s="1"/>
  <c r="V194" i="17"/>
  <c r="W194" i="17"/>
  <c r="X194" i="17" s="1"/>
  <c r="Y194" i="17"/>
  <c r="Z194" i="17"/>
  <c r="AB194" i="17"/>
  <c r="AC194" i="17" s="1"/>
  <c r="AD194" i="17"/>
  <c r="AE194" i="17" s="1"/>
  <c r="AF194" i="17"/>
  <c r="AG194" i="17"/>
  <c r="AH194" i="17"/>
  <c r="AI194" i="17"/>
  <c r="AJ194" i="17"/>
  <c r="AL194" i="17"/>
  <c r="AN194" i="17"/>
  <c r="AM194" i="17" s="1"/>
  <c r="AP194" i="17"/>
  <c r="AQ194" i="17" s="1"/>
  <c r="AR194" i="17"/>
  <c r="AS194" i="17" s="1"/>
  <c r="AU194" i="17"/>
  <c r="AX194" i="17"/>
  <c r="AY194" i="17"/>
  <c r="AZ194" i="17"/>
  <c r="BA194" i="17"/>
  <c r="BF194" i="17"/>
  <c r="BG194" i="17"/>
  <c r="BH194" i="17" s="1"/>
  <c r="BI194" i="17"/>
  <c r="BJ194" i="17"/>
  <c r="BK194" i="17"/>
  <c r="BL194" i="17"/>
  <c r="BM194" i="17"/>
  <c r="BN194" i="17" s="1"/>
  <c r="AV194" i="17" s="1"/>
  <c r="BO194" i="17"/>
  <c r="BP194" i="17"/>
  <c r="BR194" i="17"/>
  <c r="BQ194" i="17" s="1"/>
  <c r="BS194" i="17"/>
  <c r="BT194" i="17"/>
  <c r="BU194" i="17"/>
  <c r="BV194" i="17"/>
  <c r="BW194" i="17"/>
  <c r="CA194" i="17" s="1"/>
  <c r="BX194" i="17"/>
  <c r="BY194" i="17"/>
  <c r="BZ194" i="17" s="1"/>
  <c r="CB194" i="17"/>
  <c r="CC194" i="17"/>
  <c r="CD194" i="17"/>
  <c r="CE194" i="17"/>
  <c r="CF194" i="17"/>
  <c r="CG194" i="17"/>
  <c r="CH194" i="17"/>
  <c r="CI194" i="17" s="1"/>
  <c r="CK194" i="17"/>
  <c r="A195" i="17"/>
  <c r="B195" i="17"/>
  <c r="C195" i="17"/>
  <c r="D195" i="17"/>
  <c r="E195" i="17"/>
  <c r="F195" i="17"/>
  <c r="G195" i="17"/>
  <c r="H195" i="17"/>
  <c r="I195" i="17"/>
  <c r="J195" i="17"/>
  <c r="L195" i="17"/>
  <c r="AO195" i="17" s="1"/>
  <c r="M195" i="17"/>
  <c r="N195" i="17" s="1"/>
  <c r="O195" i="17"/>
  <c r="P195" i="17"/>
  <c r="Q195" i="17"/>
  <c r="R195" i="17"/>
  <c r="U195" i="17"/>
  <c r="W195" i="17"/>
  <c r="AA195" i="17" s="1"/>
  <c r="X195" i="17"/>
  <c r="Y195" i="17"/>
  <c r="Z195" i="17" s="1"/>
  <c r="AB195" i="17"/>
  <c r="AC195" i="17"/>
  <c r="AD195" i="17"/>
  <c r="AG195" i="17"/>
  <c r="AI195" i="17"/>
  <c r="AJ195" i="17"/>
  <c r="AM195" i="17"/>
  <c r="AN195" i="17"/>
  <c r="AP195" i="17"/>
  <c r="AR195" i="17"/>
  <c r="AU195" i="17"/>
  <c r="AX195" i="17"/>
  <c r="AY195" i="17"/>
  <c r="AZ195" i="17"/>
  <c r="BA195" i="17"/>
  <c r="BB195" i="17"/>
  <c r="BG195" i="17"/>
  <c r="BH195" i="17"/>
  <c r="BI195" i="17"/>
  <c r="BJ195" i="17" s="1"/>
  <c r="BK195" i="17"/>
  <c r="BL195" i="17"/>
  <c r="BM195" i="17"/>
  <c r="BN195" i="17" s="1"/>
  <c r="BO195" i="17"/>
  <c r="BP195" i="17" s="1"/>
  <c r="BQ195" i="17"/>
  <c r="BR195" i="17"/>
  <c r="BS195" i="17"/>
  <c r="BT195" i="17"/>
  <c r="BU195" i="17"/>
  <c r="BW195" i="17"/>
  <c r="BY195" i="17"/>
  <c r="BZ195" i="17" s="1"/>
  <c r="CB195" i="17"/>
  <c r="CC195" i="17"/>
  <c r="CD195" i="17" s="1"/>
  <c r="CE195" i="17"/>
  <c r="CF195" i="17"/>
  <c r="CG195" i="17"/>
  <c r="CH195" i="17"/>
  <c r="CI195" i="17"/>
  <c r="CK195" i="17"/>
  <c r="A196" i="17"/>
  <c r="B196" i="17"/>
  <c r="C196" i="17"/>
  <c r="D196" i="17"/>
  <c r="E196" i="17"/>
  <c r="F196" i="17"/>
  <c r="G196" i="17"/>
  <c r="H196" i="17"/>
  <c r="I196" i="17"/>
  <c r="J196" i="17"/>
  <c r="L196" i="17"/>
  <c r="M196" i="17"/>
  <c r="P196" i="17"/>
  <c r="U196" i="17" s="1"/>
  <c r="Q196" i="17"/>
  <c r="V196" i="17"/>
  <c r="W196" i="17"/>
  <c r="Y196" i="17"/>
  <c r="AB196" i="17"/>
  <c r="AD196" i="17"/>
  <c r="AE196" i="17"/>
  <c r="AG196" i="17"/>
  <c r="AJ196" i="17"/>
  <c r="AW196" i="17" s="1"/>
  <c r="AN196" i="17"/>
  <c r="AP196" i="17"/>
  <c r="AR196" i="17"/>
  <c r="AX196" i="17"/>
  <c r="AY196" i="17"/>
  <c r="AZ196" i="17"/>
  <c r="BA196" i="17"/>
  <c r="BF196" i="17"/>
  <c r="BG196" i="17"/>
  <c r="BI196" i="17"/>
  <c r="BC196" i="17" s="1"/>
  <c r="BD196" i="17" s="1"/>
  <c r="BK196" i="17"/>
  <c r="BL196" i="17"/>
  <c r="BM196" i="17"/>
  <c r="BO196" i="17"/>
  <c r="BR196" i="17"/>
  <c r="BT196" i="17"/>
  <c r="BU196" i="17"/>
  <c r="BW196" i="17"/>
  <c r="BY196" i="17"/>
  <c r="CA196" i="17"/>
  <c r="CB196" i="17"/>
  <c r="CC196" i="17"/>
  <c r="CD196" i="17"/>
  <c r="CE196" i="17"/>
  <c r="CF196" i="17"/>
  <c r="CG196" i="17"/>
  <c r="CH196" i="17"/>
  <c r="CK196" i="17"/>
  <c r="A197" i="17"/>
  <c r="B197" i="17"/>
  <c r="C197" i="17"/>
  <c r="D197" i="17"/>
  <c r="E197" i="17"/>
  <c r="F197" i="17"/>
  <c r="G197" i="17"/>
  <c r="H197" i="17"/>
  <c r="I197" i="17"/>
  <c r="J197" i="17"/>
  <c r="L197" i="17"/>
  <c r="AM197" i="17" s="1"/>
  <c r="M197" i="17"/>
  <c r="O197" i="17" s="1"/>
  <c r="N197" i="17"/>
  <c r="P197" i="17"/>
  <c r="Q197" i="17"/>
  <c r="S197" i="17"/>
  <c r="T197" i="17" s="1"/>
  <c r="W197" i="17"/>
  <c r="X197" i="17" s="1"/>
  <c r="Y197" i="17"/>
  <c r="AA197" i="17" s="1"/>
  <c r="Z197" i="17"/>
  <c r="AB197" i="17"/>
  <c r="AC197" i="17"/>
  <c r="AD197" i="17"/>
  <c r="AE197" i="17"/>
  <c r="AF197" i="17"/>
  <c r="AG197" i="17"/>
  <c r="AH197" i="17" s="1"/>
  <c r="AI197" i="17"/>
  <c r="AJ197" i="17"/>
  <c r="AL197" i="17"/>
  <c r="AN197" i="17"/>
  <c r="AO197" i="17"/>
  <c r="AP197" i="17"/>
  <c r="AQ197" i="17"/>
  <c r="AR197" i="17"/>
  <c r="AS197" i="17" s="1"/>
  <c r="AW197" i="17"/>
  <c r="AX197" i="17"/>
  <c r="AY197" i="17"/>
  <c r="AZ197" i="17"/>
  <c r="BA197" i="17"/>
  <c r="BC197" i="17" s="1"/>
  <c r="BD197" i="17" s="1"/>
  <c r="BG197" i="17"/>
  <c r="BH197" i="17" s="1"/>
  <c r="BI197" i="17"/>
  <c r="BJ197" i="17"/>
  <c r="BK197" i="17"/>
  <c r="BL197" i="17"/>
  <c r="BM197" i="17"/>
  <c r="BN197" i="17" s="1"/>
  <c r="AV197" i="17" s="1"/>
  <c r="BO197" i="17"/>
  <c r="BP197" i="17" s="1"/>
  <c r="BR197" i="17"/>
  <c r="BS197" i="17"/>
  <c r="BT197" i="17"/>
  <c r="BU197" i="17"/>
  <c r="CA197" i="17" s="1"/>
  <c r="BV197" i="17"/>
  <c r="BW197" i="17"/>
  <c r="BX197" i="17" s="1"/>
  <c r="BY197" i="17"/>
  <c r="BZ197" i="17" s="1"/>
  <c r="CB197" i="17"/>
  <c r="CD197" i="17" s="1"/>
  <c r="CC197" i="17"/>
  <c r="CE197" i="17"/>
  <c r="CF197" i="17"/>
  <c r="CG197" i="17"/>
  <c r="CH197" i="17"/>
  <c r="CK197" i="17"/>
  <c r="A198" i="17"/>
  <c r="B198" i="17"/>
  <c r="C198" i="17"/>
  <c r="D198" i="17"/>
  <c r="E198" i="17"/>
  <c r="F198" i="17"/>
  <c r="G198" i="17"/>
  <c r="H198" i="17"/>
  <c r="I198" i="17"/>
  <c r="J198" i="17"/>
  <c r="L198" i="17"/>
  <c r="M198" i="17"/>
  <c r="N198" i="17"/>
  <c r="O198" i="17"/>
  <c r="P198" i="17"/>
  <c r="Q198" i="17"/>
  <c r="V198" i="17" s="1"/>
  <c r="R198" i="17"/>
  <c r="S198" i="17"/>
  <c r="T198" i="17"/>
  <c r="U198" i="17"/>
  <c r="W198" i="17"/>
  <c r="X198" i="17"/>
  <c r="Y198" i="17"/>
  <c r="Z198" i="17"/>
  <c r="AA198" i="17"/>
  <c r="AB198" i="17"/>
  <c r="AD198" i="17"/>
  <c r="AF198" i="17"/>
  <c r="AG198" i="17"/>
  <c r="AJ198" i="17"/>
  <c r="AK198" i="17" s="1"/>
  <c r="AM198" i="17"/>
  <c r="AN198" i="17"/>
  <c r="AP198" i="17"/>
  <c r="AR198" i="17"/>
  <c r="AS198" i="17"/>
  <c r="AX198" i="17"/>
  <c r="AY198" i="17"/>
  <c r="AZ198" i="17"/>
  <c r="BA198" i="17"/>
  <c r="BC198" i="17" s="1"/>
  <c r="BB198" i="17"/>
  <c r="BD198" i="17"/>
  <c r="BG198" i="17"/>
  <c r="BH198" i="17"/>
  <c r="BI198" i="17"/>
  <c r="AU198" i="17" s="1"/>
  <c r="BJ198" i="17"/>
  <c r="BK198" i="17"/>
  <c r="BL198" i="17"/>
  <c r="BM198" i="17"/>
  <c r="BN198" i="17"/>
  <c r="AV198" i="17" s="1"/>
  <c r="BO198" i="17"/>
  <c r="BP198" i="17"/>
  <c r="BQ198" i="17"/>
  <c r="BR198" i="17"/>
  <c r="BT198" i="17"/>
  <c r="BU198" i="17"/>
  <c r="BV198" i="17"/>
  <c r="BW198" i="17"/>
  <c r="BY198" i="17"/>
  <c r="BZ198" i="17"/>
  <c r="CB198" i="17"/>
  <c r="CC198" i="17"/>
  <c r="CE198" i="17"/>
  <c r="CF198" i="17"/>
  <c r="CG198" i="17"/>
  <c r="CH198" i="17"/>
  <c r="CI198" i="17" s="1"/>
  <c r="CK198" i="17"/>
  <c r="A199" i="17"/>
  <c r="B199" i="17"/>
  <c r="C199" i="17"/>
  <c r="D199" i="17"/>
  <c r="E199" i="17"/>
  <c r="F199" i="17"/>
  <c r="G199" i="17"/>
  <c r="H199" i="17"/>
  <c r="I199" i="17"/>
  <c r="J199" i="17"/>
  <c r="L199" i="17"/>
  <c r="M199" i="17"/>
  <c r="P199" i="17"/>
  <c r="U199" i="17" s="1"/>
  <c r="Q199" i="17"/>
  <c r="S199" i="17"/>
  <c r="V199" i="17"/>
  <c r="W199" i="17"/>
  <c r="X199" i="17" s="1"/>
  <c r="Y199" i="17"/>
  <c r="Z199" i="17" s="1"/>
  <c r="AA199" i="17"/>
  <c r="AB199" i="17"/>
  <c r="AC199" i="17" s="1"/>
  <c r="AD199" i="17"/>
  <c r="AE199" i="17"/>
  <c r="AG199" i="17"/>
  <c r="AI199" i="17" s="1"/>
  <c r="AJ199" i="17"/>
  <c r="AN199" i="17"/>
  <c r="AP199" i="17"/>
  <c r="AF199" i="17" s="1"/>
  <c r="AQ199" i="17"/>
  <c r="AR199" i="17"/>
  <c r="AS199" i="17"/>
  <c r="AT199" i="17"/>
  <c r="AW199" i="17"/>
  <c r="AX199" i="17"/>
  <c r="AY199" i="17"/>
  <c r="AZ199" i="17"/>
  <c r="BA199" i="17"/>
  <c r="BB199" i="17" s="1"/>
  <c r="BF199" i="17"/>
  <c r="BG199" i="17"/>
  <c r="BH199" i="17" s="1"/>
  <c r="BI199" i="17"/>
  <c r="BC199" i="17" s="1"/>
  <c r="BD199" i="17" s="1"/>
  <c r="BK199" i="17"/>
  <c r="BL199" i="17"/>
  <c r="BM199" i="17"/>
  <c r="BN199" i="17" s="1"/>
  <c r="AV199" i="17" s="1"/>
  <c r="BO199" i="17"/>
  <c r="BP199" i="17" s="1"/>
  <c r="BR199" i="17"/>
  <c r="BQ199" i="17" s="1"/>
  <c r="BS199" i="17"/>
  <c r="BT199" i="17"/>
  <c r="BU199" i="17"/>
  <c r="BW199" i="17"/>
  <c r="BX199" i="17" s="1"/>
  <c r="BY199" i="17"/>
  <c r="BZ199" i="17" s="1"/>
  <c r="CB199" i="17"/>
  <c r="CC199" i="17"/>
  <c r="CD199" i="17" s="1"/>
  <c r="CE199" i="17"/>
  <c r="CF199" i="17"/>
  <c r="CG199" i="17"/>
  <c r="CH199" i="17"/>
  <c r="CI199" i="17"/>
  <c r="CK199" i="17"/>
  <c r="A200" i="17"/>
  <c r="B200" i="17"/>
  <c r="C200" i="17"/>
  <c r="D200" i="17"/>
  <c r="E200" i="17"/>
  <c r="F200" i="17"/>
  <c r="G200" i="17"/>
  <c r="H200" i="17"/>
  <c r="I200" i="17"/>
  <c r="J200" i="17"/>
  <c r="L200" i="17"/>
  <c r="O200" i="17" s="1"/>
  <c r="M200" i="17"/>
  <c r="N200" i="17"/>
  <c r="P200" i="17"/>
  <c r="Q200" i="17"/>
  <c r="W200" i="17"/>
  <c r="Y200" i="17"/>
  <c r="Z200" i="17"/>
  <c r="AB200" i="17"/>
  <c r="AC200" i="17" s="1"/>
  <c r="AD200" i="17"/>
  <c r="AE200" i="17" s="1"/>
  <c r="AF200" i="17"/>
  <c r="AG200" i="17"/>
  <c r="AH200" i="17"/>
  <c r="AI200" i="17"/>
  <c r="AJ200" i="17"/>
  <c r="AL200" i="17"/>
  <c r="AN200" i="17"/>
  <c r="AM200" i="17" s="1"/>
  <c r="AO200" i="17"/>
  <c r="AP200" i="17"/>
  <c r="AQ200" i="17" s="1"/>
  <c r="AR200" i="17"/>
  <c r="AX200" i="17"/>
  <c r="AY200" i="17"/>
  <c r="AZ200" i="17"/>
  <c r="BA200" i="17"/>
  <c r="BG200" i="17"/>
  <c r="BH200" i="17" s="1"/>
  <c r="BI200" i="17"/>
  <c r="BJ200" i="17"/>
  <c r="BK200" i="17"/>
  <c r="BL200" i="17"/>
  <c r="BM200" i="17"/>
  <c r="BN200" i="17" s="1"/>
  <c r="BO200" i="17"/>
  <c r="BP200" i="17"/>
  <c r="BR200" i="17"/>
  <c r="BQ200" i="17" s="1"/>
  <c r="BS200" i="17"/>
  <c r="BT200" i="17"/>
  <c r="BU200" i="17"/>
  <c r="BV200" i="17"/>
  <c r="BW200" i="17"/>
  <c r="CA200" i="17" s="1"/>
  <c r="BX200" i="17"/>
  <c r="BY200" i="17"/>
  <c r="BZ200" i="17" s="1"/>
  <c r="CB200" i="17"/>
  <c r="CD200" i="17" s="1"/>
  <c r="CC200" i="17"/>
  <c r="CE200" i="17"/>
  <c r="CF200" i="17"/>
  <c r="CG200" i="17"/>
  <c r="CH200" i="17"/>
  <c r="CI200" i="17" s="1"/>
  <c r="CK200" i="17"/>
  <c r="A201" i="17"/>
  <c r="B201" i="17"/>
  <c r="C201" i="17"/>
  <c r="D201" i="17"/>
  <c r="E201" i="17"/>
  <c r="F201" i="17"/>
  <c r="G201" i="17"/>
  <c r="H201" i="17"/>
  <c r="I201" i="17"/>
  <c r="J201" i="17"/>
  <c r="L201" i="17"/>
  <c r="O201" i="17" s="1"/>
  <c r="M201" i="17"/>
  <c r="N201" i="17" s="1"/>
  <c r="P201" i="17"/>
  <c r="Q201" i="17"/>
  <c r="R201" i="17" s="1"/>
  <c r="W201" i="17"/>
  <c r="X201" i="17" s="1"/>
  <c r="Y201" i="17"/>
  <c r="Z201" i="17" s="1"/>
  <c r="AA201" i="17"/>
  <c r="AB201" i="17"/>
  <c r="AC201" i="17"/>
  <c r="AD201" i="17"/>
  <c r="AG201" i="17"/>
  <c r="AI201" i="17"/>
  <c r="AJ201" i="17"/>
  <c r="AM201" i="17"/>
  <c r="AN201" i="17"/>
  <c r="AO201" i="17"/>
  <c r="AP201" i="17"/>
  <c r="AR201" i="17"/>
  <c r="AS201" i="17"/>
  <c r="AU201" i="17"/>
  <c r="AX201" i="17"/>
  <c r="AY201" i="17"/>
  <c r="AZ201" i="17"/>
  <c r="BA201" i="17"/>
  <c r="BB201" i="17" s="1"/>
  <c r="BE201" i="17" s="1"/>
  <c r="BG201" i="17"/>
  <c r="BH201" i="17" s="1"/>
  <c r="BI201" i="17"/>
  <c r="BJ201" i="17" s="1"/>
  <c r="BK201" i="17"/>
  <c r="BL201" i="17"/>
  <c r="BM201" i="17"/>
  <c r="BN201" i="17"/>
  <c r="AV201" i="17" s="1"/>
  <c r="BO201" i="17"/>
  <c r="BQ201" i="17"/>
  <c r="BR201" i="17"/>
  <c r="BS201" i="17"/>
  <c r="BT201" i="17"/>
  <c r="BU201" i="17"/>
  <c r="BV201" i="17" s="1"/>
  <c r="BW201" i="17"/>
  <c r="BX201" i="17"/>
  <c r="BY201" i="17"/>
  <c r="BZ201" i="17" s="1"/>
  <c r="CA201" i="17"/>
  <c r="CB201" i="17"/>
  <c r="CC201" i="17"/>
  <c r="CD201" i="17"/>
  <c r="CE201" i="17"/>
  <c r="CF201" i="17"/>
  <c r="CG201" i="17"/>
  <c r="CI201" i="17" s="1"/>
  <c r="CH201" i="17"/>
  <c r="CK201" i="17"/>
  <c r="A202" i="17"/>
  <c r="B202" i="17"/>
  <c r="C202" i="17"/>
  <c r="D202" i="17"/>
  <c r="E202" i="17"/>
  <c r="F202" i="17"/>
  <c r="G202" i="17"/>
  <c r="H202" i="17"/>
  <c r="I202" i="17"/>
  <c r="J202" i="17"/>
  <c r="L202" i="17"/>
  <c r="AH202" i="17" s="1"/>
  <c r="M202" i="17"/>
  <c r="N202" i="17" s="1"/>
  <c r="P202" i="17"/>
  <c r="U202" i="17" s="1"/>
  <c r="Q202" i="17"/>
  <c r="R202" i="17"/>
  <c r="S202" i="17"/>
  <c r="T202" i="17" s="1"/>
  <c r="W202" i="17"/>
  <c r="X202" i="17" s="1"/>
  <c r="Y202" i="17"/>
  <c r="AB202" i="17"/>
  <c r="AC202" i="17" s="1"/>
  <c r="AD202" i="17"/>
  <c r="AE202" i="17" s="1"/>
  <c r="AF202" i="17"/>
  <c r="AG202" i="17"/>
  <c r="AJ202" i="17"/>
  <c r="AW202" i="17" s="1"/>
  <c r="AL202" i="17"/>
  <c r="AN202" i="17"/>
  <c r="AM202" i="17" s="1"/>
  <c r="AP202" i="17"/>
  <c r="AI202" i="17" s="1"/>
  <c r="AR202" i="17"/>
  <c r="AT202" i="17"/>
  <c r="AU202" i="17"/>
  <c r="AX202" i="17"/>
  <c r="AY202" i="17"/>
  <c r="AZ202" i="17"/>
  <c r="BA202" i="17"/>
  <c r="BB202" i="17" s="1"/>
  <c r="BG202" i="17"/>
  <c r="BH202" i="17" s="1"/>
  <c r="BI202" i="17"/>
  <c r="BJ202" i="17" s="1"/>
  <c r="BK202" i="17"/>
  <c r="BL202" i="17"/>
  <c r="BM202" i="17"/>
  <c r="BN202" i="17" s="1"/>
  <c r="BO202" i="17"/>
  <c r="BP202" i="17" s="1"/>
  <c r="BR202" i="17"/>
  <c r="BT202" i="17"/>
  <c r="BS202" i="17" s="1"/>
  <c r="BU202" i="17"/>
  <c r="BV202" i="17" s="1"/>
  <c r="BW202" i="17"/>
  <c r="BY202" i="17"/>
  <c r="BZ202" i="17"/>
  <c r="CA202" i="17"/>
  <c r="CB202" i="17"/>
  <c r="CD202" i="17" s="1"/>
  <c r="CC202" i="17"/>
  <c r="CE202" i="17"/>
  <c r="CF202" i="17"/>
  <c r="CG202" i="17"/>
  <c r="CH202" i="17"/>
  <c r="CK202" i="17"/>
  <c r="A203" i="17"/>
  <c r="B203" i="17"/>
  <c r="C203" i="17"/>
  <c r="D203" i="17"/>
  <c r="E203" i="17"/>
  <c r="F203" i="17"/>
  <c r="G203" i="17"/>
  <c r="H203" i="17"/>
  <c r="I203" i="17"/>
  <c r="J203" i="17"/>
  <c r="L203" i="17"/>
  <c r="AC203" i="17" s="1"/>
  <c r="M203" i="17"/>
  <c r="N203" i="17"/>
  <c r="O203" i="17"/>
  <c r="P203" i="17"/>
  <c r="Q203" i="17"/>
  <c r="V203" i="17" s="1"/>
  <c r="U203" i="17"/>
  <c r="W203" i="17"/>
  <c r="X203" i="17"/>
  <c r="Y203" i="17"/>
  <c r="Z203" i="17" s="1"/>
  <c r="AA203" i="17"/>
  <c r="AB203" i="17"/>
  <c r="AD203" i="17"/>
  <c r="AE203" i="17" s="1"/>
  <c r="AG203" i="17"/>
  <c r="AJ203" i="17"/>
  <c r="AL203" i="17"/>
  <c r="AN203" i="17"/>
  <c r="AO203" i="17"/>
  <c r="AP203" i="17"/>
  <c r="AQ203" i="17"/>
  <c r="AR203" i="17"/>
  <c r="AS203" i="17" s="1"/>
  <c r="AU203" i="17"/>
  <c r="AX203" i="17"/>
  <c r="AY203" i="17"/>
  <c r="AZ203" i="17"/>
  <c r="BA203" i="17"/>
  <c r="BG203" i="17"/>
  <c r="BH203" i="17" s="1"/>
  <c r="BI203" i="17"/>
  <c r="BJ203" i="17"/>
  <c r="BK203" i="17"/>
  <c r="BL203" i="17"/>
  <c r="BM203" i="17"/>
  <c r="BN203" i="17" s="1"/>
  <c r="BO203" i="17"/>
  <c r="BP203" i="17"/>
  <c r="BQ203" i="17"/>
  <c r="BR203" i="17"/>
  <c r="BS203" i="17"/>
  <c r="BT203" i="17"/>
  <c r="BU203" i="17"/>
  <c r="BV203" i="17"/>
  <c r="BW203" i="17"/>
  <c r="CA203" i="17" s="1"/>
  <c r="BY203" i="17"/>
  <c r="BZ203" i="17" s="1"/>
  <c r="CB203" i="17"/>
  <c r="CD203" i="17" s="1"/>
  <c r="CC203" i="17"/>
  <c r="CE203" i="17"/>
  <c r="CF203" i="17"/>
  <c r="CG203" i="17"/>
  <c r="CH203" i="17"/>
  <c r="CI203" i="17" s="1"/>
  <c r="CK203" i="17"/>
  <c r="A204" i="17"/>
  <c r="B204" i="17"/>
  <c r="C204" i="17"/>
  <c r="D204" i="17"/>
  <c r="E204" i="17"/>
  <c r="F204" i="17"/>
  <c r="G204" i="17"/>
  <c r="H204" i="17"/>
  <c r="I204" i="17"/>
  <c r="J204" i="17"/>
  <c r="L204" i="17"/>
  <c r="K197" i="17" s="1"/>
  <c r="M204" i="17"/>
  <c r="N204" i="17" s="1"/>
  <c r="P204" i="17"/>
  <c r="Q204" i="17"/>
  <c r="S204" i="17"/>
  <c r="T204" i="17" s="1"/>
  <c r="U204" i="17"/>
  <c r="V204" i="17"/>
  <c r="W204" i="17"/>
  <c r="Y204" i="17"/>
  <c r="AB204" i="17"/>
  <c r="AD204" i="17"/>
  <c r="AG204" i="17"/>
  <c r="AJ204" i="17"/>
  <c r="AN204" i="17"/>
  <c r="AP204" i="17"/>
  <c r="AR204" i="17"/>
  <c r="AX204" i="17"/>
  <c r="AY204" i="17"/>
  <c r="AZ204" i="17"/>
  <c r="BA204" i="17"/>
  <c r="BF204" i="17"/>
  <c r="BG204" i="17"/>
  <c r="BI204" i="17"/>
  <c r="BC204" i="17" s="1"/>
  <c r="BK204" i="17"/>
  <c r="BL204" i="17"/>
  <c r="BM204" i="17"/>
  <c r="BO204" i="17"/>
  <c r="BR204" i="17"/>
  <c r="BT204" i="17"/>
  <c r="BU204" i="17"/>
  <c r="BW204" i="17"/>
  <c r="BY204" i="17"/>
  <c r="CA204" i="17"/>
  <c r="CB204" i="17"/>
  <c r="CC204" i="17"/>
  <c r="CD204" i="17"/>
  <c r="CE204" i="17"/>
  <c r="CF204" i="17"/>
  <c r="CG204" i="17"/>
  <c r="CI204" i="17" s="1"/>
  <c r="CH204" i="17"/>
  <c r="CK204" i="17"/>
  <c r="A205" i="17"/>
  <c r="B205" i="17"/>
  <c r="C205" i="17"/>
  <c r="D205" i="17"/>
  <c r="E205" i="17"/>
  <c r="F205" i="17"/>
  <c r="G205" i="17"/>
  <c r="H205" i="17"/>
  <c r="I205" i="17"/>
  <c r="J205" i="17"/>
  <c r="L205" i="17"/>
  <c r="M205" i="17"/>
  <c r="P205" i="17"/>
  <c r="U205" i="17" s="1"/>
  <c r="Q205" i="17"/>
  <c r="T205" i="17" s="1"/>
  <c r="S205" i="17"/>
  <c r="W205" i="17"/>
  <c r="X205" i="17" s="1"/>
  <c r="Y205" i="17"/>
  <c r="AB205" i="17"/>
  <c r="AC205" i="17"/>
  <c r="AD205" i="17"/>
  <c r="AE205" i="17"/>
  <c r="AF205" i="17"/>
  <c r="AG205" i="17"/>
  <c r="AH205" i="17"/>
  <c r="AI205" i="17"/>
  <c r="AJ205" i="17"/>
  <c r="AL205" i="17"/>
  <c r="AN205" i="17"/>
  <c r="AM205" i="17" s="1"/>
  <c r="AO205" i="17"/>
  <c r="AP205" i="17"/>
  <c r="AQ205" i="17"/>
  <c r="AR205" i="17"/>
  <c r="AS205" i="17" s="1"/>
  <c r="AW205" i="17"/>
  <c r="AX205" i="17"/>
  <c r="AY205" i="17"/>
  <c r="AZ205" i="17"/>
  <c r="BA205" i="17"/>
  <c r="BF205" i="17" s="1"/>
  <c r="BG205" i="17"/>
  <c r="BH205" i="17" s="1"/>
  <c r="BI205" i="17"/>
  <c r="BK205" i="17"/>
  <c r="BL205" i="17"/>
  <c r="BM205" i="17"/>
  <c r="BN205" i="17" s="1"/>
  <c r="AV205" i="17" s="1"/>
  <c r="BO205" i="17"/>
  <c r="BP205" i="17" s="1"/>
  <c r="BR205" i="17"/>
  <c r="BQ205" i="17" s="1"/>
  <c r="BS205" i="17"/>
  <c r="BT205" i="17"/>
  <c r="BU205" i="17"/>
  <c r="BV205" i="17" s="1"/>
  <c r="BW205" i="17"/>
  <c r="BX205" i="17"/>
  <c r="BY205" i="17"/>
  <c r="BZ205" i="17" s="1"/>
  <c r="CB205" i="17"/>
  <c r="CC205" i="17"/>
  <c r="CD205" i="17"/>
  <c r="CE205" i="17"/>
  <c r="CF205" i="17"/>
  <c r="CG205" i="17"/>
  <c r="CH205" i="17"/>
  <c r="CI205" i="17" s="1"/>
  <c r="CK205" i="17"/>
  <c r="A206" i="17"/>
  <c r="B206" i="17"/>
  <c r="C206" i="17"/>
  <c r="D206" i="17"/>
  <c r="E206" i="17"/>
  <c r="F206" i="17"/>
  <c r="G206" i="17"/>
  <c r="H206" i="17"/>
  <c r="I206" i="17"/>
  <c r="J206" i="17"/>
  <c r="L206" i="17"/>
  <c r="O206" i="17" s="1"/>
  <c r="M206" i="17"/>
  <c r="N206" i="17"/>
  <c r="P206" i="17"/>
  <c r="S206" i="17" s="1"/>
  <c r="Q206" i="17"/>
  <c r="U206" i="17" s="1"/>
  <c r="R206" i="17"/>
  <c r="T206" i="17"/>
  <c r="W206" i="17"/>
  <c r="AA206" i="17" s="1"/>
  <c r="X206" i="17"/>
  <c r="Y206" i="17"/>
  <c r="Z206" i="17"/>
  <c r="AB206" i="17"/>
  <c r="AC206" i="17"/>
  <c r="AD206" i="17"/>
  <c r="AE206" i="17" s="1"/>
  <c r="AF206" i="17"/>
  <c r="AG206" i="17"/>
  <c r="AH206" i="17" s="1"/>
  <c r="AJ206" i="17"/>
  <c r="AK206" i="17" s="1"/>
  <c r="AL206" i="17"/>
  <c r="AN206" i="17"/>
  <c r="AO206" i="17"/>
  <c r="AP206" i="17"/>
  <c r="AT206" i="17" s="1"/>
  <c r="AR206" i="17"/>
  <c r="AX206" i="17"/>
  <c r="AY206" i="17"/>
  <c r="AZ206" i="17"/>
  <c r="BA206" i="17"/>
  <c r="BF206" i="17" s="1"/>
  <c r="BG206" i="17"/>
  <c r="BH206" i="17" s="1"/>
  <c r="BI206" i="17"/>
  <c r="BJ206" i="17"/>
  <c r="BK206" i="17"/>
  <c r="BL206" i="17"/>
  <c r="BM206" i="17"/>
  <c r="BN206" i="17" s="1"/>
  <c r="BO206" i="17"/>
  <c r="BP206" i="17"/>
  <c r="BR206" i="17"/>
  <c r="BS206" i="17"/>
  <c r="BT206" i="17"/>
  <c r="BU206" i="17"/>
  <c r="BV206" i="17"/>
  <c r="BW206" i="17"/>
  <c r="BX206" i="17" s="1"/>
  <c r="BY206" i="17"/>
  <c r="BZ206" i="17" s="1"/>
  <c r="CB206" i="17"/>
  <c r="CD206" i="17" s="1"/>
  <c r="CC206" i="17"/>
  <c r="CE206" i="17"/>
  <c r="CF206" i="17"/>
  <c r="CG206" i="17"/>
  <c r="CH206" i="17"/>
  <c r="CI206" i="17" s="1"/>
  <c r="CK206" i="17"/>
  <c r="A207" i="17"/>
  <c r="B207" i="17"/>
  <c r="C207" i="17"/>
  <c r="D207" i="17"/>
  <c r="E207" i="17"/>
  <c r="F207" i="17"/>
  <c r="G207" i="17"/>
  <c r="H207" i="17"/>
  <c r="I207" i="17"/>
  <c r="J207" i="17"/>
  <c r="L207" i="17"/>
  <c r="AC207" i="17" s="1"/>
  <c r="M207" i="17"/>
  <c r="N207" i="17" s="1"/>
  <c r="O207" i="17"/>
  <c r="P207" i="17"/>
  <c r="Q207" i="17"/>
  <c r="V207" i="17" s="1"/>
  <c r="R207" i="17"/>
  <c r="S207" i="17"/>
  <c r="U207" i="17"/>
  <c r="W207" i="17"/>
  <c r="X207" i="17"/>
  <c r="Y207" i="17"/>
  <c r="Z207" i="17" s="1"/>
  <c r="AA207" i="17"/>
  <c r="AB207" i="17"/>
  <c r="AD207" i="17"/>
  <c r="AE207" i="17" s="1"/>
  <c r="AG207" i="17"/>
  <c r="AJ207" i="17"/>
  <c r="AK207" i="17" s="1"/>
  <c r="AM207" i="17"/>
  <c r="AN207" i="17"/>
  <c r="AP207" i="17"/>
  <c r="AT207" i="17" s="1"/>
  <c r="AR207" i="17"/>
  <c r="AS207" i="17"/>
  <c r="AX207" i="17"/>
  <c r="AY207" i="17"/>
  <c r="AZ207" i="17"/>
  <c r="BA207" i="17"/>
  <c r="BF207" i="17" s="1"/>
  <c r="BB207" i="17"/>
  <c r="BG207" i="17"/>
  <c r="BH207" i="17"/>
  <c r="BI207" i="17"/>
  <c r="AU207" i="17" s="1"/>
  <c r="BK207" i="17"/>
  <c r="BL207" i="17"/>
  <c r="BM207" i="17"/>
  <c r="BN207" i="17"/>
  <c r="BO207" i="17"/>
  <c r="BP207" i="17" s="1"/>
  <c r="BQ207" i="17"/>
  <c r="BR207" i="17"/>
  <c r="BT207" i="17"/>
  <c r="BS207" i="17" s="1"/>
  <c r="BU207" i="17"/>
  <c r="BV207" i="17" s="1"/>
  <c r="BW207" i="17"/>
  <c r="BY207" i="17"/>
  <c r="BZ207" i="17"/>
  <c r="CB207" i="17"/>
  <c r="CC207" i="17"/>
  <c r="CD207" i="17" s="1"/>
  <c r="CE207" i="17"/>
  <c r="CF207" i="17"/>
  <c r="CG207" i="17"/>
  <c r="CH207" i="17"/>
  <c r="CI207" i="17"/>
  <c r="CK207" i="17"/>
  <c r="A208" i="17"/>
  <c r="B208" i="17"/>
  <c r="C208" i="17"/>
  <c r="D208" i="17"/>
  <c r="E208" i="17"/>
  <c r="F208" i="17"/>
  <c r="G208" i="17"/>
  <c r="H208" i="17"/>
  <c r="I208" i="17"/>
  <c r="J208" i="17"/>
  <c r="L208" i="17"/>
  <c r="M208" i="17"/>
  <c r="N208" i="17" s="1"/>
  <c r="P208" i="17"/>
  <c r="V208" i="17" s="1"/>
  <c r="Q208" i="17"/>
  <c r="R208" i="17" s="1"/>
  <c r="AK208" i="17" s="1"/>
  <c r="W208" i="17"/>
  <c r="X208" i="17" s="1"/>
  <c r="Y208" i="17"/>
  <c r="Z208" i="17" s="1"/>
  <c r="AB208" i="17"/>
  <c r="AC208" i="17" s="1"/>
  <c r="AD208" i="17"/>
  <c r="AE208" i="17"/>
  <c r="AF208" i="17"/>
  <c r="AG208" i="17"/>
  <c r="AH208" i="17"/>
  <c r="AI208" i="17"/>
  <c r="AJ208" i="17"/>
  <c r="AL208" i="17"/>
  <c r="AN208" i="17"/>
  <c r="AP208" i="17"/>
  <c r="AQ208" i="17"/>
  <c r="AR208" i="17"/>
  <c r="AS208" i="17" s="1"/>
  <c r="AT208" i="17"/>
  <c r="AW208" i="17"/>
  <c r="AX208" i="17"/>
  <c r="AY208" i="17"/>
  <c r="AZ208" i="17"/>
  <c r="BA208" i="17"/>
  <c r="BB208" i="17" s="1"/>
  <c r="BF208" i="17"/>
  <c r="BG208" i="17"/>
  <c r="BH208" i="17" s="1"/>
  <c r="BI208" i="17"/>
  <c r="AU208" i="17" s="1"/>
  <c r="BK208" i="17"/>
  <c r="BL208" i="17"/>
  <c r="BM208" i="17"/>
  <c r="BN208" i="17" s="1"/>
  <c r="AV208" i="17" s="1"/>
  <c r="BO208" i="17"/>
  <c r="BP208" i="17" s="1"/>
  <c r="BR208" i="17"/>
  <c r="BQ208" i="17" s="1"/>
  <c r="BS208" i="17"/>
  <c r="BT208" i="17"/>
  <c r="BU208" i="17"/>
  <c r="BV208" i="17" s="1"/>
  <c r="BW208" i="17"/>
  <c r="BX208" i="17"/>
  <c r="BY208" i="17"/>
  <c r="BZ208" i="17" s="1"/>
  <c r="CA208" i="17"/>
  <c r="CB208" i="17"/>
  <c r="CC208" i="17"/>
  <c r="CD208" i="17"/>
  <c r="CE208" i="17"/>
  <c r="CF208" i="17"/>
  <c r="CG208" i="17"/>
  <c r="CH208" i="17"/>
  <c r="CI208" i="17" s="1"/>
  <c r="CK208" i="17"/>
  <c r="A209" i="17"/>
  <c r="B209" i="17"/>
  <c r="C209" i="17"/>
  <c r="D209" i="17"/>
  <c r="E209" i="17"/>
  <c r="F209" i="17"/>
  <c r="G209" i="17"/>
  <c r="H209" i="17"/>
  <c r="I209" i="17"/>
  <c r="J209" i="17"/>
  <c r="L209" i="17"/>
  <c r="O209" i="17" s="1"/>
  <c r="M209" i="17"/>
  <c r="N209" i="17"/>
  <c r="P209" i="17"/>
  <c r="Q209" i="17"/>
  <c r="W209" i="17"/>
  <c r="Y209" i="17"/>
  <c r="Z209" i="17"/>
  <c r="AB209" i="17"/>
  <c r="AC209" i="17"/>
  <c r="AD209" i="17"/>
  <c r="AE209" i="17" s="1"/>
  <c r="AF209" i="17"/>
  <c r="AG209" i="17"/>
  <c r="AW209" i="17" s="1"/>
  <c r="AI209" i="17"/>
  <c r="AJ209" i="17"/>
  <c r="AL209" i="17"/>
  <c r="AN209" i="17"/>
  <c r="AO209" i="17"/>
  <c r="AP209" i="17"/>
  <c r="AQ209" i="17" s="1"/>
  <c r="AR209" i="17"/>
  <c r="AS209" i="17" s="1"/>
  <c r="AU209" i="17"/>
  <c r="AX209" i="17"/>
  <c r="AY209" i="17"/>
  <c r="AZ209" i="17"/>
  <c r="BA209" i="17"/>
  <c r="BG209" i="17"/>
  <c r="BH209" i="17" s="1"/>
  <c r="BI209" i="17"/>
  <c r="BJ209" i="17"/>
  <c r="BK209" i="17"/>
  <c r="BL209" i="17"/>
  <c r="BM209" i="17"/>
  <c r="BN209" i="17" s="1"/>
  <c r="BO209" i="17"/>
  <c r="BP209" i="17"/>
  <c r="BR209" i="17"/>
  <c r="BS209" i="17"/>
  <c r="BT209" i="17"/>
  <c r="BU209" i="17"/>
  <c r="BV209" i="17"/>
  <c r="BW209" i="17"/>
  <c r="CA209" i="17" s="1"/>
  <c r="BY209" i="17"/>
  <c r="BZ209" i="17" s="1"/>
  <c r="CB209" i="17"/>
  <c r="CD209" i="17" s="1"/>
  <c r="CC209" i="17"/>
  <c r="CE209" i="17"/>
  <c r="CF209" i="17"/>
  <c r="CG209" i="17"/>
  <c r="CH209" i="17"/>
  <c r="CI209" i="17" s="1"/>
  <c r="CK209" i="17"/>
  <c r="A210" i="17"/>
  <c r="B210" i="17"/>
  <c r="C210" i="17"/>
  <c r="D210" i="17"/>
  <c r="E210" i="17"/>
  <c r="F210" i="17"/>
  <c r="G210" i="17"/>
  <c r="H210" i="17"/>
  <c r="I210" i="17"/>
  <c r="J210" i="17"/>
  <c r="L210" i="17"/>
  <c r="M210" i="17"/>
  <c r="N210" i="17" s="1"/>
  <c r="P210" i="17"/>
  <c r="Q210" i="17"/>
  <c r="R210" i="17"/>
  <c r="S210" i="17"/>
  <c r="T210" i="17" s="1"/>
  <c r="U210" i="17"/>
  <c r="V210" i="17"/>
  <c r="W210" i="17"/>
  <c r="X210" i="17"/>
  <c r="Y210" i="17"/>
  <c r="Z210" i="17" s="1"/>
  <c r="AA210" i="17"/>
  <c r="AB210" i="17"/>
  <c r="AC210" i="17" s="1"/>
  <c r="AD210" i="17"/>
  <c r="AG210" i="17"/>
  <c r="AJ210" i="17"/>
  <c r="AN210" i="17"/>
  <c r="AO210" i="17" s="1"/>
  <c r="AP210" i="17"/>
  <c r="AR210" i="17"/>
  <c r="AX210" i="17"/>
  <c r="AY210" i="17"/>
  <c r="AZ210" i="17"/>
  <c r="BA210" i="17"/>
  <c r="BB210" i="17"/>
  <c r="BF210" i="17"/>
  <c r="BG210" i="17"/>
  <c r="BH210" i="17"/>
  <c r="BI210" i="17"/>
  <c r="BC210" i="17" s="1"/>
  <c r="BD210" i="17" s="1"/>
  <c r="BK210" i="17"/>
  <c r="BL210" i="17"/>
  <c r="BM210" i="17"/>
  <c r="BN210" i="17"/>
  <c r="BO210" i="17"/>
  <c r="BP210" i="17" s="1"/>
  <c r="BR210" i="17"/>
  <c r="BT210" i="17"/>
  <c r="BS210" i="17" s="1"/>
  <c r="BU210" i="17"/>
  <c r="BV210" i="17" s="1"/>
  <c r="BW210" i="17"/>
  <c r="CA210" i="17" s="1"/>
  <c r="BY210" i="17"/>
  <c r="BZ210" i="17"/>
  <c r="CB210" i="17"/>
  <c r="CC210" i="17"/>
  <c r="CD210" i="17" s="1"/>
  <c r="CE210" i="17"/>
  <c r="CF210" i="17"/>
  <c r="CG210" i="17"/>
  <c r="CH210" i="17"/>
  <c r="CI210" i="17"/>
  <c r="CK210" i="17"/>
  <c r="A211" i="17"/>
  <c r="B211" i="17"/>
  <c r="C211" i="17"/>
  <c r="D211" i="17"/>
  <c r="E211" i="17"/>
  <c r="F211" i="17"/>
  <c r="G211" i="17"/>
  <c r="H211" i="17"/>
  <c r="I211" i="17"/>
  <c r="J211" i="17"/>
  <c r="L211" i="17"/>
  <c r="M211" i="17"/>
  <c r="P211" i="17"/>
  <c r="U211" i="17" s="1"/>
  <c r="Q211" i="17"/>
  <c r="S211" i="17"/>
  <c r="W211" i="17"/>
  <c r="X211" i="17" s="1"/>
  <c r="Y211" i="17"/>
  <c r="AB211" i="17"/>
  <c r="AC211" i="17"/>
  <c r="AD211" i="17"/>
  <c r="AE211" i="17"/>
  <c r="AF211" i="17"/>
  <c r="AG211" i="17"/>
  <c r="AH211" i="17"/>
  <c r="AI211" i="17"/>
  <c r="AJ211" i="17"/>
  <c r="AL211" i="17"/>
  <c r="AN211" i="17"/>
  <c r="AM211" i="17" s="1"/>
  <c r="AO211" i="17"/>
  <c r="AP211" i="17"/>
  <c r="AQ211" i="17"/>
  <c r="AR211" i="17"/>
  <c r="AS211" i="17" s="1"/>
  <c r="AT211" i="17"/>
  <c r="AW211" i="17"/>
  <c r="AX211" i="17"/>
  <c r="AY211" i="17"/>
  <c r="AZ211" i="17"/>
  <c r="BA211" i="17"/>
  <c r="BF211" i="17" s="1"/>
  <c r="BG211" i="17"/>
  <c r="BH211" i="17" s="1"/>
  <c r="BI211" i="17"/>
  <c r="BC211" i="17" s="1"/>
  <c r="BD211" i="17" s="1"/>
  <c r="BK211" i="17"/>
  <c r="BL211" i="17"/>
  <c r="BM211" i="17"/>
  <c r="BN211" i="17" s="1"/>
  <c r="AV211" i="17" s="1"/>
  <c r="BO211" i="17"/>
  <c r="BP211" i="17" s="1"/>
  <c r="BR211" i="17"/>
  <c r="BQ211" i="17" s="1"/>
  <c r="BS211" i="17"/>
  <c r="BT211" i="17"/>
  <c r="BU211" i="17"/>
  <c r="BV211" i="17" s="1"/>
  <c r="BW211" i="17"/>
  <c r="BX211" i="17"/>
  <c r="BY211" i="17"/>
  <c r="BZ211" i="17" s="1"/>
  <c r="CA211" i="17"/>
  <c r="CB211" i="17"/>
  <c r="CC211" i="17"/>
  <c r="CD211" i="17"/>
  <c r="CE211" i="17"/>
  <c r="CF211" i="17"/>
  <c r="CG211" i="17"/>
  <c r="CH211" i="17"/>
  <c r="CK211" i="17"/>
  <c r="A212" i="17"/>
  <c r="B212" i="17"/>
  <c r="C212" i="17"/>
  <c r="D212" i="17"/>
  <c r="E212" i="17"/>
  <c r="F212" i="17"/>
  <c r="G212" i="17"/>
  <c r="H212" i="17"/>
  <c r="I212" i="17"/>
  <c r="J212" i="17"/>
  <c r="L212" i="17"/>
  <c r="O212" i="17" s="1"/>
  <c r="M212" i="17"/>
  <c r="N212" i="17"/>
  <c r="P212" i="17"/>
  <c r="S212" i="17" s="1"/>
  <c r="T212" i="17" s="1"/>
  <c r="Q212" i="17"/>
  <c r="U212" i="17" s="1"/>
  <c r="R212" i="17"/>
  <c r="W212" i="17"/>
  <c r="AA212" i="17" s="1"/>
  <c r="X212" i="17"/>
  <c r="Y212" i="17"/>
  <c r="Z212" i="17"/>
  <c r="AB212" i="17"/>
  <c r="AC212" i="17"/>
  <c r="AD212" i="17"/>
  <c r="AE212" i="17" s="1"/>
  <c r="AF212" i="17"/>
  <c r="AG212" i="17"/>
  <c r="AH212" i="17" s="1"/>
  <c r="AJ212" i="17"/>
  <c r="AK212" i="17" s="1"/>
  <c r="AL212" i="17"/>
  <c r="AN212" i="17"/>
  <c r="AO212" i="17"/>
  <c r="AP212" i="17"/>
  <c r="AR212" i="17"/>
  <c r="AX212" i="17"/>
  <c r="AY212" i="17"/>
  <c r="AZ212" i="17"/>
  <c r="BA212" i="17"/>
  <c r="BF212" i="17" s="1"/>
  <c r="BG212" i="17"/>
  <c r="BH212" i="17" s="1"/>
  <c r="BI212" i="17"/>
  <c r="BJ212" i="17"/>
  <c r="BK212" i="17"/>
  <c r="BL212" i="17"/>
  <c r="BM212" i="17"/>
  <c r="BN212" i="17" s="1"/>
  <c r="BO212" i="17"/>
  <c r="BP212" i="17"/>
  <c r="BR212" i="17"/>
  <c r="BS212" i="17"/>
  <c r="BT212" i="17"/>
  <c r="BU212" i="17"/>
  <c r="BV212" i="17"/>
  <c r="BW212" i="17"/>
  <c r="BX212" i="17" s="1"/>
  <c r="BY212" i="17"/>
  <c r="BZ212" i="17" s="1"/>
  <c r="CB212" i="17"/>
  <c r="CD212" i="17" s="1"/>
  <c r="CC212" i="17"/>
  <c r="CE212" i="17"/>
  <c r="CF212" i="17"/>
  <c r="CG212" i="17"/>
  <c r="CH212" i="17"/>
  <c r="CI212" i="17" s="1"/>
  <c r="CK212" i="17"/>
  <c r="A213" i="17"/>
  <c r="B213" i="17"/>
  <c r="C213" i="17"/>
  <c r="D213" i="17"/>
  <c r="E213" i="17"/>
  <c r="F213" i="17"/>
  <c r="G213" i="17"/>
  <c r="H213" i="17"/>
  <c r="I213" i="17"/>
  <c r="J213" i="17"/>
  <c r="L213" i="17"/>
  <c r="AC213" i="17" s="1"/>
  <c r="M213" i="17"/>
  <c r="N213" i="17" s="1"/>
  <c r="O213" i="17"/>
  <c r="P213" i="17"/>
  <c r="Q213" i="17"/>
  <c r="V213" i="17" s="1"/>
  <c r="R213" i="17"/>
  <c r="S213" i="17"/>
  <c r="U213" i="17"/>
  <c r="W213" i="17"/>
  <c r="X213" i="17"/>
  <c r="Y213" i="17"/>
  <c r="Z213" i="17" s="1"/>
  <c r="AA213" i="17"/>
  <c r="AB213" i="17"/>
  <c r="AD213" i="17"/>
  <c r="AE213" i="17" s="1"/>
  <c r="AG213" i="17"/>
  <c r="AJ213" i="17"/>
  <c r="AK213" i="17" s="1"/>
  <c r="AM213" i="17"/>
  <c r="AN213" i="17"/>
  <c r="AP213" i="17"/>
  <c r="AT213" i="17" s="1"/>
  <c r="AR213" i="17"/>
  <c r="AS213" i="17"/>
  <c r="AX213" i="17"/>
  <c r="AY213" i="17"/>
  <c r="AZ213" i="17"/>
  <c r="BA213" i="17"/>
  <c r="BF213" i="17" s="1"/>
  <c r="BB213" i="17"/>
  <c r="BG213" i="17"/>
  <c r="BH213" i="17"/>
  <c r="BI213" i="17"/>
  <c r="AU213" i="17" s="1"/>
  <c r="BK213" i="17"/>
  <c r="BL213" i="17"/>
  <c r="BM213" i="17"/>
  <c r="BN213" i="17"/>
  <c r="AV213" i="17" s="1"/>
  <c r="BO213" i="17"/>
  <c r="BP213" i="17" s="1"/>
  <c r="BQ213" i="17"/>
  <c r="BR213" i="17"/>
  <c r="BT213" i="17"/>
  <c r="BS213" i="17" s="1"/>
  <c r="BU213" i="17"/>
  <c r="BV213" i="17" s="1"/>
  <c r="BW213" i="17"/>
  <c r="BY213" i="17"/>
  <c r="BZ213" i="17"/>
  <c r="CB213" i="17"/>
  <c r="CC213" i="17"/>
  <c r="CD213" i="17" s="1"/>
  <c r="CE213" i="17"/>
  <c r="CF213" i="17"/>
  <c r="CG213" i="17"/>
  <c r="CH213" i="17"/>
  <c r="CI213" i="17"/>
  <c r="CK213" i="17"/>
  <c r="A214" i="17"/>
  <c r="B214" i="17"/>
  <c r="C214" i="17"/>
  <c r="D214" i="17"/>
  <c r="E214" i="17"/>
  <c r="F214" i="17"/>
  <c r="G214" i="17"/>
  <c r="H214" i="17"/>
  <c r="I214" i="17"/>
  <c r="J214" i="17"/>
  <c r="L214" i="17"/>
  <c r="M214" i="17"/>
  <c r="N214" i="17" s="1"/>
  <c r="P214" i="17"/>
  <c r="Q214" i="17"/>
  <c r="R214" i="17" s="1"/>
  <c r="AK214" i="17" s="1"/>
  <c r="V214" i="17"/>
  <c r="W214" i="17"/>
  <c r="X214" i="17" s="1"/>
  <c r="Y214" i="17"/>
  <c r="Z214" i="17" s="1"/>
  <c r="AB214" i="17"/>
  <c r="AC214" i="17" s="1"/>
  <c r="AD214" i="17"/>
  <c r="AE214" i="17"/>
  <c r="AF214" i="17"/>
  <c r="AG214" i="17"/>
  <c r="AH214" i="17"/>
  <c r="AI214" i="17"/>
  <c r="AJ214" i="17"/>
  <c r="AL214" i="17"/>
  <c r="AN214" i="17"/>
  <c r="AP214" i="17"/>
  <c r="AQ214" i="17"/>
  <c r="AR214" i="17"/>
  <c r="AS214" i="17" s="1"/>
  <c r="AT214" i="17"/>
  <c r="AW214" i="17"/>
  <c r="AX214" i="17"/>
  <c r="AY214" i="17"/>
  <c r="AZ214" i="17"/>
  <c r="BA214" i="17"/>
  <c r="BB214" i="17" s="1"/>
  <c r="BF214" i="17"/>
  <c r="BG214" i="17"/>
  <c r="BH214" i="17" s="1"/>
  <c r="BI214" i="17"/>
  <c r="AU214" i="17" s="1"/>
  <c r="BK214" i="17"/>
  <c r="BL214" i="17"/>
  <c r="BM214" i="17"/>
  <c r="BN214" i="17" s="1"/>
  <c r="AV214" i="17" s="1"/>
  <c r="BO214" i="17"/>
  <c r="BP214" i="17" s="1"/>
  <c r="BR214" i="17"/>
  <c r="BQ214" i="17" s="1"/>
  <c r="BS214" i="17"/>
  <c r="BT214" i="17"/>
  <c r="BU214" i="17"/>
  <c r="BV214" i="17" s="1"/>
  <c r="BW214" i="17"/>
  <c r="BX214" i="17"/>
  <c r="BY214" i="17"/>
  <c r="BZ214" i="17" s="1"/>
  <c r="CA214" i="17"/>
  <c r="CB214" i="17"/>
  <c r="CC214" i="17"/>
  <c r="CD214" i="17"/>
  <c r="CE214" i="17"/>
  <c r="CF214" i="17"/>
  <c r="CG214" i="17"/>
  <c r="CH214" i="17"/>
  <c r="CI214" i="17" s="1"/>
  <c r="CK214" i="17"/>
  <c r="A215" i="17"/>
  <c r="B215" i="17"/>
  <c r="C215" i="17"/>
  <c r="D215" i="17"/>
  <c r="E215" i="17"/>
  <c r="F215" i="17"/>
  <c r="G215" i="17"/>
  <c r="H215" i="17"/>
  <c r="I215" i="17"/>
  <c r="J215" i="17"/>
  <c r="L215" i="17"/>
  <c r="M215" i="17"/>
  <c r="N215" i="17"/>
  <c r="O215" i="17"/>
  <c r="P215" i="17"/>
  <c r="Q215" i="17"/>
  <c r="W215" i="17"/>
  <c r="Y215" i="17"/>
  <c r="Z215" i="17"/>
  <c r="AB215" i="17"/>
  <c r="AC215" i="17"/>
  <c r="AD215" i="17"/>
  <c r="AE215" i="17" s="1"/>
  <c r="AF215" i="17"/>
  <c r="AG215" i="17"/>
  <c r="AW215" i="17" s="1"/>
  <c r="AI215" i="17"/>
  <c r="AJ215" i="17"/>
  <c r="AL215" i="17"/>
  <c r="AM215" i="17"/>
  <c r="AN215" i="17"/>
  <c r="AO215" i="17"/>
  <c r="AP215" i="17"/>
  <c r="AQ215" i="17" s="1"/>
  <c r="AR215" i="17"/>
  <c r="AS215" i="17" s="1"/>
  <c r="AU215" i="17"/>
  <c r="AX215" i="17"/>
  <c r="AY215" i="17"/>
  <c r="AZ215" i="17"/>
  <c r="BA215" i="17"/>
  <c r="BG215" i="17"/>
  <c r="BH215" i="17" s="1"/>
  <c r="BI215" i="17"/>
  <c r="BJ215" i="17"/>
  <c r="BK215" i="17"/>
  <c r="BL215" i="17"/>
  <c r="BM215" i="17"/>
  <c r="BN215" i="17" s="1"/>
  <c r="BO215" i="17"/>
  <c r="BP215" i="17"/>
  <c r="BQ215" i="17"/>
  <c r="BR215" i="17"/>
  <c r="BS215" i="17"/>
  <c r="BT215" i="17"/>
  <c r="BU215" i="17"/>
  <c r="BV215" i="17"/>
  <c r="BW215" i="17"/>
  <c r="CA215" i="17" s="1"/>
  <c r="BY215" i="17"/>
  <c r="BZ215" i="17" s="1"/>
  <c r="CB215" i="17"/>
  <c r="CD215" i="17" s="1"/>
  <c r="CC215" i="17"/>
  <c r="CE215" i="17"/>
  <c r="CF215" i="17"/>
  <c r="CG215" i="17"/>
  <c r="CH215" i="17"/>
  <c r="CI215" i="17" s="1"/>
  <c r="CK215" i="17"/>
  <c r="A216" i="17"/>
  <c r="B216" i="17"/>
  <c r="C216" i="17"/>
  <c r="D216" i="17"/>
  <c r="E216" i="17"/>
  <c r="F216" i="17"/>
  <c r="G216" i="17"/>
  <c r="H216" i="17"/>
  <c r="I216" i="17"/>
  <c r="J216" i="17"/>
  <c r="L216" i="17"/>
  <c r="M216" i="17"/>
  <c r="N216" i="17" s="1"/>
  <c r="P216" i="17"/>
  <c r="S216" i="17" s="1"/>
  <c r="T216" i="17" s="1"/>
  <c r="Q216" i="17"/>
  <c r="R216" i="17"/>
  <c r="U216" i="17"/>
  <c r="V216" i="17"/>
  <c r="W216" i="17"/>
  <c r="X216" i="17"/>
  <c r="Y216" i="17"/>
  <c r="Z216" i="17" s="1"/>
  <c r="AA216" i="17"/>
  <c r="AB216" i="17"/>
  <c r="AC216" i="17" s="1"/>
  <c r="AD216" i="17"/>
  <c r="AG216" i="17"/>
  <c r="AJ216" i="17"/>
  <c r="AN216" i="17"/>
  <c r="AO216" i="17" s="1"/>
  <c r="AP216" i="17"/>
  <c r="AR216" i="17"/>
  <c r="AX216" i="17"/>
  <c r="AY216" i="17"/>
  <c r="AZ216" i="17"/>
  <c r="BA216" i="17"/>
  <c r="BB216" i="17"/>
  <c r="BE216" i="17" s="1"/>
  <c r="BF216" i="17"/>
  <c r="BG216" i="17"/>
  <c r="BH216" i="17"/>
  <c r="BI216" i="17"/>
  <c r="BC216" i="17" s="1"/>
  <c r="BD216" i="17" s="1"/>
  <c r="BK216" i="17"/>
  <c r="BL216" i="17"/>
  <c r="BM216" i="17"/>
  <c r="BN216" i="17"/>
  <c r="BO216" i="17"/>
  <c r="BP216" i="17" s="1"/>
  <c r="BR216" i="17"/>
  <c r="BQ216" i="17" s="1"/>
  <c r="BT216" i="17"/>
  <c r="BS216" i="17" s="1"/>
  <c r="BU216" i="17"/>
  <c r="BV216" i="17" s="1"/>
  <c r="BW216" i="17"/>
  <c r="CA216" i="17" s="1"/>
  <c r="BY216" i="17"/>
  <c r="BZ216" i="17"/>
  <c r="CB216" i="17"/>
  <c r="CC216" i="17"/>
  <c r="CD216" i="17" s="1"/>
  <c r="CE216" i="17"/>
  <c r="CF216" i="17"/>
  <c r="CG216" i="17"/>
  <c r="CH216" i="17"/>
  <c r="CI216" i="17"/>
  <c r="CK216" i="17"/>
  <c r="A217" i="17"/>
  <c r="B217" i="17"/>
  <c r="C217" i="17"/>
  <c r="D217" i="17"/>
  <c r="E217" i="17"/>
  <c r="F217" i="17"/>
  <c r="G217" i="17"/>
  <c r="H217" i="17"/>
  <c r="I217" i="17"/>
  <c r="J217" i="17"/>
  <c r="L217" i="17"/>
  <c r="M217" i="17"/>
  <c r="P217" i="17"/>
  <c r="U217" i="17" s="1"/>
  <c r="Q217" i="17"/>
  <c r="S217" i="17"/>
  <c r="W217" i="17"/>
  <c r="X217" i="17" s="1"/>
  <c r="Y217" i="17"/>
  <c r="AB217" i="17"/>
  <c r="AC217" i="17"/>
  <c r="AD217" i="17"/>
  <c r="AE217" i="17"/>
  <c r="AF217" i="17"/>
  <c r="AG217" i="17"/>
  <c r="AH217" i="17"/>
  <c r="AI217" i="17"/>
  <c r="AJ217" i="17"/>
  <c r="AL217" i="17"/>
  <c r="AN217" i="17"/>
  <c r="AM217" i="17" s="1"/>
  <c r="AO217" i="17"/>
  <c r="AP217" i="17"/>
  <c r="AQ217" i="17"/>
  <c r="AR217" i="17"/>
  <c r="AS217" i="17" s="1"/>
  <c r="AT217" i="17"/>
  <c r="AW217" i="17"/>
  <c r="AX217" i="17"/>
  <c r="AY217" i="17"/>
  <c r="AZ217" i="17"/>
  <c r="BA217" i="17"/>
  <c r="BF217" i="17" s="1"/>
  <c r="BG217" i="17"/>
  <c r="BH217" i="17" s="1"/>
  <c r="BI217" i="17"/>
  <c r="BC217" i="17" s="1"/>
  <c r="BD217" i="17" s="1"/>
  <c r="BK217" i="17"/>
  <c r="BL217" i="17"/>
  <c r="BM217" i="17"/>
  <c r="BN217" i="17" s="1"/>
  <c r="AV217" i="17" s="1"/>
  <c r="BO217" i="17"/>
  <c r="BP217" i="17" s="1"/>
  <c r="BR217" i="17"/>
  <c r="BQ217" i="17" s="1"/>
  <c r="BS217" i="17"/>
  <c r="BT217" i="17"/>
  <c r="BU217" i="17"/>
  <c r="BV217" i="17" s="1"/>
  <c r="BW217" i="17"/>
  <c r="BX217" i="17"/>
  <c r="BY217" i="17"/>
  <c r="BZ217" i="17" s="1"/>
  <c r="CA217" i="17"/>
  <c r="CB217" i="17"/>
  <c r="CC217" i="17"/>
  <c r="CD217" i="17"/>
  <c r="CE217" i="17"/>
  <c r="CF217" i="17"/>
  <c r="CG217" i="17"/>
  <c r="CH217" i="17"/>
  <c r="CK217" i="17"/>
  <c r="A218" i="17"/>
  <c r="B218" i="17"/>
  <c r="C218" i="17"/>
  <c r="D218" i="17"/>
  <c r="E218" i="17"/>
  <c r="F218" i="17"/>
  <c r="G218" i="17"/>
  <c r="H218" i="17"/>
  <c r="I218" i="17"/>
  <c r="J218" i="17"/>
  <c r="L218" i="17"/>
  <c r="O218" i="17" s="1"/>
  <c r="M218" i="17"/>
  <c r="N218" i="17"/>
  <c r="P218" i="17"/>
  <c r="S218" i="17" s="1"/>
  <c r="Q218" i="17"/>
  <c r="U218" i="17" s="1"/>
  <c r="T218" i="17"/>
  <c r="W218" i="17"/>
  <c r="AA218" i="17" s="1"/>
  <c r="Y218" i="17"/>
  <c r="Z218" i="17"/>
  <c r="AB218" i="17"/>
  <c r="AC218" i="17"/>
  <c r="AD218" i="17"/>
  <c r="AE218" i="17" s="1"/>
  <c r="AF218" i="17"/>
  <c r="AG218" i="17"/>
  <c r="AH218" i="17" s="1"/>
  <c r="AI218" i="17"/>
  <c r="AJ218" i="17"/>
  <c r="AL218" i="17"/>
  <c r="AN218" i="17"/>
  <c r="AO218" i="17"/>
  <c r="AP218" i="17"/>
  <c r="AR218" i="17"/>
  <c r="AX218" i="17"/>
  <c r="AY218" i="17"/>
  <c r="AZ218" i="17"/>
  <c r="BA218" i="17"/>
  <c r="BF218" i="17" s="1"/>
  <c r="BG218" i="17"/>
  <c r="BH218" i="17" s="1"/>
  <c r="BI218" i="17"/>
  <c r="BJ218" i="17"/>
  <c r="BK218" i="17"/>
  <c r="BL218" i="17"/>
  <c r="BM218" i="17"/>
  <c r="BN218" i="17" s="1"/>
  <c r="BO218" i="17"/>
  <c r="BP218" i="17"/>
  <c r="BR218" i="17"/>
  <c r="BS218" i="17"/>
  <c r="BT218" i="17"/>
  <c r="BU218" i="17"/>
  <c r="BV218" i="17"/>
  <c r="BW218" i="17"/>
  <c r="BX218" i="17" s="1"/>
  <c r="BY218" i="17"/>
  <c r="BZ218" i="17" s="1"/>
  <c r="CB218" i="17"/>
  <c r="CD218" i="17" s="1"/>
  <c r="CC218" i="17"/>
  <c r="CE218" i="17"/>
  <c r="CF218" i="17"/>
  <c r="CG218" i="17"/>
  <c r="CH218" i="17"/>
  <c r="CI218" i="17" s="1"/>
  <c r="CK218" i="17"/>
  <c r="A219" i="17"/>
  <c r="B219" i="17"/>
  <c r="C219" i="17"/>
  <c r="D219" i="17"/>
  <c r="E219" i="17"/>
  <c r="F219" i="17"/>
  <c r="G219" i="17"/>
  <c r="H219" i="17"/>
  <c r="I219" i="17"/>
  <c r="J219" i="17"/>
  <c r="L219" i="17"/>
  <c r="AC219" i="17" s="1"/>
  <c r="M219" i="17"/>
  <c r="N219" i="17" s="1"/>
  <c r="O219" i="17"/>
  <c r="P219" i="17"/>
  <c r="Q219" i="17"/>
  <c r="V219" i="17" s="1"/>
  <c r="R219" i="17"/>
  <c r="S219" i="17"/>
  <c r="U219" i="17"/>
  <c r="W219" i="17"/>
  <c r="X219" i="17"/>
  <c r="Y219" i="17"/>
  <c r="Z219" i="17" s="1"/>
  <c r="AA219" i="17"/>
  <c r="AB219" i="17"/>
  <c r="AD219" i="17"/>
  <c r="AE219" i="17" s="1"/>
  <c r="AG219" i="17"/>
  <c r="AJ219" i="17"/>
  <c r="AK219" i="17" s="1"/>
  <c r="AM219" i="17"/>
  <c r="AN219" i="17"/>
  <c r="AP219" i="17"/>
  <c r="AT219" i="17" s="1"/>
  <c r="AR219" i="17"/>
  <c r="AS219" i="17"/>
  <c r="AX219" i="17"/>
  <c r="AY219" i="17"/>
  <c r="AZ219" i="17"/>
  <c r="BA219" i="17"/>
  <c r="BF219" i="17" s="1"/>
  <c r="BB219" i="17"/>
  <c r="BG219" i="17"/>
  <c r="BH219" i="17"/>
  <c r="BI219" i="17"/>
  <c r="AU219" i="17" s="1"/>
  <c r="BK219" i="17"/>
  <c r="BL219" i="17"/>
  <c r="BM219" i="17"/>
  <c r="BN219" i="17"/>
  <c r="BO219" i="17"/>
  <c r="BP219" i="17" s="1"/>
  <c r="BQ219" i="17"/>
  <c r="BR219" i="17"/>
  <c r="BT219" i="17"/>
  <c r="BS219" i="17" s="1"/>
  <c r="BU219" i="17"/>
  <c r="BV219" i="17" s="1"/>
  <c r="BW219" i="17"/>
  <c r="BY219" i="17"/>
  <c r="BZ219" i="17"/>
  <c r="CB219" i="17"/>
  <c r="CC219" i="17"/>
  <c r="CD219" i="17" s="1"/>
  <c r="CE219" i="17"/>
  <c r="CF219" i="17"/>
  <c r="CG219" i="17"/>
  <c r="CH219" i="17"/>
  <c r="CI219" i="17"/>
  <c r="CK219" i="17"/>
  <c r="A220" i="17"/>
  <c r="B220" i="17"/>
  <c r="C220" i="17"/>
  <c r="D220" i="17"/>
  <c r="E220" i="17"/>
  <c r="F220" i="17"/>
  <c r="G220" i="17"/>
  <c r="H220" i="17"/>
  <c r="I220" i="17"/>
  <c r="J220" i="17"/>
  <c r="L220" i="17"/>
  <c r="M220" i="17"/>
  <c r="N220" i="17" s="1"/>
  <c r="P220" i="17"/>
  <c r="V220" i="17" s="1"/>
  <c r="Q220" i="17"/>
  <c r="R220" i="17" s="1"/>
  <c r="AK220" i="17" s="1"/>
  <c r="W220" i="17"/>
  <c r="X220" i="17" s="1"/>
  <c r="Y220" i="17"/>
  <c r="Z220" i="17" s="1"/>
  <c r="AB220" i="17"/>
  <c r="AC220" i="17" s="1"/>
  <c r="AD220" i="17"/>
  <c r="AE220" i="17"/>
  <c r="AF220" i="17"/>
  <c r="AG220" i="17"/>
  <c r="AH220" i="17"/>
  <c r="AI220" i="17"/>
  <c r="AJ220" i="17"/>
  <c r="AL220" i="17"/>
  <c r="AN220" i="17"/>
  <c r="AP220" i="17"/>
  <c r="AQ220" i="17"/>
  <c r="AR220" i="17"/>
  <c r="AS220" i="17" s="1"/>
  <c r="AT220" i="17"/>
  <c r="AU220" i="17"/>
  <c r="AW220" i="17"/>
  <c r="AX220" i="17"/>
  <c r="AY220" i="17"/>
  <c r="AZ220" i="17"/>
  <c r="BA220" i="17"/>
  <c r="BB220" i="17" s="1"/>
  <c r="BF220" i="17"/>
  <c r="BG220" i="17"/>
  <c r="BH220" i="17" s="1"/>
  <c r="BI220" i="17"/>
  <c r="BJ220" i="17" s="1"/>
  <c r="BK220" i="17"/>
  <c r="BL220" i="17"/>
  <c r="BM220" i="17"/>
  <c r="BN220" i="17" s="1"/>
  <c r="BO220" i="17"/>
  <c r="BP220" i="17" s="1"/>
  <c r="BR220" i="17"/>
  <c r="BQ220" i="17" s="1"/>
  <c r="BS220" i="17"/>
  <c r="BT220" i="17"/>
  <c r="BU220" i="17"/>
  <c r="BV220" i="17" s="1"/>
  <c r="BW220" i="17"/>
  <c r="BX220" i="17"/>
  <c r="BY220" i="17"/>
  <c r="BZ220" i="17" s="1"/>
  <c r="CA220" i="17"/>
  <c r="CB220" i="17"/>
  <c r="CC220" i="17"/>
  <c r="CD220" i="17"/>
  <c r="CE220" i="17"/>
  <c r="CF220" i="17"/>
  <c r="CG220" i="17"/>
  <c r="CH220" i="17"/>
  <c r="CI220" i="17" s="1"/>
  <c r="CK220" i="17"/>
  <c r="A221" i="17"/>
  <c r="B221" i="17"/>
  <c r="C221" i="17"/>
  <c r="D221" i="17"/>
  <c r="E221" i="17"/>
  <c r="F221" i="17"/>
  <c r="G221" i="17"/>
  <c r="H221" i="17"/>
  <c r="I221" i="17"/>
  <c r="J221" i="17"/>
  <c r="L221" i="17"/>
  <c r="Z221" i="17" s="1"/>
  <c r="M221" i="17"/>
  <c r="N221" i="17"/>
  <c r="P221" i="17"/>
  <c r="Q221" i="17"/>
  <c r="W221" i="17"/>
  <c r="Y221" i="17"/>
  <c r="AB221" i="17"/>
  <c r="AC221" i="17"/>
  <c r="AD221" i="17"/>
  <c r="AE221" i="17" s="1"/>
  <c r="AG221" i="17"/>
  <c r="AW221" i="17" s="1"/>
  <c r="AI221" i="17"/>
  <c r="AJ221" i="17"/>
  <c r="AN221" i="17"/>
  <c r="AO221" i="17"/>
  <c r="AP221" i="17"/>
  <c r="AQ221" i="17" s="1"/>
  <c r="AR221" i="17"/>
  <c r="AS221" i="17" s="1"/>
  <c r="AU221" i="17"/>
  <c r="AX221" i="17"/>
  <c r="AY221" i="17"/>
  <c r="AZ221" i="17"/>
  <c r="BA221" i="17"/>
  <c r="BG221" i="17"/>
  <c r="BH221" i="17" s="1"/>
  <c r="BI221" i="17"/>
  <c r="BK221" i="17"/>
  <c r="BL221" i="17"/>
  <c r="BM221" i="17"/>
  <c r="BN221" i="17" s="1"/>
  <c r="BO221" i="17"/>
  <c r="BR221" i="17"/>
  <c r="BS221" i="17"/>
  <c r="BT221" i="17"/>
  <c r="BU221" i="17"/>
  <c r="BW221" i="17"/>
  <c r="CA221" i="17" s="1"/>
  <c r="BY221" i="17"/>
  <c r="BZ221" i="17" s="1"/>
  <c r="CB221" i="17"/>
  <c r="CD221" i="17" s="1"/>
  <c r="CC221" i="17"/>
  <c r="CE221" i="17"/>
  <c r="CF221" i="17"/>
  <c r="CG221" i="17"/>
  <c r="CH221" i="17"/>
  <c r="CI221" i="17" s="1"/>
  <c r="CK221" i="17"/>
  <c r="A222" i="17"/>
  <c r="B222" i="17"/>
  <c r="C222" i="17"/>
  <c r="D222" i="17"/>
  <c r="E222" i="17"/>
  <c r="F222" i="17"/>
  <c r="G222" i="17"/>
  <c r="H222" i="17"/>
  <c r="I222" i="17"/>
  <c r="J222" i="17"/>
  <c r="L222" i="17"/>
  <c r="M222" i="17"/>
  <c r="N222" i="17" s="1"/>
  <c r="P222" i="17"/>
  <c r="Q222" i="17"/>
  <c r="S222" i="17"/>
  <c r="T222" i="17" s="1"/>
  <c r="U222" i="17"/>
  <c r="V222" i="17"/>
  <c r="W222" i="17"/>
  <c r="X222" i="17"/>
  <c r="Y222" i="17"/>
  <c r="AB222" i="17"/>
  <c r="AD222" i="17"/>
  <c r="AG222" i="17"/>
  <c r="AH222" i="17" s="1"/>
  <c r="AJ222" i="17"/>
  <c r="AN222" i="17"/>
  <c r="AO222" i="17" s="1"/>
  <c r="AP222" i="17"/>
  <c r="AR222" i="17"/>
  <c r="AX222" i="17"/>
  <c r="AY222" i="17"/>
  <c r="AZ222" i="17"/>
  <c r="BA222" i="17"/>
  <c r="BF222" i="17"/>
  <c r="BG222" i="17"/>
  <c r="BH222" i="17"/>
  <c r="BI222" i="17"/>
  <c r="BC222" i="17" s="1"/>
  <c r="BD222" i="17" s="1"/>
  <c r="BK222" i="17"/>
  <c r="BL222" i="17"/>
  <c r="BM222" i="17"/>
  <c r="BN222" i="17"/>
  <c r="BO222" i="17"/>
  <c r="BP222" i="17" s="1"/>
  <c r="BR222" i="17"/>
  <c r="BT222" i="17"/>
  <c r="BU222" i="17"/>
  <c r="BW222" i="17"/>
  <c r="BX222" i="17" s="1"/>
  <c r="BY222" i="17"/>
  <c r="BZ222" i="17"/>
  <c r="CA222" i="17"/>
  <c r="CB222" i="17"/>
  <c r="CC222" i="17"/>
  <c r="CD222" i="17" s="1"/>
  <c r="CE222" i="17"/>
  <c r="CF222" i="17"/>
  <c r="CG222" i="17"/>
  <c r="CI222" i="17" s="1"/>
  <c r="CH222" i="17"/>
  <c r="CK222" i="17"/>
  <c r="A223" i="17"/>
  <c r="B223" i="17"/>
  <c r="C223" i="17"/>
  <c r="D223" i="17"/>
  <c r="E223" i="17"/>
  <c r="F223" i="17"/>
  <c r="G223" i="17"/>
  <c r="H223" i="17"/>
  <c r="I223" i="17"/>
  <c r="J223" i="17"/>
  <c r="L223" i="17"/>
  <c r="M223" i="17"/>
  <c r="P223" i="17"/>
  <c r="U223" i="17" s="1"/>
  <c r="Q223" i="17"/>
  <c r="V223" i="17" s="1"/>
  <c r="S223" i="17"/>
  <c r="T223" i="17" s="1"/>
  <c r="W223" i="17"/>
  <c r="X223" i="17" s="1"/>
  <c r="Y223" i="17"/>
  <c r="AB223" i="17"/>
  <c r="AC223" i="17"/>
  <c r="AD223" i="17"/>
  <c r="AE223" i="17"/>
  <c r="AF223" i="17"/>
  <c r="AG223" i="17"/>
  <c r="AH223" i="17"/>
  <c r="AI223" i="17"/>
  <c r="AJ223" i="17"/>
  <c r="AL223" i="17"/>
  <c r="AN223" i="17"/>
  <c r="AM223" i="17" s="1"/>
  <c r="AO223" i="17"/>
  <c r="AP223" i="17"/>
  <c r="AQ223" i="17"/>
  <c r="AR223" i="17"/>
  <c r="AS223" i="17" s="1"/>
  <c r="AW223" i="17"/>
  <c r="AX223" i="17"/>
  <c r="AY223" i="17"/>
  <c r="AZ223" i="17"/>
  <c r="BA223" i="17"/>
  <c r="BF223" i="17" s="1"/>
  <c r="BG223" i="17"/>
  <c r="BH223" i="17" s="1"/>
  <c r="BI223" i="17"/>
  <c r="BC223" i="17" s="1"/>
  <c r="BD223" i="17" s="1"/>
  <c r="BK223" i="17"/>
  <c r="BL223" i="17"/>
  <c r="BM223" i="17"/>
  <c r="BN223" i="17" s="1"/>
  <c r="BO223" i="17"/>
  <c r="BP223" i="17" s="1"/>
  <c r="BR223" i="17"/>
  <c r="BQ223" i="17" s="1"/>
  <c r="BS223" i="17"/>
  <c r="BT223" i="17"/>
  <c r="BU223" i="17"/>
  <c r="BV223" i="17" s="1"/>
  <c r="BW223" i="17"/>
  <c r="BX223" i="17"/>
  <c r="BY223" i="17"/>
  <c r="BZ223" i="17" s="1"/>
  <c r="CA223" i="17"/>
  <c r="CB223" i="17"/>
  <c r="CD223" i="17" s="1"/>
  <c r="CC223" i="17"/>
  <c r="CE223" i="17"/>
  <c r="CF223" i="17"/>
  <c r="CG223" i="17"/>
  <c r="CH223" i="17"/>
  <c r="CK223" i="17"/>
  <c r="A224" i="17"/>
  <c r="B224" i="17"/>
  <c r="C224" i="17"/>
  <c r="D224" i="17"/>
  <c r="E224" i="17"/>
  <c r="F224" i="17"/>
  <c r="G224" i="17"/>
  <c r="H224" i="17"/>
  <c r="I224" i="17"/>
  <c r="J224" i="17"/>
  <c r="L224" i="17"/>
  <c r="M224" i="17"/>
  <c r="N224" i="17"/>
  <c r="O224" i="17"/>
  <c r="P224" i="17"/>
  <c r="S224" i="17" s="1"/>
  <c r="Q224" i="17"/>
  <c r="V224" i="17" s="1"/>
  <c r="T224" i="17"/>
  <c r="U224" i="17"/>
  <c r="W224" i="17"/>
  <c r="X224" i="17" s="1"/>
  <c r="Y224" i="17"/>
  <c r="Z224" i="17"/>
  <c r="AA224" i="17"/>
  <c r="AB224" i="17"/>
  <c r="AC224" i="17"/>
  <c r="AD224" i="17"/>
  <c r="AE224" i="17" s="1"/>
  <c r="AF224" i="17"/>
  <c r="AG224" i="17"/>
  <c r="AH224" i="17" s="1"/>
  <c r="AJ224" i="17"/>
  <c r="AL224" i="17"/>
  <c r="AM224" i="17"/>
  <c r="AN224" i="17"/>
  <c r="AO224" i="17"/>
  <c r="AP224" i="17"/>
  <c r="AR224" i="17"/>
  <c r="CJ196" i="17" s="1"/>
  <c r="AX224" i="17"/>
  <c r="AY224" i="17"/>
  <c r="AZ224" i="17"/>
  <c r="BA224" i="17"/>
  <c r="BF224" i="17" s="1"/>
  <c r="BG224" i="17"/>
  <c r="BH224" i="17" s="1"/>
  <c r="BI224" i="17"/>
  <c r="BJ224" i="17"/>
  <c r="BK224" i="17"/>
  <c r="BL224" i="17"/>
  <c r="BM224" i="17"/>
  <c r="BN224" i="17" s="1"/>
  <c r="BO224" i="17"/>
  <c r="BP224" i="17"/>
  <c r="BQ224" i="17"/>
  <c r="BR224" i="17"/>
  <c r="BS224" i="17"/>
  <c r="BT224" i="17"/>
  <c r="BU224" i="17"/>
  <c r="BV224" i="17"/>
  <c r="BW224" i="17"/>
  <c r="BX224" i="17" s="1"/>
  <c r="BY224" i="17"/>
  <c r="BZ224" i="17" s="1"/>
  <c r="CB224" i="17"/>
  <c r="CD224" i="17" s="1"/>
  <c r="CC224" i="17"/>
  <c r="CE224" i="17"/>
  <c r="CF224" i="17"/>
  <c r="CG224" i="17"/>
  <c r="CH224" i="17"/>
  <c r="CI224" i="17" s="1"/>
  <c r="CK224" i="17"/>
  <c r="A225" i="17"/>
  <c r="B225" i="17"/>
  <c r="C225" i="17"/>
  <c r="D225" i="17"/>
  <c r="E225" i="17"/>
  <c r="F225" i="17"/>
  <c r="G225" i="17"/>
  <c r="H225" i="17"/>
  <c r="I225" i="17"/>
  <c r="J225" i="17"/>
  <c r="L225" i="17"/>
  <c r="M225" i="17"/>
  <c r="N225" i="17" s="1"/>
  <c r="O225" i="17"/>
  <c r="P225" i="17"/>
  <c r="S225" i="17" s="1"/>
  <c r="Q225" i="17"/>
  <c r="R225" i="17"/>
  <c r="U225" i="17"/>
  <c r="V225" i="17"/>
  <c r="W225" i="17"/>
  <c r="X225" i="17"/>
  <c r="Y225" i="17"/>
  <c r="Z225" i="17" s="1"/>
  <c r="AA225" i="17"/>
  <c r="AB225" i="17"/>
  <c r="AC225" i="17" s="1"/>
  <c r="AD225" i="17"/>
  <c r="AE225" i="17" s="1"/>
  <c r="AG225" i="17"/>
  <c r="AJ225" i="17"/>
  <c r="AK225" i="17" s="1"/>
  <c r="AM225" i="17"/>
  <c r="AN225" i="17"/>
  <c r="AO225" i="17" s="1"/>
  <c r="AP225" i="17"/>
  <c r="AT225" i="17" s="1"/>
  <c r="AR225" i="17"/>
  <c r="AS225" i="17"/>
  <c r="AX225" i="17"/>
  <c r="AY225" i="17"/>
  <c r="AZ225" i="17"/>
  <c r="BA225" i="17"/>
  <c r="BB225" i="17"/>
  <c r="BE225" i="17"/>
  <c r="BF225" i="17"/>
  <c r="BG225" i="17"/>
  <c r="BH225" i="17"/>
  <c r="BI225" i="17"/>
  <c r="AU225" i="17" s="1"/>
  <c r="BK225" i="17"/>
  <c r="BL225" i="17"/>
  <c r="BM225" i="17"/>
  <c r="BN225" i="17"/>
  <c r="AV225" i="17" s="1"/>
  <c r="BO225" i="17"/>
  <c r="BP225" i="17" s="1"/>
  <c r="BQ225" i="17"/>
  <c r="BR225" i="17"/>
  <c r="BT225" i="17"/>
  <c r="BS225" i="17" s="1"/>
  <c r="BU225" i="17"/>
  <c r="BV225" i="17" s="1"/>
  <c r="BW225" i="17"/>
  <c r="BY225" i="17"/>
  <c r="BZ225" i="17"/>
  <c r="CB225" i="17"/>
  <c r="CC225" i="17"/>
  <c r="CD225" i="17" s="1"/>
  <c r="CE225" i="17"/>
  <c r="CF225" i="17"/>
  <c r="CG225" i="17"/>
  <c r="CH225" i="17"/>
  <c r="CI225" i="17"/>
  <c r="CK225" i="17"/>
  <c r="A226" i="17"/>
  <c r="B226" i="17"/>
  <c r="C226" i="17"/>
  <c r="D226" i="17"/>
  <c r="E226" i="17"/>
  <c r="F226" i="17"/>
  <c r="G226" i="17"/>
  <c r="H226" i="17"/>
  <c r="I226" i="17"/>
  <c r="J226" i="17"/>
  <c r="L226" i="17"/>
  <c r="M226" i="17"/>
  <c r="N226" i="17" s="1"/>
  <c r="P226" i="17"/>
  <c r="V226" i="17" s="1"/>
  <c r="Q226" i="17"/>
  <c r="W226" i="17"/>
  <c r="X226" i="17" s="1"/>
  <c r="Y226" i="17"/>
  <c r="Z226" i="17" s="1"/>
  <c r="AB226" i="17"/>
  <c r="AC226" i="17" s="1"/>
  <c r="AD226" i="17"/>
  <c r="AE226" i="17"/>
  <c r="AF226" i="17"/>
  <c r="AG226" i="17"/>
  <c r="AH226" i="17"/>
  <c r="AI226" i="17"/>
  <c r="AJ226" i="17"/>
  <c r="AL226" i="17"/>
  <c r="AN226" i="17"/>
  <c r="AM226" i="17" s="1"/>
  <c r="AP226" i="17"/>
  <c r="AQ226" i="17"/>
  <c r="AR226" i="17"/>
  <c r="AS226" i="17" s="1"/>
  <c r="AT226" i="17"/>
  <c r="AU226" i="17"/>
  <c r="AW226" i="17"/>
  <c r="AX226" i="17"/>
  <c r="AY226" i="17"/>
  <c r="AZ226" i="17"/>
  <c r="BA226" i="17"/>
  <c r="BF226" i="17"/>
  <c r="BG226" i="17"/>
  <c r="BH226" i="17" s="1"/>
  <c r="BI226" i="17"/>
  <c r="BJ226" i="17" s="1"/>
  <c r="BK226" i="17"/>
  <c r="BL226" i="17"/>
  <c r="BM226" i="17"/>
  <c r="BN226" i="17" s="1"/>
  <c r="AV226" i="17" s="1"/>
  <c r="BO226" i="17"/>
  <c r="BP226" i="17" s="1"/>
  <c r="BR226" i="17"/>
  <c r="BQ226" i="17" s="1"/>
  <c r="BS226" i="17"/>
  <c r="BT226" i="17"/>
  <c r="BU226" i="17"/>
  <c r="BV226" i="17" s="1"/>
  <c r="BW226" i="17"/>
  <c r="BX226" i="17"/>
  <c r="BY226" i="17"/>
  <c r="BZ226" i="17" s="1"/>
  <c r="CA226" i="17"/>
  <c r="CB226" i="17"/>
  <c r="CC226" i="17"/>
  <c r="CD226" i="17"/>
  <c r="CE226" i="17"/>
  <c r="CF226" i="17"/>
  <c r="CG226" i="17"/>
  <c r="CH226" i="17"/>
  <c r="CK226" i="17"/>
  <c r="A227" i="17"/>
  <c r="B227" i="17"/>
  <c r="C227" i="17"/>
  <c r="D227" i="17"/>
  <c r="E227" i="17"/>
  <c r="F227" i="17"/>
  <c r="G227" i="17"/>
  <c r="H227" i="17"/>
  <c r="I227" i="17"/>
  <c r="J227" i="17"/>
  <c r="L227" i="17"/>
  <c r="M227" i="17"/>
  <c r="N227" i="17"/>
  <c r="P227" i="17"/>
  <c r="Q227" i="17"/>
  <c r="R227" i="17" s="1"/>
  <c r="W227" i="17"/>
  <c r="AA227" i="17" s="1"/>
  <c r="Y227" i="17"/>
  <c r="Z227" i="17"/>
  <c r="AB227" i="17"/>
  <c r="AC227" i="17"/>
  <c r="AD227" i="17"/>
  <c r="AE227" i="17" s="1"/>
  <c r="AG227" i="17"/>
  <c r="AW227" i="17" s="1"/>
  <c r="AJ227" i="17"/>
  <c r="AN227" i="17"/>
  <c r="AO227" i="17"/>
  <c r="AP227" i="17"/>
  <c r="AI227" i="17" s="1"/>
  <c r="AR227" i="17"/>
  <c r="AS227" i="17" s="1"/>
  <c r="AX227" i="17"/>
  <c r="AY227" i="17"/>
  <c r="AZ227" i="17"/>
  <c r="BA227" i="17"/>
  <c r="BB227" i="17" s="1"/>
  <c r="BE227" i="17" s="1"/>
  <c r="BG227" i="17"/>
  <c r="BH227" i="17" s="1"/>
  <c r="BI227" i="17"/>
  <c r="BJ227" i="17"/>
  <c r="BK227" i="17"/>
  <c r="BL227" i="17"/>
  <c r="BM227" i="17"/>
  <c r="BN227" i="17" s="1"/>
  <c r="AV227" i="17" s="1"/>
  <c r="BO227" i="17"/>
  <c r="BP227" i="17"/>
  <c r="BR227" i="17"/>
  <c r="BT227" i="17"/>
  <c r="BS227" i="17" s="1"/>
  <c r="BU227" i="17"/>
  <c r="BV227" i="17"/>
  <c r="BW227" i="17"/>
  <c r="CA227" i="17" s="1"/>
  <c r="BY227" i="17"/>
  <c r="BZ227" i="17"/>
  <c r="CB227" i="17"/>
  <c r="CD227" i="17" s="1"/>
  <c r="CC227" i="17"/>
  <c r="CE227" i="17"/>
  <c r="CF227" i="17"/>
  <c r="CG227" i="17"/>
  <c r="CH227" i="17"/>
  <c r="CI227" i="17" s="1"/>
  <c r="CK227" i="17"/>
  <c r="A228" i="17"/>
  <c r="B228" i="17"/>
  <c r="C228" i="17"/>
  <c r="D228" i="17"/>
  <c r="E228" i="17"/>
  <c r="F228" i="17"/>
  <c r="G228" i="17"/>
  <c r="H228" i="17"/>
  <c r="I228" i="17"/>
  <c r="J228" i="17"/>
  <c r="L228" i="17"/>
  <c r="R228" i="17" s="1"/>
  <c r="AK228" i="17" s="1"/>
  <c r="M228" i="17"/>
  <c r="N228" i="17" s="1"/>
  <c r="P228" i="17"/>
  <c r="Q228" i="17"/>
  <c r="S228" i="17"/>
  <c r="T228" i="17" s="1"/>
  <c r="U228" i="17"/>
  <c r="V228" i="17"/>
  <c r="W228" i="17"/>
  <c r="X228" i="17"/>
  <c r="Y228" i="17"/>
  <c r="AA228" i="17"/>
  <c r="AB228" i="17"/>
  <c r="AC228" i="17" s="1"/>
  <c r="AD228" i="17"/>
  <c r="AE228" i="17"/>
  <c r="AG228" i="17"/>
  <c r="AW228" i="17" s="1"/>
  <c r="AJ228" i="17"/>
  <c r="AM228" i="17"/>
  <c r="AN228" i="17"/>
  <c r="AO228" i="17" s="1"/>
  <c r="AP228" i="17"/>
  <c r="AT228" i="17" s="1"/>
  <c r="AR228" i="17"/>
  <c r="AS228" i="17"/>
  <c r="AX228" i="17"/>
  <c r="AY228" i="17"/>
  <c r="AZ228" i="17"/>
  <c r="BA228" i="17"/>
  <c r="BB228" i="17"/>
  <c r="BE228" i="17"/>
  <c r="BF228" i="17"/>
  <c r="BG228" i="17"/>
  <c r="BH228" i="17"/>
  <c r="BI228" i="17"/>
  <c r="BC228" i="17" s="1"/>
  <c r="BD228" i="17" s="1"/>
  <c r="BK228" i="17"/>
  <c r="BL228" i="17"/>
  <c r="BM228" i="17"/>
  <c r="BO228" i="17"/>
  <c r="BP228" i="17" s="1"/>
  <c r="BQ228" i="17"/>
  <c r="BR228" i="17"/>
  <c r="BT228" i="17"/>
  <c r="BS228" i="17" s="1"/>
  <c r="BU228" i="17"/>
  <c r="BV228" i="17" s="1"/>
  <c r="BW228" i="17"/>
  <c r="BX228" i="17"/>
  <c r="BY228" i="17"/>
  <c r="BZ228" i="17"/>
  <c r="CA228" i="17"/>
  <c r="CB228" i="17"/>
  <c r="CC228" i="17"/>
  <c r="CD228" i="17"/>
  <c r="CE228" i="17"/>
  <c r="CF228" i="17"/>
  <c r="CG228" i="17"/>
  <c r="CI228" i="17" s="1"/>
  <c r="CH228" i="17"/>
  <c r="CK228" i="17"/>
  <c r="A229" i="17"/>
  <c r="B229" i="17"/>
  <c r="C229" i="17"/>
  <c r="D229" i="17"/>
  <c r="E229" i="17"/>
  <c r="F229" i="17"/>
  <c r="G229" i="17"/>
  <c r="H229" i="17"/>
  <c r="I229" i="17"/>
  <c r="J229" i="17"/>
  <c r="L229" i="17"/>
  <c r="M229" i="17"/>
  <c r="O229" i="17" s="1"/>
  <c r="N229" i="17"/>
  <c r="P229" i="17"/>
  <c r="U229" i="17" s="1"/>
  <c r="Q229" i="17"/>
  <c r="R229" i="17" s="1"/>
  <c r="W229" i="17"/>
  <c r="X229" i="17" s="1"/>
  <c r="Y229" i="17"/>
  <c r="Z229" i="17" s="1"/>
  <c r="AB229" i="17"/>
  <c r="AC229" i="17"/>
  <c r="AD229" i="17"/>
  <c r="AE229" i="17"/>
  <c r="AF229" i="17"/>
  <c r="AG229" i="17"/>
  <c r="AH229" i="17"/>
  <c r="AI229" i="17"/>
  <c r="AJ229" i="17"/>
  <c r="AK229" i="17"/>
  <c r="AL229" i="17"/>
  <c r="AN229" i="17"/>
  <c r="AM229" i="17" s="1"/>
  <c r="AO229" i="17"/>
  <c r="AP229" i="17"/>
  <c r="AQ229" i="17"/>
  <c r="AR229" i="17"/>
  <c r="AS229" i="17" s="1"/>
  <c r="AX229" i="17"/>
  <c r="AY229" i="17"/>
  <c r="AZ229" i="17"/>
  <c r="BA229" i="17"/>
  <c r="BB229" i="17" s="1"/>
  <c r="BE229" i="17" s="1"/>
  <c r="BG229" i="17"/>
  <c r="BH229" i="17" s="1"/>
  <c r="BI229" i="17"/>
  <c r="BJ229" i="17" s="1"/>
  <c r="BK229" i="17"/>
  <c r="BL229" i="17"/>
  <c r="BM229" i="17"/>
  <c r="BN229" i="17" s="1"/>
  <c r="BO229" i="17"/>
  <c r="BP229" i="17"/>
  <c r="BR229" i="17"/>
  <c r="BQ229" i="17" s="1"/>
  <c r="BS229" i="17"/>
  <c r="BT229" i="17"/>
  <c r="BU229" i="17"/>
  <c r="CA229" i="17" s="1"/>
  <c r="BW229" i="17"/>
  <c r="BX229" i="17"/>
  <c r="BY229" i="17"/>
  <c r="BZ229" i="17" s="1"/>
  <c r="CB229" i="17"/>
  <c r="CC229" i="17"/>
  <c r="CD229" i="17"/>
  <c r="CE229" i="17"/>
  <c r="CF229" i="17"/>
  <c r="CG229" i="17"/>
  <c r="CH229" i="17"/>
  <c r="CI229" i="17" s="1"/>
  <c r="CK229" i="17"/>
  <c r="A230" i="17"/>
  <c r="B230" i="17"/>
  <c r="C230" i="17"/>
  <c r="D230" i="17"/>
  <c r="E230" i="17"/>
  <c r="F230" i="17"/>
  <c r="G230" i="17"/>
  <c r="H230" i="17"/>
  <c r="I230" i="17"/>
  <c r="J230" i="17"/>
  <c r="L230" i="17"/>
  <c r="K221" i="17" s="1"/>
  <c r="M230" i="17"/>
  <c r="N230" i="17"/>
  <c r="P230" i="17"/>
  <c r="S230" i="17" s="1"/>
  <c r="Q230" i="17"/>
  <c r="V230" i="17" s="1"/>
  <c r="R230" i="17"/>
  <c r="T230" i="17"/>
  <c r="W230" i="17"/>
  <c r="Y230" i="17"/>
  <c r="Z230" i="17"/>
  <c r="AA230" i="17"/>
  <c r="AB230" i="17"/>
  <c r="AD230" i="17"/>
  <c r="AF230" i="17" s="1"/>
  <c r="AG230" i="17"/>
  <c r="AI230" i="17" s="1"/>
  <c r="AJ230" i="17"/>
  <c r="AN230" i="17"/>
  <c r="AO230" i="17"/>
  <c r="AP230" i="17"/>
  <c r="AL230" i="17" s="1"/>
  <c r="AR230" i="17"/>
  <c r="AU230" i="17"/>
  <c r="AX230" i="17"/>
  <c r="AY230" i="17"/>
  <c r="AZ230" i="17"/>
  <c r="BA230" i="17"/>
  <c r="BG230" i="17"/>
  <c r="BH230" i="17" s="1"/>
  <c r="BI230" i="17"/>
  <c r="BK230" i="17"/>
  <c r="BL230" i="17"/>
  <c r="BM230" i="17"/>
  <c r="BN230" i="17" s="1"/>
  <c r="BO230" i="17"/>
  <c r="BR230" i="17"/>
  <c r="BT230" i="17"/>
  <c r="BU230" i="17"/>
  <c r="BW230" i="17"/>
  <c r="BY230" i="17"/>
  <c r="BZ230" i="17" s="1"/>
  <c r="CB230" i="17"/>
  <c r="CC230" i="17"/>
  <c r="CE230" i="17"/>
  <c r="CF230" i="17"/>
  <c r="CG230" i="17"/>
  <c r="CH230" i="17"/>
  <c r="CI230" i="17" s="1"/>
  <c r="CK230" i="17"/>
  <c r="A231" i="17"/>
  <c r="B231" i="17"/>
  <c r="C231" i="17"/>
  <c r="D231" i="17"/>
  <c r="E231" i="17"/>
  <c r="F231" i="17"/>
  <c r="G231" i="17"/>
  <c r="H231" i="17"/>
  <c r="I231" i="17"/>
  <c r="J231" i="17"/>
  <c r="L231" i="17"/>
  <c r="M231" i="17"/>
  <c r="N231" i="17" s="1"/>
  <c r="P231" i="17"/>
  <c r="S231" i="17" s="1"/>
  <c r="Q231" i="17"/>
  <c r="R231" i="17" s="1"/>
  <c r="AK231" i="17" s="1"/>
  <c r="W231" i="17"/>
  <c r="X231" i="17" s="1"/>
  <c r="Y231" i="17"/>
  <c r="AB231" i="17"/>
  <c r="AC231" i="17" s="1"/>
  <c r="AD231" i="17"/>
  <c r="AF231" i="17" s="1"/>
  <c r="AG231" i="17"/>
  <c r="AH231" i="17"/>
  <c r="AJ231" i="17"/>
  <c r="AM231" i="17"/>
  <c r="AN231" i="17"/>
  <c r="AO231" i="17"/>
  <c r="AP231" i="17"/>
  <c r="AT231" i="17" s="1"/>
  <c r="AR231" i="17"/>
  <c r="AS231" i="17"/>
  <c r="AX231" i="17"/>
  <c r="AY231" i="17"/>
  <c r="AZ231" i="17"/>
  <c r="BA231" i="17"/>
  <c r="BB231" i="17"/>
  <c r="BE231" i="17"/>
  <c r="BF231" i="17"/>
  <c r="BG231" i="17"/>
  <c r="BH231" i="17"/>
  <c r="BI231" i="17"/>
  <c r="BJ231" i="17" s="1"/>
  <c r="BK231" i="17"/>
  <c r="BL231" i="17"/>
  <c r="BM231" i="17"/>
  <c r="BN231" i="17" s="1"/>
  <c r="AV231" i="17" s="1"/>
  <c r="BO231" i="17"/>
  <c r="BP231" i="17" s="1"/>
  <c r="BQ231" i="17"/>
  <c r="BR231" i="17"/>
  <c r="BS231" i="17"/>
  <c r="BT231" i="17"/>
  <c r="BU231" i="17"/>
  <c r="BW231" i="17"/>
  <c r="BX231" i="17"/>
  <c r="BY231" i="17"/>
  <c r="BZ231" i="17"/>
  <c r="CA231" i="17"/>
  <c r="CB231" i="17"/>
  <c r="CC231" i="17"/>
  <c r="CD231" i="17"/>
  <c r="CE231" i="17"/>
  <c r="CF231" i="17"/>
  <c r="CG231" i="17"/>
  <c r="CI231" i="17" s="1"/>
  <c r="CH231" i="17"/>
  <c r="CK231" i="17"/>
  <c r="A232" i="17"/>
  <c r="B232" i="17"/>
  <c r="C232" i="17"/>
  <c r="D232" i="17"/>
  <c r="E232" i="17"/>
  <c r="F232" i="17"/>
  <c r="G232" i="17"/>
  <c r="H232" i="17"/>
  <c r="I232" i="17"/>
  <c r="J232" i="17"/>
  <c r="L232" i="17"/>
  <c r="BX232" i="17" s="1"/>
  <c r="M232" i="17"/>
  <c r="O232" i="17" s="1"/>
  <c r="P232" i="17"/>
  <c r="Q232" i="17"/>
  <c r="R232" i="17"/>
  <c r="AK232" i="17" s="1"/>
  <c r="S232" i="17"/>
  <c r="T232" i="17"/>
  <c r="V232" i="17"/>
  <c r="W232" i="17"/>
  <c r="Y232" i="17"/>
  <c r="AA232" i="17" s="1"/>
  <c r="AB232" i="17"/>
  <c r="AC232" i="17" s="1"/>
  <c r="AD232" i="17"/>
  <c r="AG232" i="17"/>
  <c r="AH232" i="17"/>
  <c r="AJ232" i="17"/>
  <c r="AN232" i="17"/>
  <c r="AM232" i="17" s="1"/>
  <c r="AO232" i="17"/>
  <c r="AP232" i="17"/>
  <c r="AI232" i="17" s="1"/>
  <c r="AR232" i="17"/>
  <c r="AW232" i="17"/>
  <c r="AX232" i="17"/>
  <c r="AY232" i="17"/>
  <c r="AZ232" i="17"/>
  <c r="BA232" i="17"/>
  <c r="BF232" i="17" s="1"/>
  <c r="BB232" i="17"/>
  <c r="BE232" i="17" s="1"/>
  <c r="BG232" i="17"/>
  <c r="BH232" i="17" s="1"/>
  <c r="BI232" i="17"/>
  <c r="BC232" i="17" s="1"/>
  <c r="BD232" i="17" s="1"/>
  <c r="BK232" i="17"/>
  <c r="BL232" i="17"/>
  <c r="BM232" i="17"/>
  <c r="BN232" i="17" s="1"/>
  <c r="BO232" i="17"/>
  <c r="BP232" i="17" s="1"/>
  <c r="BR232" i="17"/>
  <c r="BT232" i="17"/>
  <c r="BS232" i="17" s="1"/>
  <c r="BU232" i="17"/>
  <c r="BV232" i="17"/>
  <c r="BW232" i="17"/>
  <c r="BY232" i="17"/>
  <c r="BZ232" i="17"/>
  <c r="CA232" i="17"/>
  <c r="CB232" i="17"/>
  <c r="CD232" i="17" s="1"/>
  <c r="CC232" i="17"/>
  <c r="CE232" i="17"/>
  <c r="CF232" i="17"/>
  <c r="CG232" i="17"/>
  <c r="CH232" i="17"/>
  <c r="CI232" i="17" s="1"/>
  <c r="CK232" i="17"/>
  <c r="A233" i="17"/>
  <c r="B233" i="17"/>
  <c r="C233" i="17"/>
  <c r="D233" i="17"/>
  <c r="E233" i="17"/>
  <c r="F233" i="17"/>
  <c r="G233" i="17"/>
  <c r="H233" i="17"/>
  <c r="I233" i="17"/>
  <c r="J233" i="17"/>
  <c r="L233" i="17"/>
  <c r="M233" i="17"/>
  <c r="N233" i="17"/>
  <c r="O233" i="17"/>
  <c r="P233" i="17"/>
  <c r="Q233" i="17"/>
  <c r="V233" i="17" s="1"/>
  <c r="W233" i="17"/>
  <c r="X233" i="17" s="1"/>
  <c r="Y233" i="17"/>
  <c r="Z233" i="17"/>
  <c r="AB233" i="17"/>
  <c r="AC233" i="17"/>
  <c r="AD233" i="17"/>
  <c r="AE233" i="17" s="1"/>
  <c r="AG233" i="17"/>
  <c r="AH233" i="17" s="1"/>
  <c r="AJ233" i="17"/>
  <c r="AM233" i="17"/>
  <c r="AN233" i="17"/>
  <c r="AO233" i="17"/>
  <c r="AP233" i="17"/>
  <c r="AT233" i="17" s="1"/>
  <c r="AR233" i="17"/>
  <c r="AS233" i="17"/>
  <c r="AU233" i="17"/>
  <c r="AW233" i="17"/>
  <c r="AX233" i="17"/>
  <c r="AY233" i="17"/>
  <c r="AZ233" i="17"/>
  <c r="BA233" i="17"/>
  <c r="BF233" i="17" s="1"/>
  <c r="BC233" i="17"/>
  <c r="BD233" i="17" s="1"/>
  <c r="BG233" i="17"/>
  <c r="BH233" i="17"/>
  <c r="BI233" i="17"/>
  <c r="BJ233" i="17"/>
  <c r="BK233" i="17"/>
  <c r="BL233" i="17"/>
  <c r="BM233" i="17"/>
  <c r="BN233" i="17"/>
  <c r="AV233" i="17" s="1"/>
  <c r="BO233" i="17"/>
  <c r="BP233" i="17"/>
  <c r="BQ233" i="17"/>
  <c r="BR233" i="17"/>
  <c r="BT233" i="17"/>
  <c r="BS233" i="17" s="1"/>
  <c r="BU233" i="17"/>
  <c r="BV233" i="17"/>
  <c r="BW233" i="17"/>
  <c r="BX233" i="17" s="1"/>
  <c r="BY233" i="17"/>
  <c r="BZ233" i="17"/>
  <c r="CB233" i="17"/>
  <c r="CC233" i="17"/>
  <c r="CE233" i="17"/>
  <c r="CF233" i="17"/>
  <c r="CG233" i="17"/>
  <c r="CH233" i="17"/>
  <c r="CI233" i="17" s="1"/>
  <c r="CK233" i="17"/>
  <c r="A234" i="17"/>
  <c r="B234" i="17"/>
  <c r="C234" i="17"/>
  <c r="D234" i="17"/>
  <c r="E234" i="17"/>
  <c r="F234" i="17"/>
  <c r="G234" i="17"/>
  <c r="H234" i="17"/>
  <c r="I234" i="17"/>
  <c r="J234" i="17"/>
  <c r="L234" i="17"/>
  <c r="AQ234" i="17" s="1"/>
  <c r="M234" i="17"/>
  <c r="N234" i="17" s="1"/>
  <c r="P234" i="17"/>
  <c r="U234" i="17" s="1"/>
  <c r="Q234" i="17"/>
  <c r="R234" i="17"/>
  <c r="S234" i="17"/>
  <c r="T234" i="17" s="1"/>
  <c r="V234" i="17"/>
  <c r="W234" i="17"/>
  <c r="X234" i="17"/>
  <c r="Y234" i="17"/>
  <c r="Z234" i="17" s="1"/>
  <c r="AB234" i="17"/>
  <c r="AD234" i="17"/>
  <c r="AE234" i="17" s="1"/>
  <c r="AF234" i="17"/>
  <c r="AG234" i="17"/>
  <c r="AI234" i="17" s="1"/>
  <c r="AJ234" i="17"/>
  <c r="AK234" i="17"/>
  <c r="AL234" i="17"/>
  <c r="AM234" i="17"/>
  <c r="AN234" i="17"/>
  <c r="AO234" i="17" s="1"/>
  <c r="AP234" i="17"/>
  <c r="AR234" i="17"/>
  <c r="AS234" i="17" s="1"/>
  <c r="AT234" i="17"/>
  <c r="AX234" i="17"/>
  <c r="AY234" i="17"/>
  <c r="AZ234" i="17"/>
  <c r="BA234" i="17"/>
  <c r="BB234" i="17"/>
  <c r="BE234" i="17" s="1"/>
  <c r="BF234" i="17"/>
  <c r="BG234" i="17"/>
  <c r="BH234" i="17"/>
  <c r="BI234" i="17"/>
  <c r="BK234" i="17"/>
  <c r="BL234" i="17"/>
  <c r="BM234" i="17"/>
  <c r="BN234" i="17"/>
  <c r="AV234" i="17" s="1"/>
  <c r="BO234" i="17"/>
  <c r="BQ234" i="17"/>
  <c r="BR234" i="17"/>
  <c r="BT234" i="17"/>
  <c r="BS234" i="17" s="1"/>
  <c r="BU234" i="17"/>
  <c r="BV234" i="17" s="1"/>
  <c r="BW234" i="17"/>
  <c r="BX234" i="17"/>
  <c r="BY234" i="17"/>
  <c r="BZ234" i="17"/>
  <c r="CA234" i="17"/>
  <c r="CB234" i="17"/>
  <c r="CC234" i="17"/>
  <c r="CD234" i="17"/>
  <c r="CE234" i="17"/>
  <c r="CF234" i="17"/>
  <c r="CG234" i="17"/>
  <c r="CI234" i="17" s="1"/>
  <c r="CH234" i="17"/>
  <c r="CK234" i="17"/>
  <c r="A235" i="17"/>
  <c r="B235" i="17"/>
  <c r="C235" i="17"/>
  <c r="D235" i="17"/>
  <c r="E235" i="17"/>
  <c r="F235" i="17"/>
  <c r="G235" i="17"/>
  <c r="H235" i="17"/>
  <c r="I235" i="17"/>
  <c r="J235" i="17"/>
  <c r="L235" i="17"/>
  <c r="M235" i="17"/>
  <c r="N235" i="17" s="1"/>
  <c r="P235" i="17"/>
  <c r="Q235" i="17"/>
  <c r="R235" i="17" s="1"/>
  <c r="U235" i="17"/>
  <c r="W235" i="17"/>
  <c r="X235" i="17" s="1"/>
  <c r="Y235" i="17"/>
  <c r="Z235" i="17" s="1"/>
  <c r="AA235" i="17"/>
  <c r="AB235" i="17"/>
  <c r="AC235" i="17" s="1"/>
  <c r="AD235" i="17"/>
  <c r="AE235" i="17"/>
  <c r="AF235" i="17"/>
  <c r="AG235" i="17"/>
  <c r="AH235" i="17" s="1"/>
  <c r="AJ235" i="17"/>
  <c r="AK235" i="17"/>
  <c r="AL235" i="17"/>
  <c r="AM235" i="17"/>
  <c r="AN235" i="17"/>
  <c r="AO235" i="17" s="1"/>
  <c r="AP235" i="17"/>
  <c r="AQ235" i="17"/>
  <c r="AR235" i="17"/>
  <c r="AS235" i="17"/>
  <c r="AT235" i="17"/>
  <c r="AX235" i="17"/>
  <c r="AY235" i="17"/>
  <c r="AZ235" i="17"/>
  <c r="BA235" i="17"/>
  <c r="BB235" i="17" s="1"/>
  <c r="BE235" i="17" s="1"/>
  <c r="BG235" i="17"/>
  <c r="BH235" i="17" s="1"/>
  <c r="BI235" i="17"/>
  <c r="AU235" i="17" s="1"/>
  <c r="BK235" i="17"/>
  <c r="BL235" i="17"/>
  <c r="BM235" i="17"/>
  <c r="BN235" i="17" s="1"/>
  <c r="BO235" i="17"/>
  <c r="BP235" i="17" s="1"/>
  <c r="BR235" i="17"/>
  <c r="BQ235" i="17" s="1"/>
  <c r="BS235" i="17"/>
  <c r="BT235" i="17"/>
  <c r="BU235" i="17"/>
  <c r="BV235" i="17" s="1"/>
  <c r="BW235" i="17"/>
  <c r="BX235" i="17"/>
  <c r="BY235" i="17"/>
  <c r="BZ235" i="17" s="1"/>
  <c r="CB235" i="17"/>
  <c r="CD235" i="17" s="1"/>
  <c r="CC235" i="17"/>
  <c r="CE235" i="17"/>
  <c r="CF235" i="17"/>
  <c r="CG235" i="17"/>
  <c r="CH235" i="17"/>
  <c r="CI235" i="17" s="1"/>
  <c r="CK235" i="17"/>
  <c r="A236" i="17"/>
  <c r="B236" i="17"/>
  <c r="C236" i="17"/>
  <c r="D236" i="17"/>
  <c r="E236" i="17"/>
  <c r="F236" i="17"/>
  <c r="G236" i="17"/>
  <c r="H236" i="17"/>
  <c r="I236" i="17"/>
  <c r="J236" i="17"/>
  <c r="L236" i="17"/>
  <c r="M236" i="17"/>
  <c r="N236" i="17"/>
  <c r="O236" i="17"/>
  <c r="P236" i="17"/>
  <c r="S236" i="17" s="1"/>
  <c r="T236" i="17" s="1"/>
  <c r="Q236" i="17"/>
  <c r="R236" i="17"/>
  <c r="V236" i="17"/>
  <c r="W236" i="17"/>
  <c r="X236" i="17" s="1"/>
  <c r="Y236" i="17"/>
  <c r="Z236" i="17"/>
  <c r="AB236" i="17"/>
  <c r="AC236" i="17" s="1"/>
  <c r="AD236" i="17"/>
  <c r="AG236" i="17"/>
  <c r="AH236" i="17" s="1"/>
  <c r="AJ236" i="17"/>
  <c r="AK236" i="17" s="1"/>
  <c r="AN236" i="17"/>
  <c r="AM236" i="17" s="1"/>
  <c r="AP236" i="17"/>
  <c r="AQ236" i="17" s="1"/>
  <c r="AR236" i="17"/>
  <c r="AS236" i="17" s="1"/>
  <c r="AV236" i="17" s="1"/>
  <c r="AX236" i="17"/>
  <c r="AY236" i="17"/>
  <c r="AZ236" i="17"/>
  <c r="BA236" i="17"/>
  <c r="BC236" i="17" s="1"/>
  <c r="BB236" i="17"/>
  <c r="BD236" i="17"/>
  <c r="BF236" i="17"/>
  <c r="BG236" i="17"/>
  <c r="BH236" i="17"/>
  <c r="BI236" i="17"/>
  <c r="BJ236" i="17"/>
  <c r="BK236" i="17"/>
  <c r="BL236" i="17"/>
  <c r="BM236" i="17"/>
  <c r="BN236" i="17"/>
  <c r="BO236" i="17"/>
  <c r="BP236" i="17"/>
  <c r="BQ236" i="17"/>
  <c r="BR236" i="17"/>
  <c r="BT236" i="17"/>
  <c r="BS236" i="17" s="1"/>
  <c r="BU236" i="17"/>
  <c r="BV236" i="17"/>
  <c r="BW236" i="17"/>
  <c r="CA236" i="17" s="1"/>
  <c r="BY236" i="17"/>
  <c r="BZ236" i="17"/>
  <c r="CB236" i="17"/>
  <c r="CC236" i="17"/>
  <c r="CD236" i="17"/>
  <c r="CE236" i="17"/>
  <c r="CF236" i="17"/>
  <c r="CG236" i="17"/>
  <c r="CH236" i="17"/>
  <c r="CI236" i="17" s="1"/>
  <c r="CK236" i="17"/>
  <c r="A237" i="17"/>
  <c r="B237" i="17"/>
  <c r="C237" i="17"/>
  <c r="D237" i="17"/>
  <c r="E237" i="17"/>
  <c r="F237" i="17"/>
  <c r="G237" i="17"/>
  <c r="H237" i="17"/>
  <c r="I237" i="17"/>
  <c r="J237" i="17"/>
  <c r="L237" i="17"/>
  <c r="K258" i="17" s="1"/>
  <c r="M237" i="17"/>
  <c r="N237" i="17" s="1"/>
  <c r="P237" i="17"/>
  <c r="U237" i="17" s="1"/>
  <c r="Q237" i="17"/>
  <c r="R237" i="17"/>
  <c r="AK237" i="17" s="1"/>
  <c r="S237" i="17"/>
  <c r="W237" i="17"/>
  <c r="X237" i="17" s="1"/>
  <c r="Y237" i="17"/>
  <c r="Z237" i="17" s="1"/>
  <c r="AB237" i="17"/>
  <c r="AD237" i="17"/>
  <c r="AF237" i="17" s="1"/>
  <c r="AG237" i="17"/>
  <c r="AH237" i="17" s="1"/>
  <c r="AJ237" i="17"/>
  <c r="AL237" i="17" s="1"/>
  <c r="AN237" i="17"/>
  <c r="AO237" i="17" s="1"/>
  <c r="AP237" i="17"/>
  <c r="AR237" i="17"/>
  <c r="AT237" i="17"/>
  <c r="AU237" i="17"/>
  <c r="AX237" i="17"/>
  <c r="AY237" i="17"/>
  <c r="AZ237" i="17"/>
  <c r="BA237" i="17"/>
  <c r="BB237" i="17" s="1"/>
  <c r="BG237" i="17"/>
  <c r="BH237" i="17" s="1"/>
  <c r="BI237" i="17"/>
  <c r="BK237" i="17"/>
  <c r="BL237" i="17"/>
  <c r="BM237" i="17"/>
  <c r="BN237" i="17"/>
  <c r="BO237" i="17"/>
  <c r="BP237" i="17" s="1"/>
  <c r="BR237" i="17"/>
  <c r="BQ237" i="17" s="1"/>
  <c r="BT237" i="17"/>
  <c r="BU237" i="17"/>
  <c r="BV237" i="17" s="1"/>
  <c r="BW237" i="17"/>
  <c r="BX237" i="17" s="1"/>
  <c r="BY237" i="17"/>
  <c r="CB237" i="17"/>
  <c r="CC237" i="17"/>
  <c r="CD237" i="17" s="1"/>
  <c r="CE237" i="17"/>
  <c r="CF237" i="17"/>
  <c r="CG237" i="17"/>
  <c r="CH237" i="17"/>
  <c r="CI237" i="17"/>
  <c r="CK237" i="17"/>
  <c r="A238" i="17"/>
  <c r="B238" i="17"/>
  <c r="C238" i="17"/>
  <c r="D238" i="17"/>
  <c r="E238" i="17"/>
  <c r="F238" i="17"/>
  <c r="G238" i="17"/>
  <c r="H238" i="17"/>
  <c r="I238" i="17"/>
  <c r="J238" i="17"/>
  <c r="L238" i="17"/>
  <c r="M238" i="17"/>
  <c r="O238" i="17" s="1"/>
  <c r="P238" i="17"/>
  <c r="U238" i="17" s="1"/>
  <c r="Q238" i="17"/>
  <c r="R238" i="17" s="1"/>
  <c r="W238" i="17"/>
  <c r="X238" i="17" s="1"/>
  <c r="Y238" i="17"/>
  <c r="Z238" i="17"/>
  <c r="AB238" i="17"/>
  <c r="AC238" i="17" s="1"/>
  <c r="AD238" i="17"/>
  <c r="AE238" i="17" s="1"/>
  <c r="AG238" i="17"/>
  <c r="AH238" i="17"/>
  <c r="AJ238" i="17"/>
  <c r="AN238" i="17"/>
  <c r="AM238" i="17" s="1"/>
  <c r="AO238" i="17"/>
  <c r="AP238" i="17"/>
  <c r="AT238" i="17" s="1"/>
  <c r="AQ238" i="17"/>
  <c r="AR238" i="17"/>
  <c r="AS238" i="17" s="1"/>
  <c r="AV238" i="17" s="1"/>
  <c r="AX238" i="17"/>
  <c r="AY238" i="17"/>
  <c r="AZ238" i="17"/>
  <c r="BA238" i="17"/>
  <c r="BB238" i="17"/>
  <c r="BE238" i="17" s="1"/>
  <c r="BF238" i="17"/>
  <c r="BG238" i="17"/>
  <c r="BH238" i="17"/>
  <c r="BI238" i="17"/>
  <c r="AU238" i="17" s="1"/>
  <c r="BK238" i="17"/>
  <c r="BL238" i="17"/>
  <c r="BM238" i="17"/>
  <c r="BN238" i="17"/>
  <c r="BO238" i="17"/>
  <c r="BP238" i="17" s="1"/>
  <c r="BR238" i="17"/>
  <c r="BQ238" i="17" s="1"/>
  <c r="BS238" i="17"/>
  <c r="BT238" i="17"/>
  <c r="BU238" i="17"/>
  <c r="BV238" i="17"/>
  <c r="BW238" i="17"/>
  <c r="BX238" i="17"/>
  <c r="BY238" i="17"/>
  <c r="BZ238" i="17" s="1"/>
  <c r="CA238" i="17"/>
  <c r="CB238" i="17"/>
  <c r="CC238" i="17"/>
  <c r="CD238" i="17"/>
  <c r="CE238" i="17"/>
  <c r="CF238" i="17"/>
  <c r="CG238" i="17"/>
  <c r="CH238" i="17"/>
  <c r="CI238" i="17" s="1"/>
  <c r="CK238" i="17"/>
  <c r="A239" i="17"/>
  <c r="B239" i="17"/>
  <c r="C239" i="17"/>
  <c r="D239" i="17"/>
  <c r="E239" i="17"/>
  <c r="F239" i="17"/>
  <c r="G239" i="17"/>
  <c r="H239" i="17"/>
  <c r="I239" i="17"/>
  <c r="J239" i="17"/>
  <c r="L239" i="17"/>
  <c r="K237" i="17" s="1"/>
  <c r="M239" i="17"/>
  <c r="N239" i="17" s="1"/>
  <c r="P239" i="17"/>
  <c r="Q239" i="17"/>
  <c r="V239" i="17" s="1"/>
  <c r="R239" i="17"/>
  <c r="S239" i="17"/>
  <c r="W239" i="17"/>
  <c r="X239" i="17" s="1"/>
  <c r="Y239" i="17"/>
  <c r="Z239" i="17" s="1"/>
  <c r="AB239" i="17"/>
  <c r="AD239" i="17"/>
  <c r="AE239" i="17"/>
  <c r="AF239" i="17"/>
  <c r="AG239" i="17"/>
  <c r="AJ239" i="17"/>
  <c r="AK239" i="17" s="1"/>
  <c r="AL239" i="17"/>
  <c r="AN239" i="17"/>
  <c r="AP239" i="17"/>
  <c r="AQ239" i="17" s="1"/>
  <c r="AR239" i="17"/>
  <c r="CJ236" i="17" s="1"/>
  <c r="AX239" i="17"/>
  <c r="AY239" i="17"/>
  <c r="AZ239" i="17"/>
  <c r="BA239" i="17"/>
  <c r="BF239" i="17" s="1"/>
  <c r="BC239" i="17"/>
  <c r="BD239" i="17" s="1"/>
  <c r="BG239" i="17"/>
  <c r="BH239" i="17" s="1"/>
  <c r="BI239" i="17"/>
  <c r="AU239" i="17" s="1"/>
  <c r="BK239" i="17"/>
  <c r="BL239" i="17"/>
  <c r="BM239" i="17"/>
  <c r="BN239" i="17" s="1"/>
  <c r="BO239" i="17"/>
  <c r="BR239" i="17"/>
  <c r="BT239" i="17"/>
  <c r="BU239" i="17"/>
  <c r="BW239" i="17"/>
  <c r="BY239" i="17"/>
  <c r="BZ239" i="17" s="1"/>
  <c r="CB239" i="17"/>
  <c r="CC239" i="17"/>
  <c r="CE239" i="17"/>
  <c r="CF239" i="17"/>
  <c r="CG239" i="17"/>
  <c r="CI239" i="17" s="1"/>
  <c r="CH239" i="17"/>
  <c r="CK239" i="17"/>
  <c r="A240" i="17"/>
  <c r="B240" i="17"/>
  <c r="C240" i="17"/>
  <c r="D240" i="17"/>
  <c r="E240" i="17"/>
  <c r="F240" i="17"/>
  <c r="G240" i="17"/>
  <c r="H240" i="17"/>
  <c r="I240" i="17"/>
  <c r="J240" i="17"/>
  <c r="L240" i="17"/>
  <c r="M240" i="17"/>
  <c r="N240" i="17" s="1"/>
  <c r="O240" i="17"/>
  <c r="P240" i="17"/>
  <c r="S240" i="17" s="1"/>
  <c r="T240" i="17" s="1"/>
  <c r="Q240" i="17"/>
  <c r="R240" i="17"/>
  <c r="U240" i="17"/>
  <c r="V240" i="17"/>
  <c r="W240" i="17"/>
  <c r="X240" i="17"/>
  <c r="Y240" i="17"/>
  <c r="Z240" i="17" s="1"/>
  <c r="AA240" i="17"/>
  <c r="AB240" i="17"/>
  <c r="AC240" i="17" s="1"/>
  <c r="AD240" i="17"/>
  <c r="AE240" i="17"/>
  <c r="AG240" i="17"/>
  <c r="AH240" i="17"/>
  <c r="AJ240" i="17"/>
  <c r="AK240" i="17" s="1"/>
  <c r="AM240" i="17"/>
  <c r="AN240" i="17"/>
  <c r="AO240" i="17" s="1"/>
  <c r="AP240" i="17"/>
  <c r="AQ240" i="17" s="1"/>
  <c r="AR240" i="17"/>
  <c r="AS240" i="17"/>
  <c r="AW240" i="17"/>
  <c r="AX240" i="17"/>
  <c r="AY240" i="17"/>
  <c r="AZ240" i="17"/>
  <c r="BA240" i="17"/>
  <c r="BB240" i="17"/>
  <c r="BE240" i="17" s="1"/>
  <c r="BF240" i="17"/>
  <c r="BG240" i="17"/>
  <c r="BH240" i="17"/>
  <c r="BI240" i="17"/>
  <c r="AU240" i="17" s="1"/>
  <c r="BK240" i="17"/>
  <c r="BL240" i="17"/>
  <c r="BM240" i="17"/>
  <c r="BN240" i="17"/>
  <c r="AV240" i="17" s="1"/>
  <c r="BO240" i="17"/>
  <c r="BP240" i="17" s="1"/>
  <c r="BR240" i="17"/>
  <c r="BQ240" i="17" s="1"/>
  <c r="BT240" i="17"/>
  <c r="BS240" i="17" s="1"/>
  <c r="BU240" i="17"/>
  <c r="BV240" i="17"/>
  <c r="BW240" i="17"/>
  <c r="BX240" i="17" s="1"/>
  <c r="BY240" i="17"/>
  <c r="BZ240" i="17"/>
  <c r="CB240" i="17"/>
  <c r="CD240" i="17" s="1"/>
  <c r="CC240" i="17"/>
  <c r="CE240" i="17"/>
  <c r="CF240" i="17"/>
  <c r="CG240" i="17"/>
  <c r="CH240" i="17"/>
  <c r="CI240" i="17" s="1"/>
  <c r="CK240" i="17"/>
  <c r="A241" i="17"/>
  <c r="B241" i="17"/>
  <c r="C241" i="17"/>
  <c r="D241" i="17"/>
  <c r="E241" i="17"/>
  <c r="F241" i="17"/>
  <c r="G241" i="17"/>
  <c r="H241" i="17"/>
  <c r="I241" i="17"/>
  <c r="J241" i="17"/>
  <c r="L241" i="17"/>
  <c r="M241" i="17"/>
  <c r="N241" i="17" s="1"/>
  <c r="O241" i="17"/>
  <c r="P241" i="17"/>
  <c r="S241" i="17" s="1"/>
  <c r="T241" i="17" s="1"/>
  <c r="Q241" i="17"/>
  <c r="R241" i="17" s="1"/>
  <c r="V241" i="17"/>
  <c r="W241" i="17"/>
  <c r="X241" i="17" s="1"/>
  <c r="Y241" i="17"/>
  <c r="Z241" i="17"/>
  <c r="AB241" i="17"/>
  <c r="AC241" i="17"/>
  <c r="AD241" i="17"/>
  <c r="AE241" i="17"/>
  <c r="AF241" i="17"/>
  <c r="AG241" i="17"/>
  <c r="AH241" i="17" s="1"/>
  <c r="AI241" i="17"/>
  <c r="AJ241" i="17"/>
  <c r="AK241" i="17"/>
  <c r="AL241" i="17"/>
  <c r="AM241" i="17"/>
  <c r="AN241" i="17"/>
  <c r="AO241" i="17"/>
  <c r="AP241" i="17"/>
  <c r="AQ241" i="17"/>
  <c r="AR241" i="17"/>
  <c r="AS241" i="17"/>
  <c r="AT241" i="17"/>
  <c r="AU241" i="17"/>
  <c r="AW241" i="17"/>
  <c r="AX241" i="17"/>
  <c r="AY241" i="17"/>
  <c r="AZ241" i="17"/>
  <c r="BA241" i="17"/>
  <c r="BB241" i="17" s="1"/>
  <c r="BE241" i="17" s="1"/>
  <c r="BC241" i="17"/>
  <c r="BD241" i="17" s="1"/>
  <c r="BG241" i="17"/>
  <c r="BH241" i="17" s="1"/>
  <c r="BI241" i="17"/>
  <c r="BJ241" i="17"/>
  <c r="BK241" i="17"/>
  <c r="BL241" i="17"/>
  <c r="BM241" i="17"/>
  <c r="BN241" i="17" s="1"/>
  <c r="BO241" i="17"/>
  <c r="BP241" i="17" s="1"/>
  <c r="BQ241" i="17"/>
  <c r="BR241" i="17"/>
  <c r="BS241" i="17"/>
  <c r="BT241" i="17"/>
  <c r="BU241" i="17"/>
  <c r="BV241" i="17" s="1"/>
  <c r="BW241" i="17"/>
  <c r="BX241" i="17" s="1"/>
  <c r="BY241" i="17"/>
  <c r="BZ241" i="17" s="1"/>
  <c r="CB241" i="17"/>
  <c r="CC241" i="17"/>
  <c r="CD241" i="17"/>
  <c r="CE241" i="17"/>
  <c r="CF241" i="17"/>
  <c r="CG241" i="17"/>
  <c r="CH241" i="17"/>
  <c r="CI241" i="17" s="1"/>
  <c r="CK241" i="17"/>
  <c r="A242" i="17"/>
  <c r="B242" i="17"/>
  <c r="C242" i="17"/>
  <c r="D242" i="17"/>
  <c r="E242" i="17"/>
  <c r="F242" i="17"/>
  <c r="G242" i="17"/>
  <c r="H242" i="17"/>
  <c r="I242" i="17"/>
  <c r="J242" i="17"/>
  <c r="L242" i="17"/>
  <c r="Z242" i="17" s="1"/>
  <c r="M242" i="17"/>
  <c r="N242" i="17"/>
  <c r="P242" i="17"/>
  <c r="Q242" i="17"/>
  <c r="R242" i="17" s="1"/>
  <c r="W242" i="17"/>
  <c r="AA242" i="17" s="1"/>
  <c r="X242" i="17"/>
  <c r="Y242" i="17"/>
  <c r="AB242" i="17"/>
  <c r="AC242" i="17" s="1"/>
  <c r="AD242" i="17"/>
  <c r="AE242" i="17" s="1"/>
  <c r="AG242" i="17"/>
  <c r="AJ242" i="17"/>
  <c r="AL242" i="17"/>
  <c r="AM242" i="17"/>
  <c r="AN242" i="17"/>
  <c r="AP242" i="17"/>
  <c r="AR242" i="17"/>
  <c r="AS242" i="17"/>
  <c r="AT242" i="17"/>
  <c r="AX242" i="17"/>
  <c r="AY242" i="17"/>
  <c r="AZ242" i="17"/>
  <c r="BA242" i="17"/>
  <c r="BC242" i="17" s="1"/>
  <c r="BD242" i="17" s="1"/>
  <c r="BG242" i="17"/>
  <c r="BH242" i="17" s="1"/>
  <c r="BI242" i="17"/>
  <c r="AU242" i="17" s="1"/>
  <c r="BK242" i="17"/>
  <c r="BL242" i="17"/>
  <c r="BM242" i="17"/>
  <c r="BN242" i="17" s="1"/>
  <c r="AV242" i="17" s="1"/>
  <c r="BO242" i="17"/>
  <c r="BR242" i="17"/>
  <c r="BS242" i="17"/>
  <c r="BT242" i="17"/>
  <c r="BU242" i="17"/>
  <c r="BW242" i="17"/>
  <c r="CA242" i="17" s="1"/>
  <c r="BY242" i="17"/>
  <c r="BZ242" i="17" s="1"/>
  <c r="CB242" i="17"/>
  <c r="CC242" i="17"/>
  <c r="CD242" i="17" s="1"/>
  <c r="CE242" i="17"/>
  <c r="CF242" i="17"/>
  <c r="CG242" i="17"/>
  <c r="CH242" i="17"/>
  <c r="CI242" i="17"/>
  <c r="CK242" i="17"/>
  <c r="A243" i="17"/>
  <c r="B243" i="17"/>
  <c r="C243" i="17"/>
  <c r="D243" i="17"/>
  <c r="E243" i="17"/>
  <c r="F243" i="17"/>
  <c r="G243" i="17"/>
  <c r="H243" i="17"/>
  <c r="I243" i="17"/>
  <c r="J243" i="17"/>
  <c r="L243" i="17"/>
  <c r="K242" i="17" s="1"/>
  <c r="M243" i="17"/>
  <c r="N243" i="17" s="1"/>
  <c r="P243" i="17"/>
  <c r="U243" i="17" s="1"/>
  <c r="Q243" i="17"/>
  <c r="T243" i="17" s="1"/>
  <c r="R243" i="17"/>
  <c r="S243" i="17"/>
  <c r="V243" i="17"/>
  <c r="W243" i="17"/>
  <c r="X243" i="17"/>
  <c r="Y243" i="17"/>
  <c r="Z243" i="17" s="1"/>
  <c r="AB243" i="17"/>
  <c r="AC243" i="17" s="1"/>
  <c r="AD243" i="17"/>
  <c r="AE243" i="17" s="1"/>
  <c r="AG243" i="17"/>
  <c r="AJ243" i="17"/>
  <c r="AK243" i="17" s="1"/>
  <c r="AN243" i="17"/>
  <c r="AM243" i="17" s="1"/>
  <c r="AP243" i="17"/>
  <c r="AQ243" i="17" s="1"/>
  <c r="AR243" i="17"/>
  <c r="AX243" i="17"/>
  <c r="AY243" i="17"/>
  <c r="AZ243" i="17"/>
  <c r="BA243" i="17"/>
  <c r="BB243" i="17"/>
  <c r="BF243" i="17"/>
  <c r="BG243" i="17"/>
  <c r="BH243" i="17"/>
  <c r="BI243" i="17"/>
  <c r="BC243" i="17" s="1"/>
  <c r="BD243" i="17" s="1"/>
  <c r="BK243" i="17"/>
  <c r="BL243" i="17"/>
  <c r="BM243" i="17"/>
  <c r="BN243" i="17"/>
  <c r="BO243" i="17"/>
  <c r="BP243" i="17" s="1"/>
  <c r="BR243" i="17"/>
  <c r="BQ243" i="17" s="1"/>
  <c r="BT243" i="17"/>
  <c r="BS243" i="17" s="1"/>
  <c r="BU243" i="17"/>
  <c r="BV243" i="17" s="1"/>
  <c r="BW243" i="17"/>
  <c r="BY243" i="17"/>
  <c r="BZ243" i="17"/>
  <c r="CA243" i="17"/>
  <c r="CB243" i="17"/>
  <c r="CC243" i="17"/>
  <c r="CD243" i="17"/>
  <c r="CE243" i="17"/>
  <c r="CF243" i="17"/>
  <c r="CG243" i="17"/>
  <c r="CI243" i="17" s="1"/>
  <c r="CH243" i="17"/>
  <c r="CK243" i="17"/>
  <c r="A244" i="17"/>
  <c r="B244" i="17"/>
  <c r="C244" i="17"/>
  <c r="D244" i="17"/>
  <c r="E244" i="17"/>
  <c r="F244" i="17"/>
  <c r="G244" i="17"/>
  <c r="H244" i="17"/>
  <c r="I244" i="17"/>
  <c r="J244" i="17"/>
  <c r="L244" i="17"/>
  <c r="AH244" i="17" s="1"/>
  <c r="M244" i="17"/>
  <c r="N244" i="17" s="1"/>
  <c r="P244" i="17"/>
  <c r="U244" i="17" s="1"/>
  <c r="Q244" i="17"/>
  <c r="V244" i="17" s="1"/>
  <c r="S244" i="17"/>
  <c r="T244" i="17" s="1"/>
  <c r="W244" i="17"/>
  <c r="X244" i="17" s="1"/>
  <c r="Y244" i="17"/>
  <c r="Z244" i="17" s="1"/>
  <c r="AB244" i="17"/>
  <c r="AC244" i="17"/>
  <c r="AD244" i="17"/>
  <c r="AE244" i="17"/>
  <c r="AF244" i="17"/>
  <c r="AG244" i="17"/>
  <c r="AI244" i="17"/>
  <c r="AJ244" i="17"/>
  <c r="AL244" i="17"/>
  <c r="AN244" i="17"/>
  <c r="AM244" i="17" s="1"/>
  <c r="AO244" i="17"/>
  <c r="AP244" i="17"/>
  <c r="AT244" i="17" s="1"/>
  <c r="AQ244" i="17"/>
  <c r="AR244" i="17"/>
  <c r="AS244" i="17" s="1"/>
  <c r="AW244" i="17"/>
  <c r="AX244" i="17"/>
  <c r="AY244" i="17"/>
  <c r="AZ244" i="17"/>
  <c r="BA244" i="17"/>
  <c r="BF244" i="17" s="1"/>
  <c r="BG244" i="17"/>
  <c r="BH244" i="17" s="1"/>
  <c r="BI244" i="17"/>
  <c r="BC244" i="17" s="1"/>
  <c r="BD244" i="17" s="1"/>
  <c r="BK244" i="17"/>
  <c r="BL244" i="17"/>
  <c r="BM244" i="17"/>
  <c r="BN244" i="17" s="1"/>
  <c r="BO244" i="17"/>
  <c r="BP244" i="17" s="1"/>
  <c r="BR244" i="17"/>
  <c r="BQ244" i="17" s="1"/>
  <c r="BS244" i="17"/>
  <c r="BT244" i="17"/>
  <c r="BU244" i="17"/>
  <c r="BV244" i="17" s="1"/>
  <c r="BW244" i="17"/>
  <c r="BY244" i="17"/>
  <c r="BZ244" i="17" s="1"/>
  <c r="CA244" i="17"/>
  <c r="CB244" i="17"/>
  <c r="CD244" i="17" s="1"/>
  <c r="CC244" i="17"/>
  <c r="CE244" i="17"/>
  <c r="CF244" i="17"/>
  <c r="CG244" i="17"/>
  <c r="CH244" i="17"/>
  <c r="CI244" i="17" s="1"/>
  <c r="CK244" i="17"/>
  <c r="A245" i="17"/>
  <c r="B245" i="17"/>
  <c r="C245" i="17"/>
  <c r="D245" i="17"/>
  <c r="E245" i="17"/>
  <c r="F245" i="17"/>
  <c r="G245" i="17"/>
  <c r="H245" i="17"/>
  <c r="I245" i="17"/>
  <c r="J245" i="17"/>
  <c r="L245" i="17"/>
  <c r="AC245" i="17" s="1"/>
  <c r="M245" i="17"/>
  <c r="N245" i="17"/>
  <c r="O245" i="17"/>
  <c r="P245" i="17"/>
  <c r="Q245" i="17"/>
  <c r="V245" i="17" s="1"/>
  <c r="R245" i="17"/>
  <c r="S245" i="17"/>
  <c r="T245" i="17"/>
  <c r="U245" i="17"/>
  <c r="W245" i="17"/>
  <c r="X245" i="17"/>
  <c r="Y245" i="17"/>
  <c r="Z245" i="17"/>
  <c r="AA245" i="17"/>
  <c r="AB245" i="17"/>
  <c r="AD245" i="17"/>
  <c r="AE245" i="17" s="1"/>
  <c r="AF245" i="17"/>
  <c r="AG245" i="17"/>
  <c r="AH245" i="17" s="1"/>
  <c r="AJ245" i="17"/>
  <c r="AK245" i="17" s="1"/>
  <c r="AL245" i="17"/>
  <c r="AM245" i="17"/>
  <c r="AN245" i="17"/>
  <c r="AP245" i="17"/>
  <c r="AT245" i="17" s="1"/>
  <c r="AR245" i="17"/>
  <c r="CJ241" i="17" s="1"/>
  <c r="AX245" i="17"/>
  <c r="AY245" i="17"/>
  <c r="AZ245" i="17"/>
  <c r="BA245" i="17"/>
  <c r="BF245" i="17" s="1"/>
  <c r="BB245" i="17"/>
  <c r="BG245" i="17"/>
  <c r="BH245" i="17"/>
  <c r="BI245" i="17"/>
  <c r="AU245" i="17" s="1"/>
  <c r="BJ245" i="17"/>
  <c r="BK245" i="17"/>
  <c r="BL245" i="17"/>
  <c r="BM245" i="17"/>
  <c r="BN245" i="17"/>
  <c r="BO245" i="17"/>
  <c r="BP245" i="17"/>
  <c r="BQ245" i="17"/>
  <c r="BR245" i="17"/>
  <c r="BT245" i="17"/>
  <c r="BS245" i="17" s="1"/>
  <c r="BU245" i="17"/>
  <c r="BV245" i="17"/>
  <c r="BW245" i="17"/>
  <c r="BX245" i="17" s="1"/>
  <c r="BY245" i="17"/>
  <c r="BZ245" i="17"/>
  <c r="CB245" i="17"/>
  <c r="CD245" i="17" s="1"/>
  <c r="CC245" i="17"/>
  <c r="CE245" i="17"/>
  <c r="CF245" i="17"/>
  <c r="CG245" i="17"/>
  <c r="CH245" i="17"/>
  <c r="CI245" i="17" s="1"/>
  <c r="CK245" i="17"/>
  <c r="A246" i="17"/>
  <c r="B246" i="17"/>
  <c r="C246" i="17"/>
  <c r="D246" i="17"/>
  <c r="E246" i="17"/>
  <c r="F246" i="17"/>
  <c r="G246" i="17"/>
  <c r="H246" i="17"/>
  <c r="I246" i="17"/>
  <c r="J246" i="17"/>
  <c r="L246" i="17"/>
  <c r="M246" i="17"/>
  <c r="N246" i="17" s="1"/>
  <c r="O246" i="17"/>
  <c r="P246" i="17"/>
  <c r="S246" i="17" s="1"/>
  <c r="T246" i="17" s="1"/>
  <c r="Q246" i="17"/>
  <c r="R246" i="17"/>
  <c r="U246" i="17"/>
  <c r="V246" i="17"/>
  <c r="W246" i="17"/>
  <c r="X246" i="17"/>
  <c r="Y246" i="17"/>
  <c r="Z246" i="17" s="1"/>
  <c r="AA246" i="17"/>
  <c r="AB246" i="17"/>
  <c r="AC246" i="17" s="1"/>
  <c r="AD246" i="17"/>
  <c r="AE246" i="17"/>
  <c r="AF246" i="17"/>
  <c r="AG246" i="17"/>
  <c r="AH246" i="17" s="1"/>
  <c r="AJ246" i="17"/>
  <c r="AK246" i="17"/>
  <c r="AL246" i="17"/>
  <c r="AM246" i="17"/>
  <c r="AN246" i="17"/>
  <c r="AO246" i="17" s="1"/>
  <c r="BE246" i="17" s="1"/>
  <c r="AP246" i="17"/>
  <c r="AQ246" i="17"/>
  <c r="AR246" i="17"/>
  <c r="AS246" i="17"/>
  <c r="AT246" i="17"/>
  <c r="AX246" i="17"/>
  <c r="AY246" i="17"/>
  <c r="AZ246" i="17"/>
  <c r="BA246" i="17"/>
  <c r="BB246" i="17"/>
  <c r="BF246" i="17"/>
  <c r="BG246" i="17"/>
  <c r="BH246" i="17"/>
  <c r="BI246" i="17"/>
  <c r="AU246" i="17" s="1"/>
  <c r="BK246" i="17"/>
  <c r="BL246" i="17"/>
  <c r="BM246" i="17"/>
  <c r="BN246" i="17"/>
  <c r="AV246" i="17" s="1"/>
  <c r="BO246" i="17"/>
  <c r="BP246" i="17" s="1"/>
  <c r="BQ246" i="17"/>
  <c r="BR246" i="17"/>
  <c r="BT246" i="17"/>
  <c r="BS246" i="17" s="1"/>
  <c r="BU246" i="17"/>
  <c r="BV246" i="17" s="1"/>
  <c r="BW246" i="17"/>
  <c r="BX246" i="17" s="1"/>
  <c r="BY246" i="17"/>
  <c r="BZ246" i="17"/>
  <c r="CB246" i="17"/>
  <c r="CC246" i="17"/>
  <c r="CD246" i="17" s="1"/>
  <c r="CE246" i="17"/>
  <c r="CF246" i="17"/>
  <c r="CG246" i="17"/>
  <c r="CH246" i="17"/>
  <c r="CI246" i="17"/>
  <c r="CK246" i="17"/>
  <c r="A247" i="17"/>
  <c r="B247" i="17"/>
  <c r="C247" i="17"/>
  <c r="D247" i="17"/>
  <c r="E247" i="17"/>
  <c r="F247" i="17"/>
  <c r="G247" i="17"/>
  <c r="H247" i="17"/>
  <c r="I247" i="17"/>
  <c r="J247" i="17"/>
  <c r="L247" i="17"/>
  <c r="M247" i="17"/>
  <c r="N247" i="17"/>
  <c r="O247" i="17"/>
  <c r="P247" i="17"/>
  <c r="S247" i="17" s="1"/>
  <c r="Q247" i="17"/>
  <c r="R247" i="17" s="1"/>
  <c r="AK247" i="17" s="1"/>
  <c r="V247" i="17"/>
  <c r="W247" i="17"/>
  <c r="X247" i="17" s="1"/>
  <c r="Y247" i="17"/>
  <c r="Z247" i="17"/>
  <c r="AB247" i="17"/>
  <c r="AC247" i="17" s="1"/>
  <c r="AD247" i="17"/>
  <c r="AE247" i="17"/>
  <c r="AF247" i="17"/>
  <c r="AG247" i="17"/>
  <c r="AW247" i="17" s="1"/>
  <c r="AH247" i="17"/>
  <c r="AI247" i="17"/>
  <c r="AJ247" i="17"/>
  <c r="AL247" i="17"/>
  <c r="AN247" i="17"/>
  <c r="AO247" i="17" s="1"/>
  <c r="AP247" i="17"/>
  <c r="AQ247" i="17"/>
  <c r="AR247" i="17"/>
  <c r="AS247" i="17" s="1"/>
  <c r="AT247" i="17"/>
  <c r="AU247" i="17"/>
  <c r="AX247" i="17"/>
  <c r="AY247" i="17"/>
  <c r="AZ247" i="17"/>
  <c r="BA247" i="17"/>
  <c r="BB247" i="17" s="1"/>
  <c r="BE247" i="17" s="1"/>
  <c r="BF247" i="17"/>
  <c r="BG247" i="17"/>
  <c r="BH247" i="17" s="1"/>
  <c r="BI247" i="17"/>
  <c r="BJ247" i="17"/>
  <c r="BK247" i="17"/>
  <c r="BL247" i="17"/>
  <c r="BM247" i="17"/>
  <c r="BN247" i="17" s="1"/>
  <c r="BO247" i="17"/>
  <c r="BP247" i="17"/>
  <c r="BR247" i="17"/>
  <c r="BQ247" i="17" s="1"/>
  <c r="BS247" i="17"/>
  <c r="BT247" i="17"/>
  <c r="BU247" i="17"/>
  <c r="BV247" i="17"/>
  <c r="BW247" i="17"/>
  <c r="CA247" i="17" s="1"/>
  <c r="BX247" i="17"/>
  <c r="BY247" i="17"/>
  <c r="BZ247" i="17" s="1"/>
  <c r="CB247" i="17"/>
  <c r="CC247" i="17"/>
  <c r="CD247" i="17"/>
  <c r="CE247" i="17"/>
  <c r="CF247" i="17"/>
  <c r="CG247" i="17"/>
  <c r="CH247" i="17"/>
  <c r="CI247" i="17" s="1"/>
  <c r="CK247" i="17"/>
  <c r="A248" i="17"/>
  <c r="B248" i="17"/>
  <c r="C248" i="17"/>
  <c r="D248" i="17"/>
  <c r="E248" i="17"/>
  <c r="F248" i="17"/>
  <c r="G248" i="17"/>
  <c r="H248" i="17"/>
  <c r="I248" i="17"/>
  <c r="J248" i="17"/>
  <c r="L248" i="17"/>
  <c r="K247" i="17" s="1"/>
  <c r="M248" i="17"/>
  <c r="N248" i="17"/>
  <c r="P248" i="17"/>
  <c r="S248" i="17" s="1"/>
  <c r="Q248" i="17"/>
  <c r="R248" i="17" s="1"/>
  <c r="W248" i="17"/>
  <c r="X248" i="17" s="1"/>
  <c r="Y248" i="17"/>
  <c r="AB248" i="17"/>
  <c r="AC248" i="17"/>
  <c r="AD248" i="17"/>
  <c r="AE248" i="17" s="1"/>
  <c r="AG248" i="17"/>
  <c r="AW248" i="17" s="1"/>
  <c r="AI248" i="17"/>
  <c r="AJ248" i="17"/>
  <c r="AK248" i="17" s="1"/>
  <c r="AN248" i="17"/>
  <c r="AO248" i="17"/>
  <c r="AP248" i="17"/>
  <c r="AQ248" i="17" s="1"/>
  <c r="AR248" i="17"/>
  <c r="AU248" i="17"/>
  <c r="AX248" i="17"/>
  <c r="AY248" i="17"/>
  <c r="AZ248" i="17"/>
  <c r="BA248" i="17"/>
  <c r="BB248" i="17" s="1"/>
  <c r="BE248" i="17" s="1"/>
  <c r="BG248" i="17"/>
  <c r="BH248" i="17" s="1"/>
  <c r="BI248" i="17"/>
  <c r="BK248" i="17"/>
  <c r="BL248" i="17"/>
  <c r="BM248" i="17"/>
  <c r="BN248" i="17" s="1"/>
  <c r="BO248" i="17"/>
  <c r="BR248" i="17"/>
  <c r="BS248" i="17"/>
  <c r="BT248" i="17"/>
  <c r="BU248" i="17"/>
  <c r="BW248" i="17"/>
  <c r="CA248" i="17" s="1"/>
  <c r="BY248" i="17"/>
  <c r="BZ248" i="17" s="1"/>
  <c r="CB248" i="17"/>
  <c r="CC248" i="17"/>
  <c r="CD248" i="17" s="1"/>
  <c r="CE248" i="17"/>
  <c r="CF248" i="17"/>
  <c r="CG248" i="17"/>
  <c r="CH248" i="17"/>
  <c r="CI248" i="17"/>
  <c r="CK248" i="17"/>
  <c r="A249" i="17"/>
  <c r="B249" i="17"/>
  <c r="C249" i="17"/>
  <c r="D249" i="17"/>
  <c r="E249" i="17"/>
  <c r="F249" i="17"/>
  <c r="G249" i="17"/>
  <c r="H249" i="17"/>
  <c r="I249" i="17"/>
  <c r="J249" i="17"/>
  <c r="L249" i="17"/>
  <c r="K248" i="17" s="1"/>
  <c r="M249" i="17"/>
  <c r="N249" i="17" s="1"/>
  <c r="P249" i="17"/>
  <c r="U249" i="17" s="1"/>
  <c r="Q249" i="17"/>
  <c r="T249" i="17" s="1"/>
  <c r="R249" i="17"/>
  <c r="S249" i="17"/>
  <c r="V249" i="17"/>
  <c r="W249" i="17"/>
  <c r="X249" i="17"/>
  <c r="Y249" i="17"/>
  <c r="Z249" i="17" s="1"/>
  <c r="AB249" i="17"/>
  <c r="AC249" i="17" s="1"/>
  <c r="AD249" i="17"/>
  <c r="AE249" i="17" s="1"/>
  <c r="AG249" i="17"/>
  <c r="AJ249" i="17"/>
  <c r="AK249" i="17" s="1"/>
  <c r="AN249" i="17"/>
  <c r="AM249" i="17" s="1"/>
  <c r="AP249" i="17"/>
  <c r="AQ249" i="17" s="1"/>
  <c r="AR249" i="17"/>
  <c r="AX249" i="17"/>
  <c r="AY249" i="17"/>
  <c r="AZ249" i="17"/>
  <c r="BA249" i="17"/>
  <c r="BB249" i="17"/>
  <c r="BF249" i="17"/>
  <c r="BG249" i="17"/>
  <c r="BH249" i="17"/>
  <c r="BI249" i="17"/>
  <c r="BC249" i="17" s="1"/>
  <c r="BD249" i="17" s="1"/>
  <c r="BK249" i="17"/>
  <c r="BL249" i="17"/>
  <c r="BM249" i="17"/>
  <c r="BN249" i="17"/>
  <c r="BO249" i="17"/>
  <c r="BP249" i="17" s="1"/>
  <c r="BR249" i="17"/>
  <c r="BQ249" i="17" s="1"/>
  <c r="BT249" i="17"/>
  <c r="BS249" i="17" s="1"/>
  <c r="BU249" i="17"/>
  <c r="BV249" i="17" s="1"/>
  <c r="BW249" i="17"/>
  <c r="BY249" i="17"/>
  <c r="BZ249" i="17"/>
  <c r="CA249" i="17"/>
  <c r="CB249" i="17"/>
  <c r="CC249" i="17"/>
  <c r="CD249" i="17"/>
  <c r="CE249" i="17"/>
  <c r="CF249" i="17"/>
  <c r="CG249" i="17"/>
  <c r="CI249" i="17" s="1"/>
  <c r="CH249" i="17"/>
  <c r="CK249" i="17"/>
  <c r="A250" i="17"/>
  <c r="B250" i="17"/>
  <c r="C250" i="17"/>
  <c r="D250" i="17"/>
  <c r="E250" i="17"/>
  <c r="F250" i="17"/>
  <c r="G250" i="17"/>
  <c r="H250" i="17"/>
  <c r="I250" i="17"/>
  <c r="J250" i="17"/>
  <c r="L250" i="17"/>
  <c r="AH250" i="17" s="1"/>
  <c r="M250" i="17"/>
  <c r="N250" i="17" s="1"/>
  <c r="P250" i="17"/>
  <c r="U250" i="17" s="1"/>
  <c r="Q250" i="17"/>
  <c r="V250" i="17" s="1"/>
  <c r="S250" i="17"/>
  <c r="T250" i="17" s="1"/>
  <c r="W250" i="17"/>
  <c r="X250" i="17" s="1"/>
  <c r="Y250" i="17"/>
  <c r="Z250" i="17" s="1"/>
  <c r="AB250" i="17"/>
  <c r="AC250" i="17"/>
  <c r="AD250" i="17"/>
  <c r="AE250" i="17"/>
  <c r="AF250" i="17"/>
  <c r="AG250" i="17"/>
  <c r="AI250" i="17"/>
  <c r="AJ250" i="17"/>
  <c r="AL250" i="17"/>
  <c r="AN250" i="17"/>
  <c r="AM250" i="17" s="1"/>
  <c r="AO250" i="17"/>
  <c r="AP250" i="17"/>
  <c r="AT250" i="17" s="1"/>
  <c r="AQ250" i="17"/>
  <c r="AR250" i="17"/>
  <c r="AS250" i="17" s="1"/>
  <c r="AW250" i="17"/>
  <c r="AX250" i="17"/>
  <c r="AY250" i="17"/>
  <c r="AZ250" i="17"/>
  <c r="BA250" i="17"/>
  <c r="BF250" i="17" s="1"/>
  <c r="BG250" i="17"/>
  <c r="BH250" i="17" s="1"/>
  <c r="BI250" i="17"/>
  <c r="BC250" i="17" s="1"/>
  <c r="BD250" i="17" s="1"/>
  <c r="BK250" i="17"/>
  <c r="BL250" i="17"/>
  <c r="BM250" i="17"/>
  <c r="BN250" i="17" s="1"/>
  <c r="AV250" i="17" s="1"/>
  <c r="BO250" i="17"/>
  <c r="BP250" i="17" s="1"/>
  <c r="BR250" i="17"/>
  <c r="BQ250" i="17" s="1"/>
  <c r="BS250" i="17"/>
  <c r="BT250" i="17"/>
  <c r="BU250" i="17"/>
  <c r="BV250" i="17" s="1"/>
  <c r="BW250" i="17"/>
  <c r="BY250" i="17"/>
  <c r="BZ250" i="17" s="1"/>
  <c r="CB250" i="17"/>
  <c r="CD250" i="17" s="1"/>
  <c r="CC250" i="17"/>
  <c r="CE250" i="17"/>
  <c r="CF250" i="17"/>
  <c r="CG250" i="17"/>
  <c r="CH250" i="17"/>
  <c r="CI250" i="17" s="1"/>
  <c r="CK250" i="17"/>
  <c r="A251" i="17"/>
  <c r="B251" i="17"/>
  <c r="C251" i="17"/>
  <c r="D251" i="17"/>
  <c r="E251" i="17"/>
  <c r="F251" i="17"/>
  <c r="G251" i="17"/>
  <c r="H251" i="17"/>
  <c r="I251" i="17"/>
  <c r="J251" i="17"/>
  <c r="L251" i="17"/>
  <c r="AC251" i="17" s="1"/>
  <c r="M251" i="17"/>
  <c r="N251" i="17"/>
  <c r="O251" i="17"/>
  <c r="P251" i="17"/>
  <c r="Q251" i="17"/>
  <c r="V251" i="17" s="1"/>
  <c r="R251" i="17"/>
  <c r="S251" i="17"/>
  <c r="T251" i="17"/>
  <c r="U251" i="17"/>
  <c r="W251" i="17"/>
  <c r="X251" i="17"/>
  <c r="Y251" i="17"/>
  <c r="Z251" i="17"/>
  <c r="AA251" i="17"/>
  <c r="AB251" i="17"/>
  <c r="AD251" i="17"/>
  <c r="AE251" i="17" s="1"/>
  <c r="AF251" i="17"/>
  <c r="AG251" i="17"/>
  <c r="AH251" i="17" s="1"/>
  <c r="AJ251" i="17"/>
  <c r="AK251" i="17" s="1"/>
  <c r="AL251" i="17"/>
  <c r="AM251" i="17"/>
  <c r="AN251" i="17"/>
  <c r="AP251" i="17"/>
  <c r="AT251" i="17" s="1"/>
  <c r="AR251" i="17"/>
  <c r="CJ247" i="17" s="1"/>
  <c r="AX251" i="17"/>
  <c r="AY251" i="17"/>
  <c r="AZ251" i="17"/>
  <c r="BA251" i="17"/>
  <c r="BF251" i="17" s="1"/>
  <c r="BB251" i="17"/>
  <c r="BG251" i="17"/>
  <c r="BH251" i="17"/>
  <c r="BI251" i="17"/>
  <c r="AU251" i="17" s="1"/>
  <c r="BJ251" i="17"/>
  <c r="BK251" i="17"/>
  <c r="BL251" i="17"/>
  <c r="BM251" i="17"/>
  <c r="BN251" i="17"/>
  <c r="BO251" i="17"/>
  <c r="BP251" i="17"/>
  <c r="BQ251" i="17"/>
  <c r="BR251" i="17"/>
  <c r="BT251" i="17"/>
  <c r="BS251" i="17" s="1"/>
  <c r="BU251" i="17"/>
  <c r="BV251" i="17"/>
  <c r="BW251" i="17"/>
  <c r="BX251" i="17" s="1"/>
  <c r="BY251" i="17"/>
  <c r="BZ251" i="17"/>
  <c r="CB251" i="17"/>
  <c r="CD251" i="17" s="1"/>
  <c r="CC251" i="17"/>
  <c r="CE251" i="17"/>
  <c r="CF251" i="17"/>
  <c r="CG251" i="17"/>
  <c r="CH251" i="17"/>
  <c r="CI251" i="17" s="1"/>
  <c r="CK251" i="17"/>
  <c r="A252" i="17"/>
  <c r="B252" i="17"/>
  <c r="C252" i="17"/>
  <c r="D252" i="17"/>
  <c r="E252" i="17"/>
  <c r="F252" i="17"/>
  <c r="G252" i="17"/>
  <c r="H252" i="17"/>
  <c r="I252" i="17"/>
  <c r="J252" i="17"/>
  <c r="L252" i="17"/>
  <c r="M252" i="17"/>
  <c r="N252" i="17" s="1"/>
  <c r="O252" i="17"/>
  <c r="P252" i="17"/>
  <c r="U252" i="17" s="1"/>
  <c r="Q252" i="17"/>
  <c r="R252" i="17"/>
  <c r="V252" i="17"/>
  <c r="W252" i="17"/>
  <c r="X252" i="17"/>
  <c r="Y252" i="17"/>
  <c r="Z252" i="17" s="1"/>
  <c r="AA252" i="17"/>
  <c r="AB252" i="17"/>
  <c r="AC252" i="17" s="1"/>
  <c r="AD252" i="17"/>
  <c r="AE252" i="17"/>
  <c r="AF252" i="17"/>
  <c r="AG252" i="17"/>
  <c r="AI252" i="17" s="1"/>
  <c r="AH252" i="17"/>
  <c r="AJ252" i="17"/>
  <c r="AK252" i="17"/>
  <c r="AL252" i="17"/>
  <c r="AN252" i="17"/>
  <c r="AO252" i="17" s="1"/>
  <c r="BE252" i="17" s="1"/>
  <c r="AP252" i="17"/>
  <c r="AQ252" i="17"/>
  <c r="AR252" i="17"/>
  <c r="AS252" i="17"/>
  <c r="AT252" i="17"/>
  <c r="AX252" i="17"/>
  <c r="AY252" i="17"/>
  <c r="AZ252" i="17"/>
  <c r="BA252" i="17"/>
  <c r="BB252" i="17"/>
  <c r="BF252" i="17"/>
  <c r="BG252" i="17"/>
  <c r="BH252" i="17"/>
  <c r="BI252" i="17"/>
  <c r="AU252" i="17" s="1"/>
  <c r="BK252" i="17"/>
  <c r="BL252" i="17"/>
  <c r="BM252" i="17"/>
  <c r="BN252" i="17"/>
  <c r="AV252" i="17" s="1"/>
  <c r="BO252" i="17"/>
  <c r="BP252" i="17" s="1"/>
  <c r="BR252" i="17"/>
  <c r="BQ252" i="17" s="1"/>
  <c r="BT252" i="17"/>
  <c r="BS252" i="17" s="1"/>
  <c r="BU252" i="17"/>
  <c r="BV252" i="17" s="1"/>
  <c r="BW252" i="17"/>
  <c r="CA252" i="17" s="1"/>
  <c r="BX252" i="17"/>
  <c r="BY252" i="17"/>
  <c r="BZ252" i="17"/>
  <c r="CB252" i="17"/>
  <c r="CC252" i="17"/>
  <c r="CD252" i="17"/>
  <c r="CE252" i="17"/>
  <c r="CF252" i="17"/>
  <c r="CG252" i="17"/>
  <c r="CH252" i="17"/>
  <c r="CI252" i="17"/>
  <c r="CK252" i="17"/>
  <c r="A253" i="17"/>
  <c r="B253" i="17"/>
  <c r="C253" i="17"/>
  <c r="D253" i="17"/>
  <c r="E253" i="17"/>
  <c r="F253" i="17"/>
  <c r="G253" i="17"/>
  <c r="H253" i="17"/>
  <c r="I253" i="17"/>
  <c r="J253" i="17"/>
  <c r="L253" i="17"/>
  <c r="M253" i="17"/>
  <c r="N253" i="17"/>
  <c r="O253" i="17"/>
  <c r="P253" i="17"/>
  <c r="S253" i="17" s="1"/>
  <c r="Q253" i="17"/>
  <c r="R253" i="17" s="1"/>
  <c r="AK253" i="17" s="1"/>
  <c r="W253" i="17"/>
  <c r="X253" i="17" s="1"/>
  <c r="Y253" i="17"/>
  <c r="Z253" i="17"/>
  <c r="AB253" i="17"/>
  <c r="AC253" i="17"/>
  <c r="AD253" i="17"/>
  <c r="AE253" i="17"/>
  <c r="AF253" i="17"/>
  <c r="AG253" i="17"/>
  <c r="AW253" i="17" s="1"/>
  <c r="AH253" i="17"/>
  <c r="AI253" i="17"/>
  <c r="AJ253" i="17"/>
  <c r="AL253" i="17"/>
  <c r="AN253" i="17"/>
  <c r="AM253" i="17" s="1"/>
  <c r="AO253" i="17"/>
  <c r="AP253" i="17"/>
  <c r="AQ253" i="17"/>
  <c r="AR253" i="17"/>
  <c r="AS253" i="17" s="1"/>
  <c r="AT253" i="17"/>
  <c r="AU253" i="17"/>
  <c r="AX253" i="17"/>
  <c r="AY253" i="17"/>
  <c r="AZ253" i="17"/>
  <c r="BA253" i="17"/>
  <c r="BF253" i="17" s="1"/>
  <c r="BG253" i="17"/>
  <c r="BH253" i="17" s="1"/>
  <c r="BI253" i="17"/>
  <c r="BJ253" i="17"/>
  <c r="BK253" i="17"/>
  <c r="BL253" i="17"/>
  <c r="BM253" i="17"/>
  <c r="BN253" i="17" s="1"/>
  <c r="AV253" i="17" s="1"/>
  <c r="BO253" i="17"/>
  <c r="BP253" i="17"/>
  <c r="BR253" i="17"/>
  <c r="BQ253" i="17" s="1"/>
  <c r="BS253" i="17"/>
  <c r="BT253" i="17"/>
  <c r="BU253" i="17"/>
  <c r="BV253" i="17"/>
  <c r="BW253" i="17"/>
  <c r="CA253" i="17" s="1"/>
  <c r="BX253" i="17"/>
  <c r="BY253" i="17"/>
  <c r="BZ253" i="17" s="1"/>
  <c r="CB253" i="17"/>
  <c r="CC253" i="17"/>
  <c r="CD253" i="17"/>
  <c r="CE253" i="17"/>
  <c r="CF253" i="17"/>
  <c r="CG253" i="17"/>
  <c r="CH253" i="17"/>
  <c r="CI253" i="17" s="1"/>
  <c r="CK253" i="17"/>
  <c r="A254" i="17"/>
  <c r="B254" i="17"/>
  <c r="C254" i="17"/>
  <c r="D254" i="17"/>
  <c r="E254" i="17"/>
  <c r="F254" i="17"/>
  <c r="G254" i="17"/>
  <c r="H254" i="17"/>
  <c r="I254" i="17"/>
  <c r="J254" i="17"/>
  <c r="L254" i="17"/>
  <c r="K254" i="17" s="1"/>
  <c r="M254" i="17"/>
  <c r="N254" i="17"/>
  <c r="P254" i="17"/>
  <c r="S254" i="17" s="1"/>
  <c r="Q254" i="17"/>
  <c r="U254" i="17" s="1"/>
  <c r="R254" i="17"/>
  <c r="W254" i="17"/>
  <c r="AA254" i="17" s="1"/>
  <c r="X254" i="17"/>
  <c r="Y254" i="17"/>
  <c r="AB254" i="17"/>
  <c r="AD254" i="17"/>
  <c r="AE254" i="17" s="1"/>
  <c r="AG254" i="17"/>
  <c r="AW254" i="17" s="1"/>
  <c r="AJ254" i="17"/>
  <c r="AK254" i="17" s="1"/>
  <c r="AN254" i="17"/>
  <c r="AP254" i="17"/>
  <c r="AQ254" i="17" s="1"/>
  <c r="AR254" i="17"/>
  <c r="AU254" i="17"/>
  <c r="AX254" i="17"/>
  <c r="AY254" i="17"/>
  <c r="AZ254" i="17"/>
  <c r="BA254" i="17"/>
  <c r="BC254" i="17" s="1"/>
  <c r="BD254" i="17" s="1"/>
  <c r="BB254" i="17"/>
  <c r="BG254" i="17"/>
  <c r="BH254" i="17"/>
  <c r="BI254" i="17"/>
  <c r="BK254" i="17"/>
  <c r="BL254" i="17"/>
  <c r="BM254" i="17"/>
  <c r="BN254" i="17"/>
  <c r="BO254" i="17"/>
  <c r="BR254" i="17"/>
  <c r="BT254" i="17"/>
  <c r="BS254" i="17" s="1"/>
  <c r="BU254" i="17"/>
  <c r="BW254" i="17"/>
  <c r="CA254" i="17" s="1"/>
  <c r="BY254" i="17"/>
  <c r="BZ254" i="17"/>
  <c r="CB254" i="17"/>
  <c r="CC254" i="17"/>
  <c r="CD254" i="17" s="1"/>
  <c r="CE254" i="17"/>
  <c r="CF254" i="17"/>
  <c r="CG254" i="17"/>
  <c r="CH254" i="17"/>
  <c r="CI254" i="17"/>
  <c r="CK254" i="17"/>
  <c r="A255" i="17"/>
  <c r="B255" i="17"/>
  <c r="C255" i="17"/>
  <c r="D255" i="17"/>
  <c r="E255" i="17"/>
  <c r="F255" i="17"/>
  <c r="G255" i="17"/>
  <c r="H255" i="17"/>
  <c r="I255" i="17"/>
  <c r="J255" i="17"/>
  <c r="L255" i="17"/>
  <c r="AS255" i="17" s="1"/>
  <c r="M255" i="17"/>
  <c r="N255" i="17" s="1"/>
  <c r="P255" i="17"/>
  <c r="U255" i="17" s="1"/>
  <c r="Q255" i="17"/>
  <c r="T255" i="17" s="1"/>
  <c r="R255" i="17"/>
  <c r="S255" i="17"/>
  <c r="W255" i="17"/>
  <c r="X255" i="17"/>
  <c r="Y255" i="17"/>
  <c r="Z255" i="17" s="1"/>
  <c r="AB255" i="17"/>
  <c r="AC255" i="17" s="1"/>
  <c r="AD255" i="17"/>
  <c r="AF255" i="17" s="1"/>
  <c r="AE255" i="17"/>
  <c r="AG255" i="17"/>
  <c r="AJ255" i="17"/>
  <c r="AL255" i="17" s="1"/>
  <c r="AK255" i="17"/>
  <c r="AN255" i="17"/>
  <c r="AM255" i="17" s="1"/>
  <c r="AP255" i="17"/>
  <c r="AT255" i="17" s="1"/>
  <c r="AQ255" i="17"/>
  <c r="AR255" i="17"/>
  <c r="AW255" i="17"/>
  <c r="AX255" i="17"/>
  <c r="AY255" i="17"/>
  <c r="AZ255" i="17"/>
  <c r="BA255" i="17"/>
  <c r="BB255" i="17"/>
  <c r="BF255" i="17"/>
  <c r="BG255" i="17"/>
  <c r="BH255" i="17"/>
  <c r="BI255" i="17"/>
  <c r="BJ255" i="17" s="1"/>
  <c r="BK255" i="17"/>
  <c r="BL255" i="17"/>
  <c r="BM255" i="17"/>
  <c r="BN255" i="17"/>
  <c r="AV255" i="17" s="1"/>
  <c r="BO255" i="17"/>
  <c r="BP255" i="17" s="1"/>
  <c r="BR255" i="17"/>
  <c r="BQ255" i="17" s="1"/>
  <c r="BT255" i="17"/>
  <c r="BS255" i="17" s="1"/>
  <c r="BU255" i="17"/>
  <c r="BV255" i="17" s="1"/>
  <c r="BW255" i="17"/>
  <c r="BY255" i="17"/>
  <c r="BZ255" i="17"/>
  <c r="CA255" i="17"/>
  <c r="CB255" i="17"/>
  <c r="CC255" i="17"/>
  <c r="CD255" i="17"/>
  <c r="CE255" i="17"/>
  <c r="CF255" i="17"/>
  <c r="CG255" i="17"/>
  <c r="CI255" i="17" s="1"/>
  <c r="CH255" i="17"/>
  <c r="CK255" i="17"/>
  <c r="A256" i="17"/>
  <c r="B256" i="17"/>
  <c r="C256" i="17"/>
  <c r="D256" i="17"/>
  <c r="E256" i="17"/>
  <c r="F256" i="17"/>
  <c r="G256" i="17"/>
  <c r="H256" i="17"/>
  <c r="I256" i="17"/>
  <c r="J256" i="17"/>
  <c r="L256" i="17"/>
  <c r="AH256" i="17" s="1"/>
  <c r="M256" i="17"/>
  <c r="O256" i="17" s="1"/>
  <c r="N256" i="17"/>
  <c r="P256" i="17"/>
  <c r="U256" i="17" s="1"/>
  <c r="Q256" i="17"/>
  <c r="V256" i="17" s="1"/>
  <c r="S256" i="17"/>
  <c r="T256" i="17"/>
  <c r="W256" i="17"/>
  <c r="X256" i="17" s="1"/>
  <c r="Y256" i="17"/>
  <c r="AA256" i="17" s="1"/>
  <c r="Z256" i="17"/>
  <c r="AB256" i="17"/>
  <c r="AC256" i="17"/>
  <c r="AD256" i="17"/>
  <c r="AE256" i="17"/>
  <c r="AF256" i="17"/>
  <c r="AG256" i="17"/>
  <c r="AI256" i="17"/>
  <c r="AJ256" i="17"/>
  <c r="AL256" i="17"/>
  <c r="AN256" i="17"/>
  <c r="AM256" i="17" s="1"/>
  <c r="AO256" i="17"/>
  <c r="AP256" i="17"/>
  <c r="AT256" i="17" s="1"/>
  <c r="AQ256" i="17"/>
  <c r="AR256" i="17"/>
  <c r="AS256" i="17" s="1"/>
  <c r="AX256" i="17"/>
  <c r="AY256" i="17"/>
  <c r="AZ256" i="17"/>
  <c r="BA256" i="17"/>
  <c r="BF256" i="17" s="1"/>
  <c r="BG256" i="17"/>
  <c r="BH256" i="17" s="1"/>
  <c r="BI256" i="17"/>
  <c r="BC256" i="17" s="1"/>
  <c r="BD256" i="17" s="1"/>
  <c r="BJ256" i="17"/>
  <c r="BK256" i="17"/>
  <c r="BL256" i="17"/>
  <c r="BM256" i="17"/>
  <c r="BN256" i="17" s="1"/>
  <c r="AV256" i="17" s="1"/>
  <c r="BO256" i="17"/>
  <c r="BP256" i="17"/>
  <c r="BR256" i="17"/>
  <c r="BQ256" i="17" s="1"/>
  <c r="BS256" i="17"/>
  <c r="BT256" i="17"/>
  <c r="BU256" i="17"/>
  <c r="CA256" i="17" s="1"/>
  <c r="BV256" i="17"/>
  <c r="BW256" i="17"/>
  <c r="BY256" i="17"/>
  <c r="BZ256" i="17" s="1"/>
  <c r="CB256" i="17"/>
  <c r="CD256" i="17" s="1"/>
  <c r="CC256" i="17"/>
  <c r="CE256" i="17"/>
  <c r="CF256" i="17"/>
  <c r="CG256" i="17"/>
  <c r="CH256" i="17"/>
  <c r="CI256" i="17" s="1"/>
  <c r="CK256" i="17"/>
  <c r="A257" i="17"/>
  <c r="B257" i="17"/>
  <c r="C257" i="17"/>
  <c r="D257" i="17"/>
  <c r="E257" i="17"/>
  <c r="F257" i="17"/>
  <c r="G257" i="17"/>
  <c r="H257" i="17"/>
  <c r="I257" i="17"/>
  <c r="J257" i="17"/>
  <c r="L257" i="17"/>
  <c r="AC257" i="17" s="1"/>
  <c r="M257" i="17"/>
  <c r="N257" i="17"/>
  <c r="O257" i="17"/>
  <c r="P257" i="17"/>
  <c r="Q257" i="17"/>
  <c r="V257" i="17" s="1"/>
  <c r="S257" i="17"/>
  <c r="T257" i="17"/>
  <c r="U257" i="17"/>
  <c r="W257" i="17"/>
  <c r="X257" i="17"/>
  <c r="Y257" i="17"/>
  <c r="Z257" i="17"/>
  <c r="AA257" i="17"/>
  <c r="AB257" i="17"/>
  <c r="AD257" i="17"/>
  <c r="AE257" i="17" s="1"/>
  <c r="AF257" i="17"/>
  <c r="AG257" i="17"/>
  <c r="AH257" i="17" s="1"/>
  <c r="AJ257" i="17"/>
  <c r="AL257" i="17"/>
  <c r="AM257" i="17"/>
  <c r="AN257" i="17"/>
  <c r="AP257" i="17"/>
  <c r="AT257" i="17" s="1"/>
  <c r="AR257" i="17"/>
  <c r="AS257" i="17"/>
  <c r="AX257" i="17"/>
  <c r="AY257" i="17"/>
  <c r="AZ257" i="17"/>
  <c r="BA257" i="17"/>
  <c r="BF257" i="17" s="1"/>
  <c r="BB257" i="17"/>
  <c r="BG257" i="17"/>
  <c r="BH257" i="17"/>
  <c r="BI257" i="17"/>
  <c r="AU257" i="17" s="1"/>
  <c r="BJ257" i="17"/>
  <c r="BK257" i="17"/>
  <c r="BL257" i="17"/>
  <c r="BM257" i="17"/>
  <c r="BN257" i="17"/>
  <c r="AV257" i="17" s="1"/>
  <c r="BO257" i="17"/>
  <c r="BP257" i="17"/>
  <c r="BQ257" i="17"/>
  <c r="BR257" i="17"/>
  <c r="BT257" i="17"/>
  <c r="BS257" i="17" s="1"/>
  <c r="BU257" i="17"/>
  <c r="BV257" i="17"/>
  <c r="BW257" i="17"/>
  <c r="BX257" i="17" s="1"/>
  <c r="BY257" i="17"/>
  <c r="BZ257" i="17"/>
  <c r="CB257" i="17"/>
  <c r="CD257" i="17" s="1"/>
  <c r="CC257" i="17"/>
  <c r="CE257" i="17"/>
  <c r="CF257" i="17"/>
  <c r="CG257" i="17"/>
  <c r="CH257" i="17"/>
  <c r="CI257" i="17"/>
  <c r="CK257" i="17"/>
  <c r="A258" i="17"/>
  <c r="B258" i="17"/>
  <c r="C258" i="17"/>
  <c r="D258" i="17"/>
  <c r="E258" i="17"/>
  <c r="F258" i="17"/>
  <c r="G258" i="17"/>
  <c r="H258" i="17"/>
  <c r="I258" i="17"/>
  <c r="J258" i="17"/>
  <c r="L258" i="17"/>
  <c r="M258" i="17"/>
  <c r="N258" i="17" s="1"/>
  <c r="O258" i="17"/>
  <c r="P258" i="17"/>
  <c r="S258" i="17" s="1"/>
  <c r="T258" i="17" s="1"/>
  <c r="Q258" i="17"/>
  <c r="R258" i="17"/>
  <c r="W258" i="17"/>
  <c r="X258" i="17"/>
  <c r="Y258" i="17"/>
  <c r="Z258" i="17" s="1"/>
  <c r="AA258" i="17"/>
  <c r="AB258" i="17"/>
  <c r="AC258" i="17" s="1"/>
  <c r="AD258" i="17"/>
  <c r="AE258" i="17"/>
  <c r="AF258" i="17"/>
  <c r="AG258" i="17"/>
  <c r="AI258" i="17" s="1"/>
  <c r="AH258" i="17"/>
  <c r="AJ258" i="17"/>
  <c r="AK258" i="17"/>
  <c r="AL258" i="17"/>
  <c r="AN258" i="17"/>
  <c r="AM258" i="17" s="1"/>
  <c r="AP258" i="17"/>
  <c r="AQ258" i="17"/>
  <c r="AR258" i="17"/>
  <c r="AS258" i="17"/>
  <c r="AT258" i="17"/>
  <c r="AX258" i="17"/>
  <c r="AY258" i="17"/>
  <c r="AZ258" i="17"/>
  <c r="BA258" i="17"/>
  <c r="BB258" i="17"/>
  <c r="BC258" i="17"/>
  <c r="BD258" i="17" s="1"/>
  <c r="BF258" i="17"/>
  <c r="BG258" i="17"/>
  <c r="BH258" i="17"/>
  <c r="BI258" i="17"/>
  <c r="AU258" i="17" s="1"/>
  <c r="BK258" i="17"/>
  <c r="BL258" i="17"/>
  <c r="BM258" i="17"/>
  <c r="BN258" i="17"/>
  <c r="AV258" i="17" s="1"/>
  <c r="BO258" i="17"/>
  <c r="BP258" i="17" s="1"/>
  <c r="BR258" i="17"/>
  <c r="BQ258" i="17" s="1"/>
  <c r="BT258" i="17"/>
  <c r="BS258" i="17" s="1"/>
  <c r="BU258" i="17"/>
  <c r="BV258" i="17" s="1"/>
  <c r="BW258" i="17"/>
  <c r="CA258" i="17" s="1"/>
  <c r="BX258" i="17"/>
  <c r="BY258" i="17"/>
  <c r="BZ258" i="17"/>
  <c r="CB258" i="17"/>
  <c r="CC258" i="17"/>
  <c r="CD258" i="17"/>
  <c r="CE258" i="17"/>
  <c r="CF258" i="17"/>
  <c r="CG258" i="17"/>
  <c r="CH258" i="17"/>
  <c r="CI258" i="17"/>
  <c r="CK258" i="17"/>
  <c r="A259" i="17"/>
  <c r="B259" i="17"/>
  <c r="C259" i="17"/>
  <c r="D259" i="17"/>
  <c r="E259" i="17"/>
  <c r="F259" i="17"/>
  <c r="G259" i="17"/>
  <c r="H259" i="17"/>
  <c r="I259" i="17"/>
  <c r="J259" i="17"/>
  <c r="L259" i="17"/>
  <c r="M259" i="17"/>
  <c r="N259" i="17"/>
  <c r="O259" i="17"/>
  <c r="P259" i="17"/>
  <c r="S259" i="17" s="1"/>
  <c r="Q259" i="17"/>
  <c r="R259" i="17" s="1"/>
  <c r="AK259" i="17" s="1"/>
  <c r="W259" i="17"/>
  <c r="X259" i="17" s="1"/>
  <c r="Y259" i="17"/>
  <c r="Z259" i="17"/>
  <c r="AB259" i="17"/>
  <c r="AC259" i="17"/>
  <c r="AD259" i="17"/>
  <c r="AE259" i="17"/>
  <c r="AF259" i="17"/>
  <c r="AG259" i="17"/>
  <c r="AW259" i="17" s="1"/>
  <c r="AH259" i="17"/>
  <c r="AI259" i="17"/>
  <c r="AJ259" i="17"/>
  <c r="AL259" i="17"/>
  <c r="AN259" i="17"/>
  <c r="AM259" i="17" s="1"/>
  <c r="AO259" i="17"/>
  <c r="AP259" i="17"/>
  <c r="AQ259" i="17"/>
  <c r="AR259" i="17"/>
  <c r="AS259" i="17" s="1"/>
  <c r="AT259" i="17"/>
  <c r="AU259" i="17"/>
  <c r="AX259" i="17"/>
  <c r="AY259" i="17"/>
  <c r="AZ259" i="17"/>
  <c r="BA259" i="17"/>
  <c r="BB259" i="17" s="1"/>
  <c r="BE259" i="17" s="1"/>
  <c r="BG259" i="17"/>
  <c r="BH259" i="17" s="1"/>
  <c r="BI259" i="17"/>
  <c r="BJ259" i="17"/>
  <c r="BK259" i="17"/>
  <c r="BL259" i="17"/>
  <c r="BM259" i="17"/>
  <c r="BN259" i="17" s="1"/>
  <c r="AV259" i="17" s="1"/>
  <c r="BO259" i="17"/>
  <c r="BP259" i="17"/>
  <c r="BR259" i="17"/>
  <c r="BQ259" i="17" s="1"/>
  <c r="BS259" i="17"/>
  <c r="BT259" i="17"/>
  <c r="BU259" i="17"/>
  <c r="BV259" i="17"/>
  <c r="BW259" i="17"/>
  <c r="CA259" i="17" s="1"/>
  <c r="BX259" i="17"/>
  <c r="BY259" i="17"/>
  <c r="BZ259" i="17" s="1"/>
  <c r="CB259" i="17"/>
  <c r="CC259" i="17"/>
  <c r="CD259" i="17"/>
  <c r="CE259" i="17"/>
  <c r="CF259" i="17"/>
  <c r="CG259" i="17"/>
  <c r="CH259" i="17"/>
  <c r="CI259" i="17" s="1"/>
  <c r="CK259" i="17"/>
  <c r="A260" i="17"/>
  <c r="B260" i="17"/>
  <c r="C260" i="17"/>
  <c r="D260" i="17"/>
  <c r="E260" i="17"/>
  <c r="F260" i="17"/>
  <c r="G260" i="17"/>
  <c r="H260" i="17"/>
  <c r="I260" i="17"/>
  <c r="J260" i="17"/>
  <c r="L260" i="17"/>
  <c r="K253" i="17" s="1"/>
  <c r="M260" i="17"/>
  <c r="N260" i="17"/>
  <c r="P260" i="17"/>
  <c r="S260" i="17" s="1"/>
  <c r="Q260" i="17"/>
  <c r="T260" i="17" s="1"/>
  <c r="R260" i="17"/>
  <c r="W260" i="17"/>
  <c r="AA260" i="17" s="1"/>
  <c r="X260" i="17"/>
  <c r="Y260" i="17"/>
  <c r="AB260" i="17"/>
  <c r="AD260" i="17"/>
  <c r="AE260" i="17" s="1"/>
  <c r="AG260" i="17"/>
  <c r="AW260" i="17" s="1"/>
  <c r="AJ260" i="17"/>
  <c r="AK260" i="17" s="1"/>
  <c r="AN260" i="17"/>
  <c r="AP260" i="17"/>
  <c r="AQ260" i="17" s="1"/>
  <c r="AR260" i="17"/>
  <c r="AU260" i="17"/>
  <c r="AX260" i="17"/>
  <c r="AY260" i="17"/>
  <c r="AZ260" i="17"/>
  <c r="BA260" i="17"/>
  <c r="BC260" i="17" s="1"/>
  <c r="BD260" i="17" s="1"/>
  <c r="BB260" i="17"/>
  <c r="BG260" i="17"/>
  <c r="BH260" i="17"/>
  <c r="BI260" i="17"/>
  <c r="BK260" i="17"/>
  <c r="BL260" i="17"/>
  <c r="BM260" i="17"/>
  <c r="BN260" i="17"/>
  <c r="BO260" i="17"/>
  <c r="BR260" i="17"/>
  <c r="BT260" i="17"/>
  <c r="BS260" i="17" s="1"/>
  <c r="BU260" i="17"/>
  <c r="BW260" i="17"/>
  <c r="CA260" i="17" s="1"/>
  <c r="BY260" i="17"/>
  <c r="BZ260" i="17"/>
  <c r="CB260" i="17"/>
  <c r="CC260" i="17"/>
  <c r="CD260" i="17" s="1"/>
  <c r="CE260" i="17"/>
  <c r="CF260" i="17"/>
  <c r="CG260" i="17"/>
  <c r="CH260" i="17"/>
  <c r="CI260" i="17"/>
  <c r="CK260" i="17"/>
  <c r="A261" i="17"/>
  <c r="B261" i="17"/>
  <c r="C261" i="17"/>
  <c r="D261" i="17"/>
  <c r="E261" i="17"/>
  <c r="F261" i="17"/>
  <c r="G261" i="17"/>
  <c r="H261" i="17"/>
  <c r="I261" i="17"/>
  <c r="J261" i="17"/>
  <c r="L261" i="17"/>
  <c r="R261" i="17" s="1"/>
  <c r="AK261" i="17" s="1"/>
  <c r="M261" i="17"/>
  <c r="N261" i="17" s="1"/>
  <c r="P261" i="17"/>
  <c r="U261" i="17" s="1"/>
  <c r="Q261" i="17"/>
  <c r="T261" i="17" s="1"/>
  <c r="S261" i="17"/>
  <c r="W261" i="17"/>
  <c r="Y261" i="17"/>
  <c r="Z261" i="17" s="1"/>
  <c r="AB261" i="17"/>
  <c r="AD261" i="17"/>
  <c r="AF261" i="17" s="1"/>
  <c r="AE261" i="17"/>
  <c r="AG261" i="17"/>
  <c r="AJ261" i="17"/>
  <c r="AL261" i="17" s="1"/>
  <c r="AN261" i="17"/>
  <c r="AM261" i="17" s="1"/>
  <c r="AP261" i="17"/>
  <c r="AT261" i="17" s="1"/>
  <c r="AQ261" i="17"/>
  <c r="AR261" i="17"/>
  <c r="AW261" i="17"/>
  <c r="AX261" i="17"/>
  <c r="AY261" i="17"/>
  <c r="AZ261" i="17"/>
  <c r="BA261" i="17"/>
  <c r="BF261" i="17" s="1"/>
  <c r="BB261" i="17"/>
  <c r="BG261" i="17"/>
  <c r="BH261" i="17"/>
  <c r="BI261" i="17"/>
  <c r="BJ261" i="17" s="1"/>
  <c r="BK261" i="17"/>
  <c r="BL261" i="17"/>
  <c r="BM261" i="17"/>
  <c r="BN261" i="17"/>
  <c r="BO261" i="17"/>
  <c r="BP261" i="17" s="1"/>
  <c r="BR261" i="17"/>
  <c r="BQ261" i="17" s="1"/>
  <c r="BT261" i="17"/>
  <c r="BS261" i="17" s="1"/>
  <c r="BU261" i="17"/>
  <c r="BV261" i="17" s="1"/>
  <c r="BW261" i="17"/>
  <c r="BY261" i="17"/>
  <c r="BZ261" i="17"/>
  <c r="CB261" i="17"/>
  <c r="CC261" i="17"/>
  <c r="CD261" i="17"/>
  <c r="CE261" i="17"/>
  <c r="CF261" i="17"/>
  <c r="CG261" i="17"/>
  <c r="CI261" i="17" s="1"/>
  <c r="CH261" i="17"/>
  <c r="CK261" i="17"/>
  <c r="A262" i="17"/>
  <c r="B262" i="17"/>
  <c r="C262" i="17"/>
  <c r="D262" i="17"/>
  <c r="E262" i="17"/>
  <c r="F262" i="17"/>
  <c r="G262" i="17"/>
  <c r="H262" i="17"/>
  <c r="I262" i="17"/>
  <c r="J262" i="17"/>
  <c r="L262" i="17"/>
  <c r="AC262" i="17" s="1"/>
  <c r="M262" i="17"/>
  <c r="O262" i="17" s="1"/>
  <c r="N262" i="17"/>
  <c r="P262" i="17"/>
  <c r="U262" i="17" s="1"/>
  <c r="Q262" i="17"/>
  <c r="V262" i="17" s="1"/>
  <c r="R262" i="17"/>
  <c r="S262" i="17"/>
  <c r="T262" i="17"/>
  <c r="W262" i="17"/>
  <c r="X262" i="17"/>
  <c r="Y262" i="17"/>
  <c r="AA262" i="17" s="1"/>
  <c r="Z262" i="17"/>
  <c r="AB262" i="17"/>
  <c r="AD262" i="17"/>
  <c r="AE262" i="17"/>
  <c r="AF262" i="17"/>
  <c r="AG262" i="17"/>
  <c r="AJ262" i="17"/>
  <c r="AK262" i="17"/>
  <c r="AL262" i="17"/>
  <c r="AN262" i="17"/>
  <c r="AM262" i="17" s="1"/>
  <c r="AP262" i="17"/>
  <c r="AT262" i="17" s="1"/>
  <c r="AQ262" i="17"/>
  <c r="AR262" i="17"/>
  <c r="AS262" i="17" s="1"/>
  <c r="AX262" i="17"/>
  <c r="AY262" i="17"/>
  <c r="AZ262" i="17"/>
  <c r="BA262" i="17"/>
  <c r="BF262" i="17" s="1"/>
  <c r="BB262" i="17"/>
  <c r="BC262" i="17"/>
  <c r="BD262" i="17"/>
  <c r="BG262" i="17"/>
  <c r="BH262" i="17"/>
  <c r="BI262" i="17"/>
  <c r="AU262" i="17" s="1"/>
  <c r="BJ262" i="17"/>
  <c r="BK262" i="17"/>
  <c r="BL262" i="17"/>
  <c r="BM262" i="17"/>
  <c r="BN262" i="17"/>
  <c r="BO262" i="17"/>
  <c r="BP262" i="17"/>
  <c r="BR262" i="17"/>
  <c r="BQ262" i="17" s="1"/>
  <c r="BT262" i="17"/>
  <c r="BS262" i="17" s="1"/>
  <c r="BU262" i="17"/>
  <c r="BV262" i="17"/>
  <c r="BW262" i="17"/>
  <c r="BY262" i="17"/>
  <c r="BZ262" i="17"/>
  <c r="CA262" i="17"/>
  <c r="CB262" i="17"/>
  <c r="CD262" i="17" s="1"/>
  <c r="CC262" i="17"/>
  <c r="CE262" i="17"/>
  <c r="CF262" i="17"/>
  <c r="CG262" i="17"/>
  <c r="CH262" i="17"/>
  <c r="CI262" i="17" s="1"/>
  <c r="CK262" i="17"/>
  <c r="A263" i="17"/>
  <c r="B263" i="17"/>
  <c r="C263" i="17"/>
  <c r="D263" i="17"/>
  <c r="E263" i="17"/>
  <c r="F263" i="17"/>
  <c r="G263" i="17"/>
  <c r="H263" i="17"/>
  <c r="I263" i="17"/>
  <c r="J263" i="17"/>
  <c r="L263" i="17"/>
  <c r="AC263" i="17" s="1"/>
  <c r="M263" i="17"/>
  <c r="N263" i="17"/>
  <c r="O263" i="17"/>
  <c r="P263" i="17"/>
  <c r="Q263" i="17"/>
  <c r="V263" i="17" s="1"/>
  <c r="S263" i="17"/>
  <c r="T263" i="17"/>
  <c r="U263" i="17"/>
  <c r="W263" i="17"/>
  <c r="X263" i="17"/>
  <c r="Y263" i="17"/>
  <c r="Z263" i="17"/>
  <c r="AA263" i="17"/>
  <c r="AB263" i="17"/>
  <c r="AD263" i="17"/>
  <c r="AE263" i="17"/>
  <c r="AF263" i="17"/>
  <c r="AG263" i="17"/>
  <c r="AH263" i="17" s="1"/>
  <c r="AJ263" i="17"/>
  <c r="AL263" i="17"/>
  <c r="AM263" i="17"/>
  <c r="AN263" i="17"/>
  <c r="AP263" i="17"/>
  <c r="AT263" i="17" s="1"/>
  <c r="AQ263" i="17"/>
  <c r="AR263" i="17"/>
  <c r="AS263" i="17"/>
  <c r="AX263" i="17"/>
  <c r="AY263" i="17"/>
  <c r="AZ263" i="17"/>
  <c r="BA263" i="17"/>
  <c r="BF263" i="17" s="1"/>
  <c r="BB263" i="17"/>
  <c r="BG263" i="17"/>
  <c r="BH263" i="17"/>
  <c r="BI263" i="17"/>
  <c r="AU263" i="17" s="1"/>
  <c r="BJ263" i="17"/>
  <c r="BK263" i="17"/>
  <c r="BL263" i="17"/>
  <c r="BM263" i="17"/>
  <c r="BN263" i="17"/>
  <c r="AV263" i="17" s="1"/>
  <c r="BO263" i="17"/>
  <c r="BP263" i="17"/>
  <c r="BQ263" i="17"/>
  <c r="BR263" i="17"/>
  <c r="BT263" i="17"/>
  <c r="BS263" i="17" s="1"/>
  <c r="BU263" i="17"/>
  <c r="BV263" i="17"/>
  <c r="BW263" i="17"/>
  <c r="BX263" i="17" s="1"/>
  <c r="BY263" i="17"/>
  <c r="BZ263" i="17"/>
  <c r="CB263" i="17"/>
  <c r="CD263" i="17" s="1"/>
  <c r="CC263" i="17"/>
  <c r="CE263" i="17"/>
  <c r="CF263" i="17"/>
  <c r="CG263" i="17"/>
  <c r="CH263" i="17"/>
  <c r="CI263" i="17"/>
  <c r="CK263" i="17"/>
  <c r="A264" i="17"/>
  <c r="B264" i="17"/>
  <c r="C264" i="17"/>
  <c r="D264" i="17"/>
  <c r="E264" i="17"/>
  <c r="F264" i="17"/>
  <c r="G264" i="17"/>
  <c r="H264" i="17"/>
  <c r="I264" i="17"/>
  <c r="J264" i="17"/>
  <c r="L264" i="17"/>
  <c r="M264" i="17"/>
  <c r="N264" i="17"/>
  <c r="O264" i="17"/>
  <c r="P264" i="17"/>
  <c r="S264" i="17" s="1"/>
  <c r="T264" i="17" s="1"/>
  <c r="Q264" i="17"/>
  <c r="R264" i="17"/>
  <c r="V264" i="17"/>
  <c r="W264" i="17"/>
  <c r="X264" i="17"/>
  <c r="Y264" i="17"/>
  <c r="Z264" i="17"/>
  <c r="AA264" i="17"/>
  <c r="AB264" i="17"/>
  <c r="AC264" i="17" s="1"/>
  <c r="AD264" i="17"/>
  <c r="AE264" i="17"/>
  <c r="AF264" i="17"/>
  <c r="AG264" i="17"/>
  <c r="AI264" i="17" s="1"/>
  <c r="AH264" i="17"/>
  <c r="AJ264" i="17"/>
  <c r="AK264" i="17"/>
  <c r="AL264" i="17"/>
  <c r="AN264" i="17"/>
  <c r="AO264" i="17" s="1"/>
  <c r="BE264" i="17" s="1"/>
  <c r="AP264" i="17"/>
  <c r="AQ264" i="17"/>
  <c r="AR264" i="17"/>
  <c r="AS264" i="17"/>
  <c r="AT264" i="17"/>
  <c r="AX264" i="17"/>
  <c r="AY264" i="17"/>
  <c r="AZ264" i="17"/>
  <c r="BA264" i="17"/>
  <c r="BB264" i="17"/>
  <c r="BF264" i="17"/>
  <c r="BG264" i="17"/>
  <c r="BH264" i="17"/>
  <c r="BI264" i="17"/>
  <c r="AU264" i="17" s="1"/>
  <c r="BJ264" i="17"/>
  <c r="BK264" i="17"/>
  <c r="BL264" i="17"/>
  <c r="BM264" i="17"/>
  <c r="BN264" i="17"/>
  <c r="AV264" i="17" s="1"/>
  <c r="BO264" i="17"/>
  <c r="BP264" i="17"/>
  <c r="BR264" i="17"/>
  <c r="BQ264" i="17" s="1"/>
  <c r="BT264" i="17"/>
  <c r="BS264" i="17" s="1"/>
  <c r="BU264" i="17"/>
  <c r="BV264" i="17" s="1"/>
  <c r="BW264" i="17"/>
  <c r="CA264" i="17" s="1"/>
  <c r="BX264" i="17"/>
  <c r="BY264" i="17"/>
  <c r="BZ264" i="17"/>
  <c r="CB264" i="17"/>
  <c r="CC264" i="17"/>
  <c r="CD264" i="17"/>
  <c r="CE264" i="17"/>
  <c r="CF264" i="17"/>
  <c r="CG264" i="17"/>
  <c r="CH264" i="17"/>
  <c r="CI264" i="17"/>
  <c r="CJ264" i="17"/>
  <c r="CK264" i="17"/>
  <c r="A265" i="17"/>
  <c r="B265" i="17"/>
  <c r="C265" i="17"/>
  <c r="D265" i="17"/>
  <c r="E265" i="17"/>
  <c r="F265" i="17"/>
  <c r="G265" i="17"/>
  <c r="H265" i="17"/>
  <c r="I265" i="17"/>
  <c r="J265" i="17"/>
  <c r="K265" i="17"/>
  <c r="L265" i="17"/>
  <c r="M265" i="17"/>
  <c r="N265" i="17"/>
  <c r="O265" i="17"/>
  <c r="P265" i="17"/>
  <c r="S265" i="17" s="1"/>
  <c r="Q265" i="17"/>
  <c r="R265" i="17" s="1"/>
  <c r="AK265" i="17" s="1"/>
  <c r="W265" i="17"/>
  <c r="X265" i="17" s="1"/>
  <c r="Y265" i="17"/>
  <c r="Z265" i="17"/>
  <c r="AB265" i="17"/>
  <c r="AC265" i="17"/>
  <c r="AD265" i="17"/>
  <c r="AE265" i="17"/>
  <c r="AF265" i="17"/>
  <c r="AG265" i="17"/>
  <c r="AW265" i="17" s="1"/>
  <c r="AH265" i="17"/>
  <c r="AI265" i="17"/>
  <c r="AJ265" i="17"/>
  <c r="AL265" i="17"/>
  <c r="AN265" i="17"/>
  <c r="AM265" i="17" s="1"/>
  <c r="AO265" i="17"/>
  <c r="AP265" i="17"/>
  <c r="AQ265" i="17"/>
  <c r="AR265" i="17"/>
  <c r="AS265" i="17"/>
  <c r="AT265" i="17"/>
  <c r="AU265" i="17"/>
  <c r="AX265" i="17"/>
  <c r="AY265" i="17"/>
  <c r="AZ265" i="17"/>
  <c r="BA265" i="17"/>
  <c r="BF265" i="17" s="1"/>
  <c r="BG265" i="17"/>
  <c r="BH265" i="17" s="1"/>
  <c r="BI265" i="17"/>
  <c r="BJ265" i="17"/>
  <c r="BK265" i="17"/>
  <c r="BL265" i="17"/>
  <c r="BM265" i="17"/>
  <c r="BN265" i="17" s="1"/>
  <c r="AV265" i="17" s="1"/>
  <c r="BO265" i="17"/>
  <c r="BP265" i="17"/>
  <c r="BR265" i="17"/>
  <c r="BQ265" i="17" s="1"/>
  <c r="BS265" i="17"/>
  <c r="BT265" i="17"/>
  <c r="BU265" i="17"/>
  <c r="BV265" i="17"/>
  <c r="BW265" i="17"/>
  <c r="CA265" i="17" s="1"/>
  <c r="BX265" i="17"/>
  <c r="BY265" i="17"/>
  <c r="BZ265" i="17" s="1"/>
  <c r="CB265" i="17"/>
  <c r="CC265" i="17"/>
  <c r="CD265" i="17"/>
  <c r="CE265" i="17"/>
  <c r="CF265" i="17"/>
  <c r="CG265" i="17"/>
  <c r="CH265" i="17"/>
  <c r="CI265" i="17"/>
  <c r="CK265" i="17"/>
  <c r="A266" i="17"/>
  <c r="B266" i="17"/>
  <c r="C266" i="17"/>
  <c r="D266" i="17"/>
  <c r="E266" i="17"/>
  <c r="F266" i="17"/>
  <c r="G266" i="17"/>
  <c r="H266" i="17"/>
  <c r="I266" i="17"/>
  <c r="J266" i="17"/>
  <c r="L266" i="17"/>
  <c r="BJ266" i="17" s="1"/>
  <c r="M266" i="17"/>
  <c r="N266" i="17"/>
  <c r="P266" i="17"/>
  <c r="S266" i="17" s="1"/>
  <c r="Q266" i="17"/>
  <c r="R266" i="17"/>
  <c r="W266" i="17"/>
  <c r="AA266" i="17" s="1"/>
  <c r="X266" i="17"/>
  <c r="Y266" i="17"/>
  <c r="AB266" i="17"/>
  <c r="AD266" i="17"/>
  <c r="AE266" i="17" s="1"/>
  <c r="AG266" i="17"/>
  <c r="AW266" i="17" s="1"/>
  <c r="AJ266" i="17"/>
  <c r="AK266" i="17" s="1"/>
  <c r="AN266" i="17"/>
  <c r="AM266" i="17" s="1"/>
  <c r="AP266" i="17"/>
  <c r="AQ266" i="17" s="1"/>
  <c r="AR266" i="17"/>
  <c r="AU266" i="17"/>
  <c r="AX266" i="17"/>
  <c r="AY266" i="17"/>
  <c r="AZ266" i="17"/>
  <c r="BA266" i="17"/>
  <c r="BC266" i="17" s="1"/>
  <c r="BD266" i="17" s="1"/>
  <c r="BB266" i="17"/>
  <c r="BG266" i="17"/>
  <c r="BH266" i="17"/>
  <c r="BI266" i="17"/>
  <c r="BK266" i="17"/>
  <c r="BL266" i="17"/>
  <c r="BM266" i="17"/>
  <c r="BN266" i="17"/>
  <c r="BO266" i="17"/>
  <c r="BR266" i="17"/>
  <c r="BQ266" i="17" s="1"/>
  <c r="BT266" i="17"/>
  <c r="BS266" i="17" s="1"/>
  <c r="BU266" i="17"/>
  <c r="BW266" i="17"/>
  <c r="CA266" i="17" s="1"/>
  <c r="BY266" i="17"/>
  <c r="BZ266" i="17"/>
  <c r="CB266" i="17"/>
  <c r="CC266" i="17"/>
  <c r="CD266" i="17"/>
  <c r="CE266" i="17"/>
  <c r="CF266" i="17"/>
  <c r="CG266" i="17"/>
  <c r="CH266" i="17"/>
  <c r="CI266" i="17"/>
  <c r="CK266" i="17"/>
  <c r="AV262" i="17" l="1"/>
  <c r="T266" i="17"/>
  <c r="BE254" i="17"/>
  <c r="AV247" i="17"/>
  <c r="AV244" i="17"/>
  <c r="BE261" i="17"/>
  <c r="BE266" i="17"/>
  <c r="AK238" i="17"/>
  <c r="BE237" i="17"/>
  <c r="CA261" i="17"/>
  <c r="CJ258" i="17"/>
  <c r="V258" i="17"/>
  <c r="CJ252" i="17"/>
  <c r="AO266" i="17"/>
  <c r="AI266" i="17"/>
  <c r="AC266" i="17"/>
  <c r="U264" i="17"/>
  <c r="AI260" i="17"/>
  <c r="CJ259" i="17"/>
  <c r="U258" i="17"/>
  <c r="AO254" i="17"/>
  <c r="AI254" i="17"/>
  <c r="AC254" i="17"/>
  <c r="AM252" i="17"/>
  <c r="CA250" i="17"/>
  <c r="CJ266" i="17"/>
  <c r="BX266" i="17"/>
  <c r="BF266" i="17"/>
  <c r="AT266" i="17"/>
  <c r="AH266" i="17"/>
  <c r="V266" i="17"/>
  <c r="AA265" i="17"/>
  <c r="U265" i="17"/>
  <c r="CA263" i="17"/>
  <c r="BC263" i="17"/>
  <c r="BD263" i="17" s="1"/>
  <c r="AW263" i="17"/>
  <c r="AU261" i="17"/>
  <c r="AO261" i="17"/>
  <c r="AI261" i="17"/>
  <c r="AC261" i="17"/>
  <c r="K261" i="17"/>
  <c r="CJ260" i="17"/>
  <c r="BX260" i="17"/>
  <c r="BF260" i="17"/>
  <c r="AT260" i="17"/>
  <c r="AH260" i="17"/>
  <c r="V260" i="17"/>
  <c r="AA259" i="17"/>
  <c r="U259" i="17"/>
  <c r="BJ258" i="17"/>
  <c r="CA257" i="17"/>
  <c r="BC257" i="17"/>
  <c r="BD257" i="17" s="1"/>
  <c r="AW257" i="17"/>
  <c r="AQ257" i="17"/>
  <c r="BB256" i="17"/>
  <c r="BE256" i="17" s="1"/>
  <c r="R256" i="17"/>
  <c r="AK256" i="17" s="1"/>
  <c r="AU255" i="17"/>
  <c r="AO255" i="17"/>
  <c r="BE255" i="17" s="1"/>
  <c r="AI255" i="17"/>
  <c r="K255" i="17"/>
  <c r="CJ254" i="17"/>
  <c r="BX254" i="17"/>
  <c r="BF254" i="17"/>
  <c r="AT254" i="17"/>
  <c r="AH254" i="17"/>
  <c r="V254" i="17"/>
  <c r="AA253" i="17"/>
  <c r="U253" i="17"/>
  <c r="BJ252" i="17"/>
  <c r="CA251" i="17"/>
  <c r="BC251" i="17"/>
  <c r="BD251" i="17" s="1"/>
  <c r="AW251" i="17"/>
  <c r="AQ251" i="17"/>
  <c r="BB250" i="17"/>
  <c r="BE250" i="17" s="1"/>
  <c r="R250" i="17"/>
  <c r="AK250" i="17" s="1"/>
  <c r="AU249" i="17"/>
  <c r="AO249" i="17"/>
  <c r="BE249" i="17" s="1"/>
  <c r="AI249" i="17"/>
  <c r="K249" i="17"/>
  <c r="CJ248" i="17"/>
  <c r="BX248" i="17"/>
  <c r="BF248" i="17"/>
  <c r="AT248" i="17"/>
  <c r="AH248" i="17"/>
  <c r="V248" i="17"/>
  <c r="AM247" i="17"/>
  <c r="AA247" i="17"/>
  <c r="U247" i="17"/>
  <c r="BJ246" i="17"/>
  <c r="CA245" i="17"/>
  <c r="BC245" i="17"/>
  <c r="BD245" i="17" s="1"/>
  <c r="AW245" i="17"/>
  <c r="AQ245" i="17"/>
  <c r="BB244" i="17"/>
  <c r="BE244" i="17" s="1"/>
  <c r="R244" i="17"/>
  <c r="AK244" i="17" s="1"/>
  <c r="AU243" i="17"/>
  <c r="AO243" i="17"/>
  <c r="BE243" i="17" s="1"/>
  <c r="AI243" i="17"/>
  <c r="K243" i="17"/>
  <c r="CJ242" i="17"/>
  <c r="BX242" i="17"/>
  <c r="BF242" i="17"/>
  <c r="AK242" i="17"/>
  <c r="S242" i="17"/>
  <c r="U241" i="17"/>
  <c r="CA240" i="17"/>
  <c r="AI240" i="17"/>
  <c r="BX239" i="17"/>
  <c r="BQ239" i="17"/>
  <c r="K239" i="17"/>
  <c r="CJ238" i="17"/>
  <c r="BJ238" i="17"/>
  <c r="BC238" i="17"/>
  <c r="BD238" i="17" s="1"/>
  <c r="AW238" i="17"/>
  <c r="AI238" i="17"/>
  <c r="V238" i="17"/>
  <c r="N238" i="17"/>
  <c r="CA237" i="17"/>
  <c r="BF237" i="17"/>
  <c r="AS237" i="17"/>
  <c r="AV237" i="17" s="1"/>
  <c r="AM237" i="17"/>
  <c r="AE237" i="17"/>
  <c r="T237" i="17"/>
  <c r="AO236" i="17"/>
  <c r="BE236" i="17" s="1"/>
  <c r="AA236" i="17"/>
  <c r="U236" i="17"/>
  <c r="CA235" i="17"/>
  <c r="AV235" i="17"/>
  <c r="BF235" i="17"/>
  <c r="S235" i="17"/>
  <c r="T235" i="17" s="1"/>
  <c r="CD233" i="17"/>
  <c r="BB233" i="17"/>
  <c r="BE233" i="17" s="1"/>
  <c r="AI233" i="17"/>
  <c r="U233" i="17"/>
  <c r="AU232" i="17"/>
  <c r="Z232" i="17"/>
  <c r="BC231" i="17"/>
  <c r="BD231" i="17" s="1"/>
  <c r="AW231" i="17"/>
  <c r="AQ231" i="17"/>
  <c r="AL231" i="17"/>
  <c r="V231" i="17"/>
  <c r="O231" i="17"/>
  <c r="BX230" i="17"/>
  <c r="CA230" i="17"/>
  <c r="BQ230" i="17"/>
  <c r="K230" i="17"/>
  <c r="CJ229" i="17"/>
  <c r="BV229" i="17"/>
  <c r="V229" i="17"/>
  <c r="AF228" i="17"/>
  <c r="O228" i="17"/>
  <c r="AF227" i="17"/>
  <c r="X227" i="17"/>
  <c r="AO226" i="17"/>
  <c r="AH225" i="17"/>
  <c r="AI225" i="17"/>
  <c r="AW225" i="17"/>
  <c r="AT224" i="17"/>
  <c r="R221" i="17"/>
  <c r="S221" i="17"/>
  <c r="T221" i="17"/>
  <c r="U221" i="17"/>
  <c r="V221" i="17"/>
  <c r="Z217" i="17"/>
  <c r="AA217" i="17"/>
  <c r="AO214" i="17"/>
  <c r="AM214" i="17"/>
  <c r="AS212" i="17"/>
  <c r="AU212" i="17"/>
  <c r="AK210" i="17"/>
  <c r="AL210" i="17"/>
  <c r="AV209" i="17"/>
  <c r="BB209" i="17"/>
  <c r="BE209" i="17" s="1"/>
  <c r="BC209" i="17"/>
  <c r="BD209" i="17" s="1"/>
  <c r="BF209" i="17"/>
  <c r="N205" i="17"/>
  <c r="O205" i="17"/>
  <c r="BV204" i="17"/>
  <c r="BB204" i="17"/>
  <c r="AC204" i="17"/>
  <c r="AS200" i="17"/>
  <c r="CJ199" i="17"/>
  <c r="AT200" i="17"/>
  <c r="CJ207" i="17"/>
  <c r="CJ213" i="17"/>
  <c r="CJ219" i="17"/>
  <c r="CJ225" i="17"/>
  <c r="AU200" i="17"/>
  <c r="CJ200" i="17"/>
  <c r="CJ206" i="17"/>
  <c r="CJ212" i="17"/>
  <c r="CJ218" i="17"/>
  <c r="CJ224" i="17"/>
  <c r="CJ230" i="17"/>
  <c r="CJ202" i="17"/>
  <c r="CJ205" i="17"/>
  <c r="CJ211" i="17"/>
  <c r="CJ217" i="17"/>
  <c r="CJ223" i="17"/>
  <c r="CJ204" i="17"/>
  <c r="CJ210" i="17"/>
  <c r="CJ216" i="17"/>
  <c r="CJ222" i="17"/>
  <c r="CJ209" i="17"/>
  <c r="CJ215" i="17"/>
  <c r="CJ221" i="17"/>
  <c r="CJ227" i="17"/>
  <c r="CJ233" i="17"/>
  <c r="CJ239" i="17"/>
  <c r="AQ198" i="17"/>
  <c r="AT198" i="17"/>
  <c r="AL198" i="17"/>
  <c r="AI196" i="17"/>
  <c r="AQ196" i="17"/>
  <c r="AT196" i="17"/>
  <c r="K195" i="17"/>
  <c r="CJ194" i="17"/>
  <c r="CA192" i="17"/>
  <c r="BX192" i="17"/>
  <c r="AC192" i="17"/>
  <c r="AO192" i="17"/>
  <c r="BE192" i="17" s="1"/>
  <c r="BD192" i="17"/>
  <c r="BQ192" i="17"/>
  <c r="K200" i="17"/>
  <c r="K208" i="17"/>
  <c r="K214" i="17"/>
  <c r="K220" i="17"/>
  <c r="AM192" i="17"/>
  <c r="BZ192" i="17"/>
  <c r="K201" i="17"/>
  <c r="K207" i="17"/>
  <c r="K213" i="17"/>
  <c r="K219" i="17"/>
  <c r="K225" i="17"/>
  <c r="O192" i="17"/>
  <c r="K203" i="17"/>
  <c r="K206" i="17"/>
  <c r="K212" i="17"/>
  <c r="K218" i="17"/>
  <c r="K224" i="17"/>
  <c r="X192" i="17"/>
  <c r="BH192" i="17"/>
  <c r="BN192" i="17"/>
  <c r="AV192" i="17" s="1"/>
  <c r="K205" i="17"/>
  <c r="K211" i="17"/>
  <c r="K217" i="17"/>
  <c r="K223" i="17"/>
  <c r="BV192" i="17"/>
  <c r="K204" i="17"/>
  <c r="K210" i="17"/>
  <c r="K216" i="17"/>
  <c r="K222" i="17"/>
  <c r="K228" i="17"/>
  <c r="K234" i="17"/>
  <c r="K240" i="17"/>
  <c r="K189" i="17"/>
  <c r="K266" i="17"/>
  <c r="V265" i="17"/>
  <c r="AM264" i="17"/>
  <c r="AO260" i="17"/>
  <c r="BE260" i="17" s="1"/>
  <c r="AC260" i="17"/>
  <c r="BF259" i="17"/>
  <c r="V259" i="17"/>
  <c r="AW256" i="17"/>
  <c r="CJ253" i="17"/>
  <c r="V253" i="17"/>
  <c r="AS266" i="17"/>
  <c r="AV266" i="17" s="1"/>
  <c r="U266" i="17"/>
  <c r="O266" i="17"/>
  <c r="T265" i="17"/>
  <c r="K262" i="17"/>
  <c r="AH261" i="17"/>
  <c r="BQ260" i="17"/>
  <c r="AS260" i="17"/>
  <c r="AV260" i="17" s="1"/>
  <c r="U260" i="17"/>
  <c r="AW258" i="17"/>
  <c r="R257" i="17"/>
  <c r="AK257" i="17" s="1"/>
  <c r="AU256" i="17"/>
  <c r="CJ255" i="17"/>
  <c r="BX255" i="17"/>
  <c r="AH255" i="17"/>
  <c r="T253" i="17"/>
  <c r="BC252" i="17"/>
  <c r="BD252" i="17" s="1"/>
  <c r="AW252" i="17"/>
  <c r="S252" i="17"/>
  <c r="T252" i="17" s="1"/>
  <c r="AU250" i="17"/>
  <c r="K250" i="17"/>
  <c r="CJ249" i="17"/>
  <c r="BX249" i="17"/>
  <c r="AT249" i="17"/>
  <c r="AH249" i="17"/>
  <c r="BQ248" i="17"/>
  <c r="AS248" i="17"/>
  <c r="AV248" i="17" s="1"/>
  <c r="AM248" i="17"/>
  <c r="AA248" i="17"/>
  <c r="U248" i="17"/>
  <c r="O248" i="17"/>
  <c r="T247" i="17"/>
  <c r="CA246" i="17"/>
  <c r="BC246" i="17"/>
  <c r="BD246" i="17" s="1"/>
  <c r="AW246" i="17"/>
  <c r="AU244" i="17"/>
  <c r="K244" i="17"/>
  <c r="CJ243" i="17"/>
  <c r="BX243" i="17"/>
  <c r="AT243" i="17"/>
  <c r="AH243" i="17"/>
  <c r="BQ242" i="17"/>
  <c r="AQ242" i="17"/>
  <c r="AI242" i="17"/>
  <c r="V242" i="17"/>
  <c r="O242" i="17"/>
  <c r="AA241" i="17"/>
  <c r="AT240" i="17"/>
  <c r="AF240" i="17"/>
  <c r="BV239" i="17"/>
  <c r="BP239" i="17"/>
  <c r="BJ239" i="17"/>
  <c r="AW239" i="17"/>
  <c r="AT239" i="17"/>
  <c r="AC239" i="17"/>
  <c r="T238" i="17"/>
  <c r="BZ237" i="17"/>
  <c r="BS237" i="17"/>
  <c r="AU236" i="17"/>
  <c r="AW236" i="17"/>
  <c r="K235" i="17"/>
  <c r="CJ234" i="17"/>
  <c r="CA233" i="17"/>
  <c r="AA233" i="17"/>
  <c r="AT232" i="17"/>
  <c r="AL232" i="17"/>
  <c r="AF232" i="17"/>
  <c r="K232" i="17"/>
  <c r="CJ231" i="17"/>
  <c r="AI231" i="17"/>
  <c r="U231" i="17"/>
  <c r="BV230" i="17"/>
  <c r="BP230" i="17"/>
  <c r="BJ230" i="17"/>
  <c r="BB230" i="17"/>
  <c r="BE230" i="17" s="1"/>
  <c r="AM230" i="17"/>
  <c r="AE230" i="17"/>
  <c r="X230" i="17"/>
  <c r="AV229" i="17"/>
  <c r="BF229" i="17"/>
  <c r="BJ228" i="17"/>
  <c r="AU228" i="17"/>
  <c r="K226" i="17"/>
  <c r="AV223" i="17"/>
  <c r="AE222" i="17"/>
  <c r="AF222" i="17"/>
  <c r="AM222" i="17"/>
  <c r="AS222" i="17"/>
  <c r="AV222" i="17" s="1"/>
  <c r="BQ222" i="17"/>
  <c r="BB221" i="17"/>
  <c r="BE221" i="17" s="1"/>
  <c r="BC221" i="17"/>
  <c r="BD221" i="17" s="1"/>
  <c r="BF221" i="17"/>
  <c r="AK216" i="17"/>
  <c r="AL216" i="17"/>
  <c r="AV215" i="17"/>
  <c r="BB215" i="17"/>
  <c r="BE215" i="17" s="1"/>
  <c r="BC215" i="17"/>
  <c r="BD215" i="17" s="1"/>
  <c r="BF215" i="17"/>
  <c r="BX213" i="17"/>
  <c r="CA213" i="17"/>
  <c r="AV212" i="17"/>
  <c r="AT212" i="17"/>
  <c r="AW210" i="17"/>
  <c r="X209" i="17"/>
  <c r="AA209" i="17"/>
  <c r="K209" i="17"/>
  <c r="CJ208" i="17"/>
  <c r="CA205" i="17"/>
  <c r="BJ205" i="17"/>
  <c r="AU205" i="17"/>
  <c r="Z205" i="17"/>
  <c r="AA205" i="17"/>
  <c r="BS204" i="17"/>
  <c r="AQ204" i="17"/>
  <c r="AT204" i="17"/>
  <c r="Z204" i="17"/>
  <c r="R204" i="17"/>
  <c r="BN196" i="17"/>
  <c r="BX196" i="17"/>
  <c r="X196" i="17"/>
  <c r="AH196" i="17"/>
  <c r="BH196" i="17"/>
  <c r="BZ196" i="17"/>
  <c r="R196" i="17"/>
  <c r="AK196" i="17" s="1"/>
  <c r="BB196" i="17"/>
  <c r="R192" i="17"/>
  <c r="AU190" i="17"/>
  <c r="BJ190" i="17"/>
  <c r="BC190" i="17"/>
  <c r="BD190" i="17" s="1"/>
  <c r="N190" i="17"/>
  <c r="O190" i="17"/>
  <c r="AA189" i="17"/>
  <c r="X189" i="17"/>
  <c r="BC261" i="17"/>
  <c r="BD261" i="17" s="1"/>
  <c r="BC255" i="17"/>
  <c r="BD255" i="17" s="1"/>
  <c r="BC264" i="17"/>
  <c r="BD264" i="17" s="1"/>
  <c r="AW264" i="17"/>
  <c r="R263" i="17"/>
  <c r="AK263" i="17" s="1"/>
  <c r="AI262" i="17"/>
  <c r="CJ261" i="17"/>
  <c r="BX261" i="17"/>
  <c r="O260" i="17"/>
  <c r="T259" i="17"/>
  <c r="K256" i="17"/>
  <c r="V255" i="17"/>
  <c r="AS254" i="17"/>
  <c r="AV254" i="17" s="1"/>
  <c r="O254" i="17"/>
  <c r="BP266" i="17"/>
  <c r="AF266" i="17"/>
  <c r="Z266" i="17"/>
  <c r="BC265" i="17"/>
  <c r="BD265" i="17" s="1"/>
  <c r="AO263" i="17"/>
  <c r="BE263" i="17" s="1"/>
  <c r="AI263" i="17"/>
  <c r="K263" i="17"/>
  <c r="CJ262" i="17"/>
  <c r="BX262" i="17"/>
  <c r="AH262" i="17"/>
  <c r="AS261" i="17"/>
  <c r="AV261" i="17" s="1"/>
  <c r="AA261" i="17"/>
  <c r="O261" i="17"/>
  <c r="BV260" i="17"/>
  <c r="BP260" i="17"/>
  <c r="BJ260" i="17"/>
  <c r="AL260" i="17"/>
  <c r="AF260" i="17"/>
  <c r="Z260" i="17"/>
  <c r="BC259" i="17"/>
  <c r="BD259" i="17" s="1"/>
  <c r="AO257" i="17"/>
  <c r="BE257" i="17" s="1"/>
  <c r="AI257" i="17"/>
  <c r="K257" i="17"/>
  <c r="CJ256" i="17"/>
  <c r="BX256" i="17"/>
  <c r="AA255" i="17"/>
  <c r="O255" i="17"/>
  <c r="BV254" i="17"/>
  <c r="BP254" i="17"/>
  <c r="BJ254" i="17"/>
  <c r="AL254" i="17"/>
  <c r="AF254" i="17"/>
  <c r="Z254" i="17"/>
  <c r="T254" i="17"/>
  <c r="BC253" i="17"/>
  <c r="BD253" i="17" s="1"/>
  <c r="AO251" i="17"/>
  <c r="BE251" i="17" s="1"/>
  <c r="AI251" i="17"/>
  <c r="K251" i="17"/>
  <c r="CJ250" i="17"/>
  <c r="BX250" i="17"/>
  <c r="AS249" i="17"/>
  <c r="AV249" i="17" s="1"/>
  <c r="AA249" i="17"/>
  <c r="O249" i="17"/>
  <c r="BV248" i="17"/>
  <c r="BP248" i="17"/>
  <c r="BJ248" i="17"/>
  <c r="AL248" i="17"/>
  <c r="AF248" i="17"/>
  <c r="Z248" i="17"/>
  <c r="T248" i="17"/>
  <c r="BC247" i="17"/>
  <c r="BD247" i="17" s="1"/>
  <c r="AO245" i="17"/>
  <c r="BE245" i="17" s="1"/>
  <c r="AI245" i="17"/>
  <c r="K245" i="17"/>
  <c r="CJ244" i="17"/>
  <c r="BX244" i="17"/>
  <c r="AS243" i="17"/>
  <c r="AV243" i="17" s="1"/>
  <c r="AA243" i="17"/>
  <c r="O243" i="17"/>
  <c r="BV242" i="17"/>
  <c r="BP242" i="17"/>
  <c r="BJ242" i="17"/>
  <c r="AO242" i="17"/>
  <c r="AH242" i="17"/>
  <c r="U242" i="17"/>
  <c r="CA241" i="17"/>
  <c r="AV241" i="17"/>
  <c r="BF241" i="17"/>
  <c r="AL240" i="17"/>
  <c r="CD239" i="17"/>
  <c r="BB239" i="17"/>
  <c r="AO239" i="17"/>
  <c r="AI239" i="17"/>
  <c r="U239" i="17"/>
  <c r="O239" i="17"/>
  <c r="S238" i="17"/>
  <c r="BC237" i="17"/>
  <c r="BD237" i="17" s="1"/>
  <c r="AW237" i="17"/>
  <c r="AQ237" i="17"/>
  <c r="AC237" i="17"/>
  <c r="V237" i="17"/>
  <c r="O237" i="17"/>
  <c r="AT236" i="17"/>
  <c r="AF236" i="17"/>
  <c r="AW235" i="17"/>
  <c r="BP234" i="17"/>
  <c r="BJ234" i="17"/>
  <c r="AC234" i="17"/>
  <c r="AF233" i="17"/>
  <c r="S233" i="17"/>
  <c r="T233" i="17" s="1"/>
  <c r="AS232" i="17"/>
  <c r="AV232" i="17" s="1"/>
  <c r="AE232" i="17"/>
  <c r="X232" i="17"/>
  <c r="AU231" i="17"/>
  <c r="AA231" i="17"/>
  <c r="BF230" i="17"/>
  <c r="BC230" i="17"/>
  <c r="BD230" i="17" s="1"/>
  <c r="AS230" i="17"/>
  <c r="AV230" i="17" s="1"/>
  <c r="AC230" i="17"/>
  <c r="O230" i="17"/>
  <c r="AW229" i="17"/>
  <c r="S229" i="17"/>
  <c r="T229" i="17" s="1"/>
  <c r="K229" i="17"/>
  <c r="CJ228" i="17"/>
  <c r="AL227" i="17"/>
  <c r="O227" i="17"/>
  <c r="AM227" i="17"/>
  <c r="BQ227" i="17"/>
  <c r="BB226" i="17"/>
  <c r="BE226" i="17" s="1"/>
  <c r="BC226" i="17"/>
  <c r="BD226" i="17" s="1"/>
  <c r="BV222" i="17"/>
  <c r="BB222" i="17"/>
  <c r="BE222" i="17" s="1"/>
  <c r="AC222" i="17"/>
  <c r="AV221" i="17"/>
  <c r="AO220" i="17"/>
  <c r="AM220" i="17"/>
  <c r="AS218" i="17"/>
  <c r="AU218" i="17"/>
  <c r="AW216" i="17"/>
  <c r="S214" i="17"/>
  <c r="T214" i="17" s="1"/>
  <c r="U214" i="17"/>
  <c r="AH213" i="17"/>
  <c r="AI213" i="17"/>
  <c r="AW213" i="17"/>
  <c r="T211" i="17"/>
  <c r="AE210" i="17"/>
  <c r="AF210" i="17"/>
  <c r="R209" i="17"/>
  <c r="S209" i="17"/>
  <c r="T209" i="17"/>
  <c r="U209" i="17"/>
  <c r="V209" i="17"/>
  <c r="BQ204" i="17"/>
  <c r="BD204" i="17"/>
  <c r="AO204" i="17"/>
  <c r="X204" i="17"/>
  <c r="BB200" i="17"/>
  <c r="BE200" i="17" s="1"/>
  <c r="BC200" i="17"/>
  <c r="BD200" i="17" s="1"/>
  <c r="BF200" i="17"/>
  <c r="AO199" i="17"/>
  <c r="BE199" i="17" s="1"/>
  <c r="AM199" i="17"/>
  <c r="S193" i="17"/>
  <c r="U193" i="17"/>
  <c r="V193" i="17"/>
  <c r="Z192" i="17"/>
  <c r="K259" i="17"/>
  <c r="CJ265" i="17"/>
  <c r="AW262" i="17"/>
  <c r="AO262" i="17"/>
  <c r="BE262" i="17" s="1"/>
  <c r="V261" i="17"/>
  <c r="AM260" i="17"/>
  <c r="BQ254" i="17"/>
  <c r="AM254" i="17"/>
  <c r="BV266" i="17"/>
  <c r="AL266" i="17"/>
  <c r="BB265" i="17"/>
  <c r="BE265" i="17" s="1"/>
  <c r="K264" i="17"/>
  <c r="CJ263" i="17"/>
  <c r="AO258" i="17"/>
  <c r="BE258" i="17" s="1"/>
  <c r="CJ257" i="17"/>
  <c r="BB253" i="17"/>
  <c r="BE253" i="17" s="1"/>
  <c r="K252" i="17"/>
  <c r="CJ251" i="17"/>
  <c r="AA250" i="17"/>
  <c r="O250" i="17"/>
  <c r="BJ249" i="17"/>
  <c r="AL249" i="17"/>
  <c r="AF249" i="17"/>
  <c r="BC248" i="17"/>
  <c r="BD248" i="17" s="1"/>
  <c r="AI246" i="17"/>
  <c r="K246" i="17"/>
  <c r="CJ245" i="17"/>
  <c r="AA244" i="17"/>
  <c r="O244" i="17"/>
  <c r="BJ243" i="17"/>
  <c r="AL243" i="17"/>
  <c r="AF243" i="17"/>
  <c r="BB242" i="17"/>
  <c r="AW242" i="17"/>
  <c r="T242" i="17"/>
  <c r="K241" i="17"/>
  <c r="CJ240" i="17"/>
  <c r="CA239" i="17"/>
  <c r="AH239" i="17"/>
  <c r="AA239" i="17"/>
  <c r="T239" i="17"/>
  <c r="AL238" i="17"/>
  <c r="AF238" i="17"/>
  <c r="AA238" i="17"/>
  <c r="K238" i="17"/>
  <c r="CJ237" i="17"/>
  <c r="BJ237" i="17"/>
  <c r="AI237" i="17"/>
  <c r="AL236" i="17"/>
  <c r="AE236" i="17"/>
  <c r="K236" i="17"/>
  <c r="CJ235" i="17"/>
  <c r="BJ235" i="17"/>
  <c r="BC235" i="17"/>
  <c r="BD235" i="17" s="1"/>
  <c r="AI235" i="17"/>
  <c r="V235" i="17"/>
  <c r="O235" i="17"/>
  <c r="AU234" i="17"/>
  <c r="BC234" i="17"/>
  <c r="BD234" i="17" s="1"/>
  <c r="AW234" i="17"/>
  <c r="AH234" i="17"/>
  <c r="AA234" i="17"/>
  <c r="O234" i="17"/>
  <c r="AL233" i="17"/>
  <c r="R233" i="17"/>
  <c r="AK233" i="17" s="1"/>
  <c r="BQ232" i="17"/>
  <c r="AQ232" i="17"/>
  <c r="U232" i="17"/>
  <c r="BV231" i="17"/>
  <c r="Z231" i="17"/>
  <c r="K231" i="17"/>
  <c r="CD230" i="17"/>
  <c r="AK230" i="17"/>
  <c r="U230" i="17"/>
  <c r="BC229" i="17"/>
  <c r="BD229" i="17" s="1"/>
  <c r="AU229" i="17"/>
  <c r="BN228" i="17"/>
  <c r="AV228" i="17" s="1"/>
  <c r="AL228" i="17"/>
  <c r="Z228" i="17"/>
  <c r="AU227" i="17"/>
  <c r="AK227" i="17"/>
  <c r="K227" i="17"/>
  <c r="CJ226" i="17"/>
  <c r="R226" i="17"/>
  <c r="AK226" i="17" s="1"/>
  <c r="T226" i="17"/>
  <c r="N223" i="17"/>
  <c r="O223" i="17"/>
  <c r="BS222" i="17"/>
  <c r="AQ222" i="17"/>
  <c r="AT222" i="17"/>
  <c r="Z222" i="17"/>
  <c r="R222" i="17"/>
  <c r="BX219" i="17"/>
  <c r="CA219" i="17"/>
  <c r="AV219" i="17"/>
  <c r="AV218" i="17"/>
  <c r="AT218" i="17"/>
  <c r="T217" i="17"/>
  <c r="AE216" i="17"/>
  <c r="AF216" i="17"/>
  <c r="O216" i="17"/>
  <c r="AM216" i="17"/>
  <c r="AS216" i="17"/>
  <c r="AV216" i="17" s="1"/>
  <c r="X215" i="17"/>
  <c r="AA215" i="17"/>
  <c r="BE214" i="17"/>
  <c r="CI211" i="17"/>
  <c r="BE210" i="17"/>
  <c r="O210" i="17"/>
  <c r="AM210" i="17"/>
  <c r="AS210" i="17"/>
  <c r="AV210" i="17" s="1"/>
  <c r="BQ210" i="17"/>
  <c r="AO208" i="17"/>
  <c r="BE208" i="17" s="1"/>
  <c r="AM208" i="17"/>
  <c r="AS206" i="17"/>
  <c r="AV206" i="17" s="1"/>
  <c r="AU206" i="17"/>
  <c r="BC205" i="17"/>
  <c r="BD205" i="17" s="1"/>
  <c r="BZ204" i="17"/>
  <c r="BP204" i="17"/>
  <c r="BH204" i="17"/>
  <c r="AK204" i="17"/>
  <c r="AW204" i="17"/>
  <c r="AL204" i="17"/>
  <c r="AV203" i="17"/>
  <c r="BB203" i="17"/>
  <c r="BE203" i="17" s="1"/>
  <c r="BC203" i="17"/>
  <c r="BD203" i="17" s="1"/>
  <c r="BF203" i="17"/>
  <c r="AH203" i="17"/>
  <c r="AI203" i="17"/>
  <c r="AW203" i="17"/>
  <c r="AA202" i="17"/>
  <c r="Z202" i="17"/>
  <c r="R200" i="17"/>
  <c r="V200" i="17"/>
  <c r="N199" i="17"/>
  <c r="O199" i="17"/>
  <c r="BJ192" i="17"/>
  <c r="AK192" i="17"/>
  <c r="AL192" i="17"/>
  <c r="BF189" i="17"/>
  <c r="BC189" i="17"/>
  <c r="BD189" i="17" s="1"/>
  <c r="BB189" i="17"/>
  <c r="BE189" i="17" s="1"/>
  <c r="AS251" i="17"/>
  <c r="AV251" i="17" s="1"/>
  <c r="BJ250" i="17"/>
  <c r="AW249" i="17"/>
  <c r="CJ246" i="17"/>
  <c r="AS245" i="17"/>
  <c r="AV245" i="17" s="1"/>
  <c r="BJ244" i="17"/>
  <c r="AW243" i="17"/>
  <c r="AF242" i="17"/>
  <c r="BJ240" i="17"/>
  <c r="BS239" i="17"/>
  <c r="AS239" i="17"/>
  <c r="AV239" i="17" s="1"/>
  <c r="AM239" i="17"/>
  <c r="AA237" i="17"/>
  <c r="BX236" i="17"/>
  <c r="AQ233" i="17"/>
  <c r="K233" i="17"/>
  <c r="CJ232" i="17"/>
  <c r="BJ232" i="17"/>
  <c r="N232" i="17"/>
  <c r="AE231" i="17"/>
  <c r="T231" i="17"/>
  <c r="BS230" i="17"/>
  <c r="AT230" i="17"/>
  <c r="AQ230" i="17"/>
  <c r="AT229" i="17"/>
  <c r="AA229" i="17"/>
  <c r="AQ228" i="17"/>
  <c r="AH228" i="17"/>
  <c r="AI228" i="17"/>
  <c r="BC227" i="17"/>
  <c r="BD227" i="17" s="1"/>
  <c r="BF227" i="17"/>
  <c r="S227" i="17"/>
  <c r="T227" i="17" s="1"/>
  <c r="U227" i="17"/>
  <c r="V227" i="17"/>
  <c r="CI226" i="17"/>
  <c r="S226" i="17"/>
  <c r="U226" i="17"/>
  <c r="BX225" i="17"/>
  <c r="CA225" i="17"/>
  <c r="T225" i="17"/>
  <c r="CI223" i="17"/>
  <c r="BJ223" i="17"/>
  <c r="AU223" i="17"/>
  <c r="Z223" i="17"/>
  <c r="AA223" i="17"/>
  <c r="AK221" i="17"/>
  <c r="AV220" i="17"/>
  <c r="BE220" i="17"/>
  <c r="S220" i="17"/>
  <c r="U220" i="17"/>
  <c r="AH219" i="17"/>
  <c r="AI219" i="17"/>
  <c r="AW219" i="17"/>
  <c r="CI217" i="17"/>
  <c r="R215" i="17"/>
  <c r="AK215" i="17" s="1"/>
  <c r="S215" i="17"/>
  <c r="T215" i="17" s="1"/>
  <c r="U215" i="17"/>
  <c r="V215" i="17"/>
  <c r="K215" i="17"/>
  <c r="CJ214" i="17"/>
  <c r="BJ211" i="17"/>
  <c r="AU211" i="17"/>
  <c r="N211" i="17"/>
  <c r="O211" i="17"/>
  <c r="AQ210" i="17"/>
  <c r="AT210" i="17"/>
  <c r="AK209" i="17"/>
  <c r="BX207" i="17"/>
  <c r="CA207" i="17"/>
  <c r="AV207" i="17"/>
  <c r="BN204" i="17"/>
  <c r="AH204" i="17"/>
  <c r="BV199" i="17"/>
  <c r="CA199" i="17"/>
  <c r="BE195" i="17"/>
  <c r="X261" i="17"/>
  <c r="K260" i="17"/>
  <c r="BC240" i="17"/>
  <c r="BD240" i="17" s="1"/>
  <c r="AI236" i="17"/>
  <c r="AH230" i="17"/>
  <c r="AW230" i="17"/>
  <c r="AQ227" i="17"/>
  <c r="AT227" i="17"/>
  <c r="AS224" i="17"/>
  <c r="AV224" i="17" s="1"/>
  <c r="AU224" i="17"/>
  <c r="AK222" i="17"/>
  <c r="AW222" i="17"/>
  <c r="AL222" i="17"/>
  <c r="X221" i="17"/>
  <c r="AA221" i="17"/>
  <c r="CJ220" i="17"/>
  <c r="BJ217" i="17"/>
  <c r="AU217" i="17"/>
  <c r="N217" i="17"/>
  <c r="O217" i="17"/>
  <c r="AQ216" i="17"/>
  <c r="AT216" i="17"/>
  <c r="Z211" i="17"/>
  <c r="AA211" i="17"/>
  <c r="S208" i="17"/>
  <c r="U208" i="17"/>
  <c r="AH207" i="17"/>
  <c r="AI207" i="17"/>
  <c r="AW207" i="17"/>
  <c r="AE204" i="17"/>
  <c r="AF204" i="17"/>
  <c r="AM204" i="17"/>
  <c r="AS204" i="17"/>
  <c r="BX204" i="17"/>
  <c r="K202" i="17"/>
  <c r="CJ201" i="17"/>
  <c r="Z193" i="17"/>
  <c r="AA193" i="17"/>
  <c r="BX227" i="17"/>
  <c r="AH227" i="17"/>
  <c r="AA226" i="17"/>
  <c r="O226" i="17"/>
  <c r="BJ225" i="17"/>
  <c r="AL225" i="17"/>
  <c r="AF225" i="17"/>
  <c r="CA224" i="17"/>
  <c r="BC224" i="17"/>
  <c r="BD224" i="17" s="1"/>
  <c r="AW224" i="17"/>
  <c r="AQ224" i="17"/>
  <c r="BB223" i="17"/>
  <c r="BE223" i="17" s="1"/>
  <c r="R223" i="17"/>
  <c r="AK223" i="17" s="1"/>
  <c r="AU222" i="17"/>
  <c r="AI222" i="17"/>
  <c r="BX221" i="17"/>
  <c r="AT221" i="17"/>
  <c r="AH221" i="17"/>
  <c r="AA220" i="17"/>
  <c r="O220" i="17"/>
  <c r="BJ219" i="17"/>
  <c r="AL219" i="17"/>
  <c r="AF219" i="17"/>
  <c r="T219" i="17"/>
  <c r="CA218" i="17"/>
  <c r="BC218" i="17"/>
  <c r="BD218" i="17" s="1"/>
  <c r="AW218" i="17"/>
  <c r="AQ218" i="17"/>
  <c r="BB217" i="17"/>
  <c r="BE217" i="17" s="1"/>
  <c r="R217" i="17"/>
  <c r="AK217" i="17" s="1"/>
  <c r="AU216" i="17"/>
  <c r="AI216" i="17"/>
  <c r="BX215" i="17"/>
  <c r="AT215" i="17"/>
  <c r="AH215" i="17"/>
  <c r="AA214" i="17"/>
  <c r="O214" i="17"/>
  <c r="BJ213" i="17"/>
  <c r="AL213" i="17"/>
  <c r="AF213" i="17"/>
  <c r="T213" i="17"/>
  <c r="CA212" i="17"/>
  <c r="BC212" i="17"/>
  <c r="BD212" i="17" s="1"/>
  <c r="AW212" i="17"/>
  <c r="AQ212" i="17"/>
  <c r="BB211" i="17"/>
  <c r="BE211" i="17" s="1"/>
  <c r="R211" i="17"/>
  <c r="AK211" i="17" s="1"/>
  <c r="AU210" i="17"/>
  <c r="AI210" i="17"/>
  <c r="BX209" i="17"/>
  <c r="AT209" i="17"/>
  <c r="AH209" i="17"/>
  <c r="AA208" i="17"/>
  <c r="O208" i="17"/>
  <c r="BJ207" i="17"/>
  <c r="AL207" i="17"/>
  <c r="AF207" i="17"/>
  <c r="T207" i="17"/>
  <c r="CA206" i="17"/>
  <c r="BC206" i="17"/>
  <c r="BD206" i="17" s="1"/>
  <c r="AW206" i="17"/>
  <c r="AQ206" i="17"/>
  <c r="BB205" i="17"/>
  <c r="BE205" i="17" s="1"/>
  <c r="R205" i="17"/>
  <c r="AK205" i="17" s="1"/>
  <c r="AU204" i="17"/>
  <c r="AI204" i="17"/>
  <c r="CJ203" i="17"/>
  <c r="BX203" i="17"/>
  <c r="AM203" i="17"/>
  <c r="AF203" i="17"/>
  <c r="S203" i="17"/>
  <c r="T203" i="17" s="1"/>
  <c r="BF202" i="17"/>
  <c r="AS202" i="17"/>
  <c r="AV202" i="17" s="1"/>
  <c r="AK202" i="17"/>
  <c r="BP201" i="17"/>
  <c r="AT201" i="17"/>
  <c r="AQ201" i="17"/>
  <c r="AH201" i="17"/>
  <c r="AW201" i="17"/>
  <c r="U200" i="17"/>
  <c r="S200" i="17"/>
  <c r="T200" i="17" s="1"/>
  <c r="CD198" i="17"/>
  <c r="BS198" i="17"/>
  <c r="AE198" i="17"/>
  <c r="AT197" i="17"/>
  <c r="R197" i="17"/>
  <c r="AK197" i="17" s="1"/>
  <c r="U197" i="17"/>
  <c r="V197" i="17"/>
  <c r="CI196" i="17"/>
  <c r="BV196" i="17"/>
  <c r="AO196" i="17"/>
  <c r="AM196" i="17"/>
  <c r="AF196" i="17"/>
  <c r="S196" i="17"/>
  <c r="T196" i="17" s="1"/>
  <c r="BF195" i="17"/>
  <c r="BC195" i="17"/>
  <c r="BD195" i="17" s="1"/>
  <c r="AS195" i="17"/>
  <c r="AV195" i="17" s="1"/>
  <c r="AK195" i="17"/>
  <c r="AL195" i="17"/>
  <c r="V195" i="17"/>
  <c r="S195" i="17"/>
  <c r="T195" i="17"/>
  <c r="AT194" i="17"/>
  <c r="AK194" i="17"/>
  <c r="K194" i="17"/>
  <c r="CJ193" i="17"/>
  <c r="O193" i="17"/>
  <c r="AW192" i="17"/>
  <c r="AH192" i="17"/>
  <c r="AI192" i="17"/>
  <c r="BJ191" i="17"/>
  <c r="AT191" i="17"/>
  <c r="AH190" i="17"/>
  <c r="BX190" i="17"/>
  <c r="AT189" i="17"/>
  <c r="AQ189" i="17"/>
  <c r="AE189" i="17"/>
  <c r="AF189" i="17"/>
  <c r="BC225" i="17"/>
  <c r="BD225" i="17" s="1"/>
  <c r="AQ225" i="17"/>
  <c r="BB224" i="17"/>
  <c r="BE224" i="17" s="1"/>
  <c r="R224" i="17"/>
  <c r="AK224" i="17" s="1"/>
  <c r="BQ221" i="17"/>
  <c r="AM221" i="17"/>
  <c r="O221" i="17"/>
  <c r="T220" i="17"/>
  <c r="BC219" i="17"/>
  <c r="BD219" i="17" s="1"/>
  <c r="AQ219" i="17"/>
  <c r="BB218" i="17"/>
  <c r="BE218" i="17" s="1"/>
  <c r="X218" i="17"/>
  <c r="R218" i="17"/>
  <c r="AK218" i="17" s="1"/>
  <c r="BX216" i="17"/>
  <c r="AH216" i="17"/>
  <c r="BJ214" i="17"/>
  <c r="BC213" i="17"/>
  <c r="BD213" i="17" s="1"/>
  <c r="AQ213" i="17"/>
  <c r="BB212" i="17"/>
  <c r="BE212" i="17" s="1"/>
  <c r="BX210" i="17"/>
  <c r="AH210" i="17"/>
  <c r="BQ209" i="17"/>
  <c r="AM209" i="17"/>
  <c r="BJ208" i="17"/>
  <c r="T208" i="17"/>
  <c r="BC207" i="17"/>
  <c r="BD207" i="17" s="1"/>
  <c r="AQ207" i="17"/>
  <c r="BB206" i="17"/>
  <c r="BE206" i="17" s="1"/>
  <c r="R203" i="17"/>
  <c r="AK203" i="17" s="1"/>
  <c r="BX202" i="17"/>
  <c r="BQ202" i="17"/>
  <c r="AQ202" i="17"/>
  <c r="AE201" i="17"/>
  <c r="AF201" i="17"/>
  <c r="AW200" i="17"/>
  <c r="BS196" i="17"/>
  <c r="AC196" i="17"/>
  <c r="BB194" i="17"/>
  <c r="BE194" i="17" s="1"/>
  <c r="BC194" i="17"/>
  <c r="BD194" i="17" s="1"/>
  <c r="AQ192" i="17"/>
  <c r="AT192" i="17"/>
  <c r="AF192" i="17"/>
  <c r="AT190" i="17"/>
  <c r="AI190" i="17"/>
  <c r="AF190" i="17"/>
  <c r="U189" i="17"/>
  <c r="V189" i="17"/>
  <c r="S189" i="17"/>
  <c r="T189" i="17"/>
  <c r="AI224" i="17"/>
  <c r="AT223" i="17"/>
  <c r="AA222" i="17"/>
  <c r="O222" i="17"/>
  <c r="BV221" i="17"/>
  <c r="BP221" i="17"/>
  <c r="BJ221" i="17"/>
  <c r="AL221" i="17"/>
  <c r="AF221" i="17"/>
  <c r="BC220" i="17"/>
  <c r="BD220" i="17" s="1"/>
  <c r="V217" i="17"/>
  <c r="BC214" i="17"/>
  <c r="BD214" i="17" s="1"/>
  <c r="AI212" i="17"/>
  <c r="V211" i="17"/>
  <c r="BC208" i="17"/>
  <c r="BD208" i="17" s="1"/>
  <c r="AI206" i="17"/>
  <c r="AT205" i="17"/>
  <c r="V205" i="17"/>
  <c r="AA204" i="17"/>
  <c r="O204" i="17"/>
  <c r="BC202" i="17"/>
  <c r="BD202" i="17" s="1"/>
  <c r="V202" i="17"/>
  <c r="U201" i="17"/>
  <c r="AA200" i="17"/>
  <c r="X200" i="17"/>
  <c r="BJ199" i="17"/>
  <c r="AU199" i="17"/>
  <c r="T199" i="17"/>
  <c r="BQ196" i="17"/>
  <c r="AU196" i="17"/>
  <c r="BJ196" i="17"/>
  <c r="AL196" i="17"/>
  <c r="Z196" i="17"/>
  <c r="AA196" i="17"/>
  <c r="BX195" i="17"/>
  <c r="CA195" i="17"/>
  <c r="AT195" i="17"/>
  <c r="AQ195" i="17"/>
  <c r="AH195" i="17"/>
  <c r="AW195" i="17"/>
  <c r="U194" i="17"/>
  <c r="S194" i="17"/>
  <c r="T194" i="17" s="1"/>
  <c r="AM193" i="17"/>
  <c r="CD192" i="17"/>
  <c r="BS192" i="17"/>
  <c r="AE192" i="17"/>
  <c r="BP189" i="17"/>
  <c r="K193" i="17"/>
  <c r="BJ222" i="17"/>
  <c r="AO219" i="17"/>
  <c r="BE219" i="17" s="1"/>
  <c r="V218" i="17"/>
  <c r="BJ216" i="17"/>
  <c r="AO213" i="17"/>
  <c r="BE213" i="17" s="1"/>
  <c r="V212" i="17"/>
  <c r="BJ210" i="17"/>
  <c r="AO207" i="17"/>
  <c r="BE207" i="17" s="1"/>
  <c r="V206" i="17"/>
  <c r="BJ204" i="17"/>
  <c r="AT203" i="17"/>
  <c r="CI202" i="17"/>
  <c r="AO202" i="17"/>
  <c r="BE202" i="17" s="1"/>
  <c r="O202" i="17"/>
  <c r="AV200" i="17"/>
  <c r="AH199" i="17"/>
  <c r="CA198" i="17"/>
  <c r="BX198" i="17"/>
  <c r="AU197" i="17"/>
  <c r="BP196" i="17"/>
  <c r="AS196" i="17"/>
  <c r="BV195" i="17"/>
  <c r="AE195" i="17"/>
  <c r="AF195" i="17"/>
  <c r="AO194" i="17"/>
  <c r="AA194" i="17"/>
  <c r="CA193" i="17"/>
  <c r="AW190" i="17"/>
  <c r="AK190" i="17"/>
  <c r="Z190" i="17"/>
  <c r="AA190" i="17"/>
  <c r="T190" i="17"/>
  <c r="BX189" i="17"/>
  <c r="AK189" i="17"/>
  <c r="AL189" i="17"/>
  <c r="Z189" i="17"/>
  <c r="CJ172" i="17"/>
  <c r="BQ218" i="17"/>
  <c r="AM218" i="17"/>
  <c r="BQ212" i="17"/>
  <c r="AM212" i="17"/>
  <c r="BQ206" i="17"/>
  <c r="AM206" i="17"/>
  <c r="BF201" i="17"/>
  <c r="BC201" i="17"/>
  <c r="BD201" i="17" s="1"/>
  <c r="AK201" i="17"/>
  <c r="AL201" i="17"/>
  <c r="V201" i="17"/>
  <c r="S201" i="17"/>
  <c r="T201" i="17" s="1"/>
  <c r="AK200" i="17"/>
  <c r="AW198" i="17"/>
  <c r="AH198" i="17"/>
  <c r="AI198" i="17"/>
  <c r="AC198" i="17"/>
  <c r="AO198" i="17"/>
  <c r="BE198" i="17" s="1"/>
  <c r="CI197" i="17"/>
  <c r="BB197" i="17"/>
  <c r="BE197" i="17" s="1"/>
  <c r="BF197" i="17"/>
  <c r="N196" i="17"/>
  <c r="O196" i="17"/>
  <c r="BJ193" i="17"/>
  <c r="AU193" i="17"/>
  <c r="T193" i="17"/>
  <c r="BC191" i="17"/>
  <c r="BD191" i="17" s="1"/>
  <c r="CJ188" i="17"/>
  <c r="AS191" i="17"/>
  <c r="AV191" i="17" s="1"/>
  <c r="CI190" i="17"/>
  <c r="O189" i="17"/>
  <c r="AM189" i="17"/>
  <c r="AS189" i="17"/>
  <c r="AV189" i="17" s="1"/>
  <c r="BQ189" i="17"/>
  <c r="K191" i="17"/>
  <c r="CJ190" i="17"/>
  <c r="R199" i="17"/>
  <c r="AK199" i="17" s="1"/>
  <c r="K198" i="17"/>
  <c r="CJ197" i="17"/>
  <c r="AW194" i="17"/>
  <c r="R193" i="17"/>
  <c r="AK193" i="17" s="1"/>
  <c r="K192" i="17"/>
  <c r="CJ191" i="17"/>
  <c r="BX191" i="17"/>
  <c r="BF191" i="17"/>
  <c r="V191" i="17"/>
  <c r="AM190" i="17"/>
  <c r="BC188" i="17"/>
  <c r="BD188" i="17" s="1"/>
  <c r="AI188" i="17"/>
  <c r="V188" i="17"/>
  <c r="O188" i="17"/>
  <c r="BV187" i="17"/>
  <c r="BC187" i="17"/>
  <c r="BD187" i="17" s="1"/>
  <c r="AW187" i="17"/>
  <c r="AH187" i="17"/>
  <c r="AA187" i="17"/>
  <c r="O187" i="17"/>
  <c r="AL186" i="17"/>
  <c r="BN185" i="17"/>
  <c r="BH185" i="17"/>
  <c r="AS185" i="17"/>
  <c r="BZ184" i="17"/>
  <c r="BB184" i="17"/>
  <c r="AO184" i="17"/>
  <c r="X184" i="17"/>
  <c r="U184" i="17"/>
  <c r="BZ183" i="17"/>
  <c r="AO183" i="17"/>
  <c r="AW183" i="17"/>
  <c r="X183" i="17"/>
  <c r="O183" i="17"/>
  <c r="BB182" i="17"/>
  <c r="BE182" i="17" s="1"/>
  <c r="BC182" i="17"/>
  <c r="BD182" i="17" s="1"/>
  <c r="V182" i="17"/>
  <c r="BZ180" i="17"/>
  <c r="AM180" i="17"/>
  <c r="O180" i="17"/>
  <c r="U179" i="17"/>
  <c r="CA178" i="17"/>
  <c r="S177" i="17"/>
  <c r="AW176" i="17"/>
  <c r="CA175" i="17"/>
  <c r="CD174" i="17"/>
  <c r="AE174" i="17"/>
  <c r="AF174" i="17"/>
  <c r="O174" i="17"/>
  <c r="K173" i="17"/>
  <c r="AM172" i="17"/>
  <c r="AO172" i="17"/>
  <c r="S172" i="17"/>
  <c r="T172" i="17" s="1"/>
  <c r="AE171" i="17"/>
  <c r="AF171" i="17"/>
  <c r="BB170" i="17"/>
  <c r="BE170" i="17" s="1"/>
  <c r="BC170" i="17"/>
  <c r="BD170" i="17" s="1"/>
  <c r="BF170" i="17"/>
  <c r="S170" i="17"/>
  <c r="AV164" i="17"/>
  <c r="AV158" i="17"/>
  <c r="AV152" i="17"/>
  <c r="AV146" i="17"/>
  <c r="K199" i="17"/>
  <c r="CJ198" i="17"/>
  <c r="BF198" i="17"/>
  <c r="BQ197" i="17"/>
  <c r="CJ192" i="17"/>
  <c r="BF192" i="17"/>
  <c r="V192" i="17"/>
  <c r="U191" i="17"/>
  <c r="CA189" i="17"/>
  <c r="AW189" i="17"/>
  <c r="AT188" i="17"/>
  <c r="AH188" i="17"/>
  <c r="CA187" i="17"/>
  <c r="BN187" i="17"/>
  <c r="AV187" i="17" s="1"/>
  <c r="BH187" i="17"/>
  <c r="BB187" i="17"/>
  <c r="AO187" i="17"/>
  <c r="AI187" i="17"/>
  <c r="AQ186" i="17"/>
  <c r="K186" i="17"/>
  <c r="CI185" i="17"/>
  <c r="AQ185" i="17"/>
  <c r="T185" i="17"/>
  <c r="O185" i="17"/>
  <c r="BQ184" i="17"/>
  <c r="BJ184" i="17"/>
  <c r="AU184" i="17"/>
  <c r="AM184" i="17"/>
  <c r="AE184" i="17"/>
  <c r="N184" i="17"/>
  <c r="O184" i="17"/>
  <c r="BB183" i="17"/>
  <c r="BE183" i="17" s="1"/>
  <c r="AE183" i="17"/>
  <c r="AF183" i="17"/>
  <c r="T182" i="17"/>
  <c r="AU181" i="17"/>
  <c r="BJ181" i="17"/>
  <c r="AM181" i="17"/>
  <c r="AL180" i="17"/>
  <c r="AV179" i="17"/>
  <c r="AW179" i="17"/>
  <c r="AA179" i="17"/>
  <c r="N179" i="17"/>
  <c r="BJ178" i="17"/>
  <c r="AU178" i="17"/>
  <c r="Z178" i="17"/>
  <c r="AA178" i="17"/>
  <c r="CA177" i="17"/>
  <c r="BX177" i="17"/>
  <c r="AQ177" i="17"/>
  <c r="AT177" i="17"/>
  <c r="AW177" i="17"/>
  <c r="AH177" i="17"/>
  <c r="X177" i="17"/>
  <c r="AU175" i="17"/>
  <c r="BJ175" i="17"/>
  <c r="BZ174" i="17"/>
  <c r="AT174" i="17"/>
  <c r="AQ174" i="17"/>
  <c r="AS173" i="17"/>
  <c r="AV173" i="17" s="1"/>
  <c r="AW173" i="17"/>
  <c r="V173" i="17"/>
  <c r="R173" i="17"/>
  <c r="AK173" i="17" s="1"/>
  <c r="S173" i="17"/>
  <c r="T173" i="17" s="1"/>
  <c r="AQ171" i="17"/>
  <c r="AT171" i="17"/>
  <c r="Z171" i="17"/>
  <c r="BJ171" i="17"/>
  <c r="BP171" i="17"/>
  <c r="BV171" i="17"/>
  <c r="AC171" i="17"/>
  <c r="AO171" i="17"/>
  <c r="CJ150" i="17"/>
  <c r="AI185" i="17"/>
  <c r="AH185" i="17"/>
  <c r="BX185" i="17"/>
  <c r="K182" i="17"/>
  <c r="CJ181" i="17"/>
  <c r="BX180" i="17"/>
  <c r="CA180" i="17"/>
  <c r="AE177" i="17"/>
  <c r="AF177" i="17"/>
  <c r="X176" i="17"/>
  <c r="AA176" i="17"/>
  <c r="BF173" i="17"/>
  <c r="BB173" i="17"/>
  <c r="BE173" i="17" s="1"/>
  <c r="BC173" i="17"/>
  <c r="BD173" i="17" s="1"/>
  <c r="BE172" i="17"/>
  <c r="Z172" i="17"/>
  <c r="AA172" i="17"/>
  <c r="CA171" i="17"/>
  <c r="BX171" i="17"/>
  <c r="BX168" i="17"/>
  <c r="CA168" i="17"/>
  <c r="K181" i="17"/>
  <c r="K175" i="17"/>
  <c r="K169" i="17"/>
  <c r="K163" i="17"/>
  <c r="CD186" i="17"/>
  <c r="AI186" i="17"/>
  <c r="BQ185" i="17"/>
  <c r="AO185" i="17"/>
  <c r="Z185" i="17"/>
  <c r="R185" i="17"/>
  <c r="AK185" i="17" s="1"/>
  <c r="K185" i="17"/>
  <c r="CJ184" i="17"/>
  <c r="BN184" i="17"/>
  <c r="AV184" i="17" s="1"/>
  <c r="AC184" i="17"/>
  <c r="K184" i="17"/>
  <c r="CJ183" i="17"/>
  <c r="AK183" i="17"/>
  <c r="AL183" i="17"/>
  <c r="Z183" i="17"/>
  <c r="BJ183" i="17"/>
  <c r="BP183" i="17"/>
  <c r="BV183" i="17"/>
  <c r="S182" i="17"/>
  <c r="U182" i="17"/>
  <c r="AV181" i="17"/>
  <c r="V181" i="17"/>
  <c r="AH180" i="17"/>
  <c r="AI180" i="17"/>
  <c r="AW180" i="17"/>
  <c r="AC180" i="17"/>
  <c r="AO180" i="17"/>
  <c r="BE180" i="17" s="1"/>
  <c r="BF179" i="17"/>
  <c r="BB179" i="17"/>
  <c r="BE179" i="17" s="1"/>
  <c r="N178" i="17"/>
  <c r="O178" i="17"/>
  <c r="AS176" i="17"/>
  <c r="AV176" i="17" s="1"/>
  <c r="AT176" i="17"/>
  <c r="Z175" i="17"/>
  <c r="AA175" i="17"/>
  <c r="BX174" i="17"/>
  <c r="CA174" i="17"/>
  <c r="AC174" i="17"/>
  <c r="AO174" i="17"/>
  <c r="Z174" i="17"/>
  <c r="BJ174" i="17"/>
  <c r="BP174" i="17"/>
  <c r="BV174" i="17"/>
  <c r="BJ172" i="17"/>
  <c r="AU172" i="17"/>
  <c r="S169" i="17"/>
  <c r="T169" i="17" s="1"/>
  <c r="U169" i="17"/>
  <c r="AH168" i="17"/>
  <c r="AI168" i="17"/>
  <c r="AW168" i="17"/>
  <c r="CA166" i="17"/>
  <c r="Z166" i="17"/>
  <c r="AA166" i="17"/>
  <c r="AL199" i="17"/>
  <c r="K196" i="17"/>
  <c r="CJ195" i="17"/>
  <c r="K190" i="17"/>
  <c r="CJ189" i="17"/>
  <c r="K188" i="17"/>
  <c r="CJ187" i="17"/>
  <c r="CA186" i="17"/>
  <c r="AH186" i="17"/>
  <c r="T186" i="17"/>
  <c r="BJ185" i="17"/>
  <c r="BB185" i="17"/>
  <c r="BE185" i="17" s="1"/>
  <c r="AM185" i="17"/>
  <c r="AA185" i="17"/>
  <c r="BV184" i="17"/>
  <c r="AQ184" i="17"/>
  <c r="T183" i="17"/>
  <c r="V183" i="17"/>
  <c r="K183" i="17"/>
  <c r="CJ182" i="17"/>
  <c r="AV182" i="17"/>
  <c r="BF182" i="17"/>
  <c r="AU182" i="17"/>
  <c r="U181" i="17"/>
  <c r="BN180" i="17"/>
  <c r="AV180" i="17" s="1"/>
  <c r="BH180" i="17"/>
  <c r="AT180" i="17"/>
  <c r="AQ180" i="17"/>
  <c r="X180" i="17"/>
  <c r="K179" i="17"/>
  <c r="CJ178" i="17"/>
  <c r="AE178" i="17"/>
  <c r="V178" i="17"/>
  <c r="Z177" i="17"/>
  <c r="BJ177" i="17"/>
  <c r="BP177" i="17"/>
  <c r="BV177" i="17"/>
  <c r="BB176" i="17"/>
  <c r="BE176" i="17" s="1"/>
  <c r="BC176" i="17"/>
  <c r="BD176" i="17" s="1"/>
  <c r="BF176" i="17"/>
  <c r="R176" i="17"/>
  <c r="AK176" i="17" s="1"/>
  <c r="V176" i="17"/>
  <c r="K176" i="17"/>
  <c r="CJ175" i="17"/>
  <c r="AK174" i="17"/>
  <c r="AL174" i="17"/>
  <c r="X174" i="17"/>
  <c r="AA173" i="17"/>
  <c r="N172" i="17"/>
  <c r="O172" i="17"/>
  <c r="BS171" i="17"/>
  <c r="BB171" i="17"/>
  <c r="BE171" i="17" s="1"/>
  <c r="AK171" i="17"/>
  <c r="AL171" i="17"/>
  <c r="X171" i="17"/>
  <c r="O171" i="17"/>
  <c r="X170" i="17"/>
  <c r="AA170" i="17"/>
  <c r="AS167" i="17"/>
  <c r="CJ186" i="17"/>
  <c r="CJ185" i="17"/>
  <c r="CJ166" i="17"/>
  <c r="AU167" i="17"/>
  <c r="CJ177" i="17"/>
  <c r="AW167" i="17"/>
  <c r="CJ176" i="17"/>
  <c r="CJ163" i="17"/>
  <c r="BJ166" i="17"/>
  <c r="AU166" i="17"/>
  <c r="T165" i="17"/>
  <c r="T159" i="17"/>
  <c r="T153" i="17"/>
  <c r="T147" i="17"/>
  <c r="BP187" i="17"/>
  <c r="BJ187" i="17"/>
  <c r="AC187" i="17"/>
  <c r="AF186" i="17"/>
  <c r="BV185" i="17"/>
  <c r="AL185" i="17"/>
  <c r="AE185" i="17"/>
  <c r="X185" i="17"/>
  <c r="BD184" i="17"/>
  <c r="AW184" i="17"/>
  <c r="AH184" i="17"/>
  <c r="Z184" i="17"/>
  <c r="AA184" i="17"/>
  <c r="T184" i="17"/>
  <c r="BF183" i="17"/>
  <c r="AQ183" i="17"/>
  <c r="AH183" i="17"/>
  <c r="X182" i="17"/>
  <c r="AA182" i="17"/>
  <c r="BS180" i="17"/>
  <c r="AE180" i="17"/>
  <c r="AT179" i="17"/>
  <c r="V179" i="17"/>
  <c r="R179" i="17"/>
  <c r="AK179" i="17" s="1"/>
  <c r="AM178" i="17"/>
  <c r="AO178" i="17"/>
  <c r="BE178" i="17" s="1"/>
  <c r="S178" i="17"/>
  <c r="T178" i="17" s="1"/>
  <c r="BC177" i="17"/>
  <c r="BD177" i="17" s="1"/>
  <c r="BF177" i="17"/>
  <c r="AK177" i="17"/>
  <c r="AL177" i="17"/>
  <c r="T177" i="17"/>
  <c r="V177" i="17"/>
  <c r="K177" i="17"/>
  <c r="AO175" i="17"/>
  <c r="BE175" i="17" s="1"/>
  <c r="AM175" i="17"/>
  <c r="N175" i="17"/>
  <c r="O175" i="17"/>
  <c r="BS174" i="17"/>
  <c r="BB174" i="17"/>
  <c r="AS174" i="17"/>
  <c r="AV174" i="17" s="1"/>
  <c r="AH174" i="17"/>
  <c r="AI174" i="17"/>
  <c r="AW174" i="17"/>
  <c r="V172" i="17"/>
  <c r="AW171" i="17"/>
  <c r="AH171" i="17"/>
  <c r="AI171" i="17"/>
  <c r="R170" i="17"/>
  <c r="AK170" i="17" s="1"/>
  <c r="T170" i="17"/>
  <c r="V170" i="17"/>
  <c r="K170" i="17"/>
  <c r="CJ169" i="17"/>
  <c r="AO169" i="17"/>
  <c r="BE169" i="17" s="1"/>
  <c r="AM169" i="17"/>
  <c r="AV167" i="17"/>
  <c r="N166" i="17"/>
  <c r="O166" i="17"/>
  <c r="K164" i="17"/>
  <c r="BC160" i="17"/>
  <c r="BD160" i="17" s="1"/>
  <c r="K158" i="17"/>
  <c r="CJ157" i="17"/>
  <c r="BC154" i="17"/>
  <c r="BD154" i="17" s="1"/>
  <c r="K152" i="17"/>
  <c r="CJ151" i="17"/>
  <c r="BC148" i="17"/>
  <c r="BD148" i="17" s="1"/>
  <c r="K146" i="17"/>
  <c r="CJ145" i="17"/>
  <c r="K144" i="17"/>
  <c r="CJ143" i="17"/>
  <c r="AK140" i="17"/>
  <c r="AW140" i="17"/>
  <c r="BJ139" i="17"/>
  <c r="AU139" i="17"/>
  <c r="AH139" i="17"/>
  <c r="AI139" i="17"/>
  <c r="AO136" i="17"/>
  <c r="BE136" i="17" s="1"/>
  <c r="AM136" i="17"/>
  <c r="BX135" i="17"/>
  <c r="CA135" i="17"/>
  <c r="K136" i="17"/>
  <c r="K171" i="17"/>
  <c r="CJ170" i="17"/>
  <c r="AT170" i="17"/>
  <c r="AA169" i="17"/>
  <c r="O169" i="17"/>
  <c r="BV168" i="17"/>
  <c r="BP168" i="17"/>
  <c r="BJ168" i="17"/>
  <c r="AL168" i="17"/>
  <c r="AF168" i="17"/>
  <c r="Z168" i="17"/>
  <c r="BC167" i="17"/>
  <c r="BD167" i="17" s="1"/>
  <c r="S167" i="17"/>
  <c r="T167" i="17" s="1"/>
  <c r="AO165" i="17"/>
  <c r="BE165" i="17" s="1"/>
  <c r="AI165" i="17"/>
  <c r="AC165" i="17"/>
  <c r="K165" i="17"/>
  <c r="CJ164" i="17"/>
  <c r="BF164" i="17"/>
  <c r="AT164" i="17"/>
  <c r="V164" i="17"/>
  <c r="AM163" i="17"/>
  <c r="AA163" i="17"/>
  <c r="U163" i="17"/>
  <c r="O163" i="17"/>
  <c r="BV162" i="17"/>
  <c r="BP162" i="17"/>
  <c r="BJ162" i="17"/>
  <c r="AL162" i="17"/>
  <c r="AF162" i="17"/>
  <c r="Z162" i="17"/>
  <c r="BC161" i="17"/>
  <c r="BD161" i="17" s="1"/>
  <c r="AW161" i="17"/>
  <c r="S161" i="17"/>
  <c r="T161" i="17" s="1"/>
  <c r="AO159" i="17"/>
  <c r="BE159" i="17" s="1"/>
  <c r="AI159" i="17"/>
  <c r="AC159" i="17"/>
  <c r="K159" i="17"/>
  <c r="CJ158" i="17"/>
  <c r="BF158" i="17"/>
  <c r="AT158" i="17"/>
  <c r="V158" i="17"/>
  <c r="AM157" i="17"/>
  <c r="AA157" i="17"/>
  <c r="U157" i="17"/>
  <c r="O157" i="17"/>
  <c r="BV156" i="17"/>
  <c r="BP156" i="17"/>
  <c r="BJ156" i="17"/>
  <c r="AL156" i="17"/>
  <c r="AF156" i="17"/>
  <c r="Z156" i="17"/>
  <c r="BC155" i="17"/>
  <c r="BD155" i="17" s="1"/>
  <c r="AW155" i="17"/>
  <c r="S155" i="17"/>
  <c r="T155" i="17" s="1"/>
  <c r="AO153" i="17"/>
  <c r="BE153" i="17" s="1"/>
  <c r="AI153" i="17"/>
  <c r="AC153" i="17"/>
  <c r="K153" i="17"/>
  <c r="CJ152" i="17"/>
  <c r="BF152" i="17"/>
  <c r="AT152" i="17"/>
  <c r="V152" i="17"/>
  <c r="AM151" i="17"/>
  <c r="AA151" i="17"/>
  <c r="U151" i="17"/>
  <c r="O151" i="17"/>
  <c r="BV150" i="17"/>
  <c r="BP150" i="17"/>
  <c r="BJ150" i="17"/>
  <c r="AL150" i="17"/>
  <c r="AF150" i="17"/>
  <c r="Z150" i="17"/>
  <c r="BC149" i="17"/>
  <c r="BD149" i="17" s="1"/>
  <c r="AW149" i="17"/>
  <c r="S149" i="17"/>
  <c r="T149" i="17" s="1"/>
  <c r="AO147" i="17"/>
  <c r="BE147" i="17" s="1"/>
  <c r="AI147" i="17"/>
  <c r="AC147" i="17"/>
  <c r="K147" i="17"/>
  <c r="CJ146" i="17"/>
  <c r="BF146" i="17"/>
  <c r="AT146" i="17"/>
  <c r="V146" i="17"/>
  <c r="AL145" i="17"/>
  <c r="AF145" i="17"/>
  <c r="O145" i="17"/>
  <c r="AW144" i="17"/>
  <c r="BX142" i="17"/>
  <c r="BP142" i="17"/>
  <c r="BJ142" i="17"/>
  <c r="BB142" i="17"/>
  <c r="BE142" i="17" s="1"/>
  <c r="AH142" i="17"/>
  <c r="Z142" i="17"/>
  <c r="R142" i="17"/>
  <c r="AK142" i="17" s="1"/>
  <c r="CA141" i="17"/>
  <c r="U141" i="17"/>
  <c r="AK138" i="17"/>
  <c r="N137" i="17"/>
  <c r="O137" i="17"/>
  <c r="AL136" i="17"/>
  <c r="S136" i="17"/>
  <c r="T136" i="17" s="1"/>
  <c r="U136" i="17"/>
  <c r="AV135" i="17"/>
  <c r="CJ130" i="17"/>
  <c r="AS134" i="17"/>
  <c r="CJ141" i="17"/>
  <c r="AT134" i="17"/>
  <c r="CJ134" i="17"/>
  <c r="CJ138" i="17"/>
  <c r="K127" i="17"/>
  <c r="AV116" i="17"/>
  <c r="BC180" i="17"/>
  <c r="BD180" i="17" s="1"/>
  <c r="K178" i="17"/>
  <c r="U176" i="17"/>
  <c r="BC174" i="17"/>
  <c r="BD174" i="17" s="1"/>
  <c r="K172" i="17"/>
  <c r="CJ171" i="17"/>
  <c r="BF171" i="17"/>
  <c r="V171" i="17"/>
  <c r="U170" i="17"/>
  <c r="BJ169" i="17"/>
  <c r="BC168" i="17"/>
  <c r="BD168" i="17" s="1"/>
  <c r="AQ168" i="17"/>
  <c r="BB167" i="17"/>
  <c r="BE167" i="17" s="1"/>
  <c r="R167" i="17"/>
  <c r="AK167" i="17" s="1"/>
  <c r="AO166" i="17"/>
  <c r="BE166" i="17" s="1"/>
  <c r="K166" i="17"/>
  <c r="CJ165" i="17"/>
  <c r="BX165" i="17"/>
  <c r="BF165" i="17"/>
  <c r="AT165" i="17"/>
  <c r="AH165" i="17"/>
  <c r="V165" i="17"/>
  <c r="AA164" i="17"/>
  <c r="U164" i="17"/>
  <c r="BJ163" i="17"/>
  <c r="CA162" i="17"/>
  <c r="BC162" i="17"/>
  <c r="BD162" i="17" s="1"/>
  <c r="AW162" i="17"/>
  <c r="AQ162" i="17"/>
  <c r="BB161" i="17"/>
  <c r="BE161" i="17" s="1"/>
  <c r="R161" i="17"/>
  <c r="AK161" i="17" s="1"/>
  <c r="AU160" i="17"/>
  <c r="AO160" i="17"/>
  <c r="BE160" i="17" s="1"/>
  <c r="K160" i="17"/>
  <c r="CJ159" i="17"/>
  <c r="BX159" i="17"/>
  <c r="BF159" i="17"/>
  <c r="AT159" i="17"/>
  <c r="AH159" i="17"/>
  <c r="V159" i="17"/>
  <c r="AA158" i="17"/>
  <c r="U158" i="17"/>
  <c r="BJ157" i="17"/>
  <c r="CA156" i="17"/>
  <c r="BC156" i="17"/>
  <c r="BD156" i="17" s="1"/>
  <c r="AW156" i="17"/>
  <c r="AQ156" i="17"/>
  <c r="BB155" i="17"/>
  <c r="BE155" i="17" s="1"/>
  <c r="R155" i="17"/>
  <c r="AK155" i="17" s="1"/>
  <c r="AU154" i="17"/>
  <c r="AO154" i="17"/>
  <c r="BE154" i="17" s="1"/>
  <c r="K154" i="17"/>
  <c r="CJ153" i="17"/>
  <c r="BX153" i="17"/>
  <c r="BF153" i="17"/>
  <c r="AT153" i="17"/>
  <c r="AH153" i="17"/>
  <c r="V153" i="17"/>
  <c r="AA152" i="17"/>
  <c r="U152" i="17"/>
  <c r="BJ151" i="17"/>
  <c r="CA150" i="17"/>
  <c r="BC150" i="17"/>
  <c r="BD150" i="17" s="1"/>
  <c r="AW150" i="17"/>
  <c r="AQ150" i="17"/>
  <c r="BB149" i="17"/>
  <c r="BE149" i="17" s="1"/>
  <c r="R149" i="17"/>
  <c r="AK149" i="17" s="1"/>
  <c r="AU148" i="17"/>
  <c r="AO148" i="17"/>
  <c r="BE148" i="17" s="1"/>
  <c r="K148" i="17"/>
  <c r="CJ147" i="17"/>
  <c r="BX147" i="17"/>
  <c r="BF147" i="17"/>
  <c r="AT147" i="17"/>
  <c r="AH147" i="17"/>
  <c r="V147" i="17"/>
  <c r="AA146" i="17"/>
  <c r="U146" i="17"/>
  <c r="BJ145" i="17"/>
  <c r="AQ145" i="17"/>
  <c r="AC145" i="17"/>
  <c r="AF144" i="17"/>
  <c r="X144" i="17"/>
  <c r="S144" i="17"/>
  <c r="T144" i="17" s="1"/>
  <c r="U144" i="17"/>
  <c r="BC143" i="17"/>
  <c r="BD143" i="17" s="1"/>
  <c r="AO143" i="17"/>
  <c r="BE143" i="17" s="1"/>
  <c r="AS142" i="17"/>
  <c r="AI142" i="17"/>
  <c r="K141" i="17"/>
  <c r="CJ140" i="17"/>
  <c r="U140" i="17"/>
  <c r="S140" i="17"/>
  <c r="T140" i="17" s="1"/>
  <c r="AW139" i="17"/>
  <c r="AW138" i="17"/>
  <c r="BB137" i="17"/>
  <c r="BE137" i="17" s="1"/>
  <c r="BF137" i="17"/>
  <c r="Z137" i="17"/>
  <c r="AA137" i="17"/>
  <c r="Z133" i="17"/>
  <c r="AA133" i="17"/>
  <c r="N133" i="17"/>
  <c r="O133" i="17"/>
  <c r="BE122" i="17"/>
  <c r="CJ120" i="17"/>
  <c r="BC169" i="17"/>
  <c r="BD169" i="17" s="1"/>
  <c r="K167" i="17"/>
  <c r="BQ165" i="17"/>
  <c r="AS165" i="17"/>
  <c r="AV165" i="17" s="1"/>
  <c r="AM165" i="17"/>
  <c r="O165" i="17"/>
  <c r="T164" i="17"/>
  <c r="BC163" i="17"/>
  <c r="BD163" i="17" s="1"/>
  <c r="AU161" i="17"/>
  <c r="K161" i="17"/>
  <c r="CJ160" i="17"/>
  <c r="BQ159" i="17"/>
  <c r="AS159" i="17"/>
  <c r="AV159" i="17" s="1"/>
  <c r="AM159" i="17"/>
  <c r="O159" i="17"/>
  <c r="T158" i="17"/>
  <c r="BC157" i="17"/>
  <c r="BD157" i="17" s="1"/>
  <c r="AU155" i="17"/>
  <c r="K155" i="17"/>
  <c r="CJ154" i="17"/>
  <c r="BQ153" i="17"/>
  <c r="AS153" i="17"/>
  <c r="AV153" i="17" s="1"/>
  <c r="AM153" i="17"/>
  <c r="O153" i="17"/>
  <c r="T152" i="17"/>
  <c r="BC151" i="17"/>
  <c r="BD151" i="17" s="1"/>
  <c r="AU149" i="17"/>
  <c r="K149" i="17"/>
  <c r="CJ148" i="17"/>
  <c r="BQ147" i="17"/>
  <c r="AS147" i="17"/>
  <c r="AV147" i="17" s="1"/>
  <c r="AM147" i="17"/>
  <c r="O147" i="17"/>
  <c r="T146" i="17"/>
  <c r="BC145" i="17"/>
  <c r="BD145" i="17" s="1"/>
  <c r="AL144" i="17"/>
  <c r="CA143" i="17"/>
  <c r="K143" i="17"/>
  <c r="CJ142" i="17"/>
  <c r="BV142" i="17"/>
  <c r="BN142" i="17"/>
  <c r="AV142" i="17" s="1"/>
  <c r="BH142" i="17"/>
  <c r="AQ142" i="17"/>
  <c r="AF142" i="17"/>
  <c r="X142" i="17"/>
  <c r="S142" i="17"/>
  <c r="T142" i="17" s="1"/>
  <c r="U142" i="17"/>
  <c r="V141" i="17"/>
  <c r="R141" i="17"/>
  <c r="AK141" i="17" s="1"/>
  <c r="T141" i="17"/>
  <c r="AI140" i="17"/>
  <c r="AQ140" i="17"/>
  <c r="AF140" i="17"/>
  <c r="BC139" i="17"/>
  <c r="BD139" i="17" s="1"/>
  <c r="BE138" i="17"/>
  <c r="AS138" i="17"/>
  <c r="AV138" i="17" s="1"/>
  <c r="AU138" i="17"/>
  <c r="K137" i="17"/>
  <c r="CJ136" i="17"/>
  <c r="AH135" i="17"/>
  <c r="AI135" i="17"/>
  <c r="AW135" i="17"/>
  <c r="AU134" i="17"/>
  <c r="K131" i="17"/>
  <c r="K180" i="17"/>
  <c r="CJ179" i="17"/>
  <c r="BX179" i="17"/>
  <c r="K174" i="17"/>
  <c r="CJ173" i="17"/>
  <c r="BX173" i="17"/>
  <c r="AO168" i="17"/>
  <c r="BE168" i="17" s="1"/>
  <c r="K168" i="17"/>
  <c r="CJ167" i="17"/>
  <c r="BX167" i="17"/>
  <c r="BV165" i="17"/>
  <c r="BP165" i="17"/>
  <c r="BJ165" i="17"/>
  <c r="AL165" i="17"/>
  <c r="AF165" i="17"/>
  <c r="Z165" i="17"/>
  <c r="BC164" i="17"/>
  <c r="BD164" i="17" s="1"/>
  <c r="AO162" i="17"/>
  <c r="BE162" i="17" s="1"/>
  <c r="AI162" i="17"/>
  <c r="K162" i="17"/>
  <c r="CJ161" i="17"/>
  <c r="BX161" i="17"/>
  <c r="AA160" i="17"/>
  <c r="O160" i="17"/>
  <c r="BV159" i="17"/>
  <c r="BP159" i="17"/>
  <c r="BJ159" i="17"/>
  <c r="AL159" i="17"/>
  <c r="AF159" i="17"/>
  <c r="Z159" i="17"/>
  <c r="BC158" i="17"/>
  <c r="BD158" i="17" s="1"/>
  <c r="AO156" i="17"/>
  <c r="BE156" i="17" s="1"/>
  <c r="AI156" i="17"/>
  <c r="K156" i="17"/>
  <c r="CJ155" i="17"/>
  <c r="BX155" i="17"/>
  <c r="AA154" i="17"/>
  <c r="O154" i="17"/>
  <c r="BV153" i="17"/>
  <c r="BP153" i="17"/>
  <c r="BJ153" i="17"/>
  <c r="AL153" i="17"/>
  <c r="AF153" i="17"/>
  <c r="Z153" i="17"/>
  <c r="BC152" i="17"/>
  <c r="BD152" i="17" s="1"/>
  <c r="AO150" i="17"/>
  <c r="BE150" i="17" s="1"/>
  <c r="AI150" i="17"/>
  <c r="K150" i="17"/>
  <c r="CJ149" i="17"/>
  <c r="BX149" i="17"/>
  <c r="AA148" i="17"/>
  <c r="O148" i="17"/>
  <c r="BV147" i="17"/>
  <c r="BP147" i="17"/>
  <c r="BJ147" i="17"/>
  <c r="AL147" i="17"/>
  <c r="AF147" i="17"/>
  <c r="Z147" i="17"/>
  <c r="BC146" i="17"/>
  <c r="BD146" i="17" s="1"/>
  <c r="BZ145" i="17"/>
  <c r="BN145" i="17"/>
  <c r="AV145" i="17" s="1"/>
  <c r="BH145" i="17"/>
  <c r="BB145" i="17"/>
  <c r="AO145" i="17"/>
  <c r="AI145" i="17"/>
  <c r="K145" i="17"/>
  <c r="CJ144" i="17"/>
  <c r="BV144" i="17"/>
  <c r="AT144" i="17"/>
  <c r="AK144" i="17"/>
  <c r="V144" i="17"/>
  <c r="AA143" i="17"/>
  <c r="R143" i="17"/>
  <c r="AK143" i="17" s="1"/>
  <c r="T143" i="17"/>
  <c r="AO142" i="17"/>
  <c r="AM142" i="17"/>
  <c r="AE142" i="17"/>
  <c r="BC141" i="17"/>
  <c r="BD141" i="17" s="1"/>
  <c r="AU141" i="17"/>
  <c r="AA141" i="17"/>
  <c r="AM140" i="17"/>
  <c r="AO140" i="17"/>
  <c r="BE140" i="17" s="1"/>
  <c r="V140" i="17"/>
  <c r="T139" i="17"/>
  <c r="AQ138" i="17"/>
  <c r="AT138" i="17"/>
  <c r="AI138" i="17"/>
  <c r="AE136" i="17"/>
  <c r="AF136" i="17"/>
  <c r="V136" i="17"/>
  <c r="Z136" i="17"/>
  <c r="BJ136" i="17"/>
  <c r="BP136" i="17"/>
  <c r="BV136" i="17"/>
  <c r="O136" i="17"/>
  <c r="CD135" i="17"/>
  <c r="AV134" i="17"/>
  <c r="CA133" i="17"/>
  <c r="BJ133" i="17"/>
  <c r="AU133" i="17"/>
  <c r="AV130" i="17"/>
  <c r="CJ117" i="17"/>
  <c r="K187" i="17"/>
  <c r="CJ180" i="17"/>
  <c r="CJ174" i="17"/>
  <c r="CJ168" i="17"/>
  <c r="CJ162" i="17"/>
  <c r="K157" i="17"/>
  <c r="CJ156" i="17"/>
  <c r="K151" i="17"/>
  <c r="AH145" i="17"/>
  <c r="Z145" i="17"/>
  <c r="T145" i="17"/>
  <c r="V145" i="17"/>
  <c r="AI144" i="17"/>
  <c r="BZ142" i="17"/>
  <c r="BS142" i="17"/>
  <c r="AL142" i="17"/>
  <c r="AC142" i="17"/>
  <c r="V142" i="17"/>
  <c r="BF141" i="17"/>
  <c r="BB141" i="17"/>
  <c r="BE141" i="17" s="1"/>
  <c r="O141" i="17"/>
  <c r="AL140" i="17"/>
  <c r="AA139" i="17"/>
  <c r="O138" i="17"/>
  <c r="AH138" i="17"/>
  <c r="BX138" i="17"/>
  <c r="CA137" i="17"/>
  <c r="R137" i="17"/>
  <c r="AK137" i="17" s="1"/>
  <c r="T137" i="17"/>
  <c r="U137" i="17"/>
  <c r="V137" i="17"/>
  <c r="BZ136" i="17"/>
  <c r="BQ136" i="17"/>
  <c r="AQ136" i="17"/>
  <c r="AC136" i="17"/>
  <c r="R136" i="17"/>
  <c r="AK136" i="17" s="1"/>
  <c r="T121" i="17"/>
  <c r="BC140" i="17"/>
  <c r="BD140" i="17" s="1"/>
  <c r="BB139" i="17"/>
  <c r="BE139" i="17" s="1"/>
  <c r="R139" i="17"/>
  <c r="AK139" i="17" s="1"/>
  <c r="AO138" i="17"/>
  <c r="K138" i="17"/>
  <c r="CJ137" i="17"/>
  <c r="BC134" i="17"/>
  <c r="BD134" i="17" s="1"/>
  <c r="AW134" i="17"/>
  <c r="AQ134" i="17"/>
  <c r="S134" i="17"/>
  <c r="T134" i="17" s="1"/>
  <c r="BB133" i="17"/>
  <c r="BE133" i="17" s="1"/>
  <c r="R133" i="17"/>
  <c r="AK133" i="17" s="1"/>
  <c r="AU132" i="17"/>
  <c r="AO132" i="17"/>
  <c r="BE132" i="17" s="1"/>
  <c r="AI132" i="17"/>
  <c r="K132" i="17"/>
  <c r="CJ131" i="17"/>
  <c r="BF131" i="17"/>
  <c r="V131" i="17"/>
  <c r="AM130" i="17"/>
  <c r="U130" i="17"/>
  <c r="O130" i="17"/>
  <c r="AU129" i="17"/>
  <c r="AO129" i="17"/>
  <c r="BE129" i="17" s="1"/>
  <c r="AH129" i="17"/>
  <c r="AA129" i="17"/>
  <c r="BX128" i="17"/>
  <c r="AO128" i="17"/>
  <c r="BE128" i="17" s="1"/>
  <c r="AW128" i="17"/>
  <c r="X128" i="17"/>
  <c r="S128" i="17"/>
  <c r="T128" i="17" s="1"/>
  <c r="BX127" i="17"/>
  <c r="CA127" i="17"/>
  <c r="AM126" i="17"/>
  <c r="AO126" i="17"/>
  <c r="BE126" i="17" s="1"/>
  <c r="BJ125" i="17"/>
  <c r="AU125" i="17"/>
  <c r="AA125" i="17"/>
  <c r="AH124" i="17"/>
  <c r="BX124" i="17"/>
  <c r="BC123" i="17"/>
  <c r="BD123" i="17" s="1"/>
  <c r="AU123" i="17"/>
  <c r="V123" i="17"/>
  <c r="K123" i="17"/>
  <c r="CJ122" i="17"/>
  <c r="BN122" i="17"/>
  <c r="AI122" i="17"/>
  <c r="AW122" i="17"/>
  <c r="O122" i="17"/>
  <c r="BQ118" i="17"/>
  <c r="AW118" i="17"/>
  <c r="R118" i="17"/>
  <c r="AK118" i="17" s="1"/>
  <c r="K118" i="17"/>
  <c r="Z117" i="17"/>
  <c r="AA117" i="17"/>
  <c r="N117" i="17"/>
  <c r="O117" i="17"/>
  <c r="BS116" i="17"/>
  <c r="AM116" i="17"/>
  <c r="T116" i="17"/>
  <c r="BQ114" i="17"/>
  <c r="BH113" i="17"/>
  <c r="AW113" i="17"/>
  <c r="R113" i="17"/>
  <c r="AK113" i="17" s="1"/>
  <c r="BJ111" i="17"/>
  <c r="AU111" i="17"/>
  <c r="BC111" i="17"/>
  <c r="BD111" i="17" s="1"/>
  <c r="AW108" i="17"/>
  <c r="O108" i="17"/>
  <c r="N108" i="17"/>
  <c r="AU107" i="17"/>
  <c r="BJ107" i="17"/>
  <c r="BC107" i="17"/>
  <c r="BD107" i="17" s="1"/>
  <c r="AE104" i="17"/>
  <c r="AF104" i="17"/>
  <c r="AS99" i="17"/>
  <c r="AV99" i="17" s="1"/>
  <c r="AW99" i="17"/>
  <c r="K139" i="17"/>
  <c r="BC135" i="17"/>
  <c r="BD135" i="17" s="1"/>
  <c r="S135" i="17"/>
  <c r="T135" i="17" s="1"/>
  <c r="AI133" i="17"/>
  <c r="K133" i="17"/>
  <c r="CJ132" i="17"/>
  <c r="BX132" i="17"/>
  <c r="AT132" i="17"/>
  <c r="AH132" i="17"/>
  <c r="AA131" i="17"/>
  <c r="U131" i="17"/>
  <c r="O131" i="17"/>
  <c r="BV130" i="17"/>
  <c r="BP130" i="17"/>
  <c r="BJ130" i="17"/>
  <c r="AL130" i="17"/>
  <c r="AF130" i="17"/>
  <c r="Z130" i="17"/>
  <c r="CA129" i="17"/>
  <c r="AT129" i="17"/>
  <c r="K129" i="17"/>
  <c r="CJ128" i="17"/>
  <c r="AE128" i="17"/>
  <c r="AF128" i="17"/>
  <c r="AW126" i="17"/>
  <c r="AL125" i="17"/>
  <c r="AK124" i="17"/>
  <c r="AW124" i="17"/>
  <c r="K124" i="17"/>
  <c r="CJ123" i="17"/>
  <c r="S123" i="17"/>
  <c r="AQ122" i="17"/>
  <c r="AE122" i="17"/>
  <c r="AF122" i="17"/>
  <c r="AH121" i="17"/>
  <c r="AW121" i="17"/>
  <c r="V121" i="17"/>
  <c r="R121" i="17"/>
  <c r="AK121" i="17" s="1"/>
  <c r="S121" i="17"/>
  <c r="K121" i="17"/>
  <c r="BE120" i="17"/>
  <c r="V120" i="17"/>
  <c r="AH119" i="17"/>
  <c r="AI119" i="17"/>
  <c r="BP118" i="17"/>
  <c r="BJ118" i="17"/>
  <c r="BC118" i="17"/>
  <c r="BD118" i="17" s="1"/>
  <c r="BF118" i="17"/>
  <c r="AS118" i="17"/>
  <c r="AV118" i="17" s="1"/>
  <c r="Z118" i="17"/>
  <c r="S118" i="17"/>
  <c r="T118" i="17" s="1"/>
  <c r="V118" i="17"/>
  <c r="AK116" i="17"/>
  <c r="AL116" i="17"/>
  <c r="Z114" i="17"/>
  <c r="BB114" i="17"/>
  <c r="BE114" i="17" s="1"/>
  <c r="BH114" i="17"/>
  <c r="BN114" i="17"/>
  <c r="AV114" i="17" s="1"/>
  <c r="BZ114" i="17"/>
  <c r="BP113" i="17"/>
  <c r="BF112" i="17"/>
  <c r="BB112" i="17"/>
  <c r="BE112" i="17" s="1"/>
  <c r="BC112" i="17"/>
  <c r="BD112" i="17" s="1"/>
  <c r="X111" i="17"/>
  <c r="AA111" i="17"/>
  <c r="CI109" i="17"/>
  <c r="AH109" i="17"/>
  <c r="AI109" i="17"/>
  <c r="AW109" i="17"/>
  <c r="N100" i="17"/>
  <c r="O100" i="17"/>
  <c r="CJ119" i="17"/>
  <c r="BC142" i="17"/>
  <c r="BD142" i="17" s="1"/>
  <c r="AW142" i="17"/>
  <c r="K140" i="17"/>
  <c r="CJ139" i="17"/>
  <c r="V139" i="17"/>
  <c r="U138" i="17"/>
  <c r="BC136" i="17"/>
  <c r="BD136" i="17" s="1"/>
  <c r="AW136" i="17"/>
  <c r="BB135" i="17"/>
  <c r="BE135" i="17" s="1"/>
  <c r="R135" i="17"/>
  <c r="AK135" i="17" s="1"/>
  <c r="AO134" i="17"/>
  <c r="BE134" i="17" s="1"/>
  <c r="K134" i="17"/>
  <c r="CJ133" i="17"/>
  <c r="V133" i="17"/>
  <c r="U132" i="17"/>
  <c r="O132" i="17"/>
  <c r="AL131" i="17"/>
  <c r="T131" i="17"/>
  <c r="AW130" i="17"/>
  <c r="BF129" i="17"/>
  <c r="T129" i="17"/>
  <c r="AT128" i="17"/>
  <c r="V128" i="17"/>
  <c r="AH127" i="17"/>
  <c r="AW127" i="17"/>
  <c r="AA127" i="17"/>
  <c r="V127" i="17"/>
  <c r="R127" i="17"/>
  <c r="AK127" i="17" s="1"/>
  <c r="S127" i="17"/>
  <c r="T127" i="17" s="1"/>
  <c r="CJ126" i="17"/>
  <c r="AU126" i="17"/>
  <c r="AT126" i="17"/>
  <c r="V126" i="17"/>
  <c r="N126" i="17"/>
  <c r="AQ125" i="17"/>
  <c r="AH125" i="17"/>
  <c r="AI125" i="17"/>
  <c r="BP124" i="17"/>
  <c r="BJ124" i="17"/>
  <c r="BC124" i="17"/>
  <c r="BD124" i="17" s="1"/>
  <c r="BF124" i="17"/>
  <c r="AS124" i="17"/>
  <c r="Z124" i="17"/>
  <c r="S124" i="17"/>
  <c r="T124" i="17" s="1"/>
  <c r="V124" i="17"/>
  <c r="R123" i="17"/>
  <c r="AK123" i="17" s="1"/>
  <c r="T123" i="17"/>
  <c r="BS122" i="17"/>
  <c r="AO122" i="17"/>
  <c r="AC122" i="17"/>
  <c r="U122" i="17"/>
  <c r="AV121" i="17"/>
  <c r="AU121" i="17"/>
  <c r="CI120" i="17"/>
  <c r="AE119" i="17"/>
  <c r="O119" i="17"/>
  <c r="AQ118" i="17"/>
  <c r="AT118" i="17"/>
  <c r="U118" i="17"/>
  <c r="CA117" i="17"/>
  <c r="AU117" i="17"/>
  <c r="BJ117" i="17"/>
  <c r="V117" i="17"/>
  <c r="BZ116" i="17"/>
  <c r="BQ116" i="17"/>
  <c r="BD116" i="17"/>
  <c r="AS116" i="17"/>
  <c r="AH116" i="17"/>
  <c r="AI116" i="17"/>
  <c r="AW116" i="17"/>
  <c r="O116" i="17"/>
  <c r="AU115" i="17"/>
  <c r="AA115" i="17"/>
  <c r="X115" i="17"/>
  <c r="BX114" i="17"/>
  <c r="AS114" i="17"/>
  <c r="AH114" i="17"/>
  <c r="BZ113" i="17"/>
  <c r="BN113" i="17"/>
  <c r="BB113" i="17"/>
  <c r="BE113" i="17" s="1"/>
  <c r="AS113" i="17"/>
  <c r="Z113" i="17"/>
  <c r="AA113" i="17"/>
  <c r="CA110" i="17"/>
  <c r="BX110" i="17"/>
  <c r="AS106" i="17"/>
  <c r="AU106" i="17"/>
  <c r="AL100" i="17"/>
  <c r="AW100" i="17"/>
  <c r="BE95" i="17"/>
  <c r="K135" i="17"/>
  <c r="BV132" i="17"/>
  <c r="BP132" i="17"/>
  <c r="BJ132" i="17"/>
  <c r="AL132" i="17"/>
  <c r="AF132" i="17"/>
  <c r="Z132" i="17"/>
  <c r="BC131" i="17"/>
  <c r="BD131" i="17" s="1"/>
  <c r="S131" i="17"/>
  <c r="AF129" i="17"/>
  <c r="AK128" i="17"/>
  <c r="AL128" i="17"/>
  <c r="U128" i="17"/>
  <c r="AU127" i="17"/>
  <c r="AQ124" i="17"/>
  <c r="AT124" i="17"/>
  <c r="Z122" i="17"/>
  <c r="BJ122" i="17"/>
  <c r="BP122" i="17"/>
  <c r="BV122" i="17"/>
  <c r="AO117" i="17"/>
  <c r="BE117" i="17" s="1"/>
  <c r="AM117" i="17"/>
  <c r="AE116" i="17"/>
  <c r="AF116" i="17"/>
  <c r="R112" i="17"/>
  <c r="K111" i="17"/>
  <c r="CJ110" i="17"/>
  <c r="AU110" i="17"/>
  <c r="AS110" i="17"/>
  <c r="AV110" i="17" s="1"/>
  <c r="AT110" i="17"/>
  <c r="S110" i="17"/>
  <c r="T110" i="17" s="1"/>
  <c r="U110" i="17"/>
  <c r="V110" i="17"/>
  <c r="CA109" i="17"/>
  <c r="BV109" i="17"/>
  <c r="AO108" i="17"/>
  <c r="AM108" i="17"/>
  <c r="AV106" i="17"/>
  <c r="AS103" i="17"/>
  <c r="AT103" i="17"/>
  <c r="AU103" i="17"/>
  <c r="K142" i="17"/>
  <c r="CJ135" i="17"/>
  <c r="K130" i="17"/>
  <c r="CJ129" i="17"/>
  <c r="AQ129" i="17"/>
  <c r="AL129" i="17"/>
  <c r="V129" i="17"/>
  <c r="O129" i="17"/>
  <c r="AI128" i="17"/>
  <c r="Z128" i="17"/>
  <c r="BJ128" i="17"/>
  <c r="CD127" i="17"/>
  <c r="AS127" i="17"/>
  <c r="AV127" i="17" s="1"/>
  <c r="Z126" i="17"/>
  <c r="S126" i="17"/>
  <c r="T126" i="17" s="1"/>
  <c r="CD125" i="17"/>
  <c r="BC125" i="17"/>
  <c r="BD125" i="17" s="1"/>
  <c r="AW125" i="17"/>
  <c r="AF125" i="17"/>
  <c r="BN124" i="17"/>
  <c r="BH124" i="17"/>
  <c r="AO124" i="17"/>
  <c r="BE124" i="17" s="1"/>
  <c r="AF124" i="17"/>
  <c r="X124" i="17"/>
  <c r="Z123" i="17"/>
  <c r="AA123" i="17"/>
  <c r="N123" i="17"/>
  <c r="O123" i="17"/>
  <c r="BD122" i="17"/>
  <c r="AT122" i="17"/>
  <c r="AK122" i="17"/>
  <c r="AL122" i="17"/>
  <c r="T122" i="17"/>
  <c r="BF121" i="17"/>
  <c r="BB121" i="17"/>
  <c r="BE121" i="17" s="1"/>
  <c r="BC121" i="17"/>
  <c r="BD121" i="17" s="1"/>
  <c r="CA119" i="17"/>
  <c r="AC119" i="17"/>
  <c r="AO119" i="17"/>
  <c r="BE119" i="17" s="1"/>
  <c r="AM118" i="17"/>
  <c r="AE118" i="17"/>
  <c r="O118" i="17"/>
  <c r="BX116" i="17"/>
  <c r="CA116" i="17"/>
  <c r="AT116" i="17"/>
  <c r="AQ116" i="17"/>
  <c r="AC116" i="17"/>
  <c r="BF115" i="17"/>
  <c r="BB115" i="17"/>
  <c r="BE115" i="17" s="1"/>
  <c r="BC115" i="17"/>
  <c r="BD115" i="17" s="1"/>
  <c r="U115" i="17"/>
  <c r="V115" i="17"/>
  <c r="R115" i="17"/>
  <c r="AK115" i="17" s="1"/>
  <c r="S115" i="17"/>
  <c r="T115" i="17" s="1"/>
  <c r="K115" i="17"/>
  <c r="CJ114" i="17"/>
  <c r="BV114" i="17"/>
  <c r="AQ114" i="17"/>
  <c r="AF114" i="17"/>
  <c r="AT114" i="17"/>
  <c r="AE114" i="17"/>
  <c r="O114" i="17"/>
  <c r="BV113" i="17"/>
  <c r="AK112" i="17"/>
  <c r="AW112" i="17"/>
  <c r="AL112" i="17"/>
  <c r="AK108" i="17"/>
  <c r="AL108" i="17"/>
  <c r="BV107" i="17"/>
  <c r="CA107" i="17"/>
  <c r="AT107" i="17"/>
  <c r="AQ107" i="17"/>
  <c r="BV105" i="17"/>
  <c r="CA105" i="17"/>
  <c r="AV103" i="17"/>
  <c r="O99" i="17"/>
  <c r="N99" i="17"/>
  <c r="AV87" i="17"/>
  <c r="BF127" i="17"/>
  <c r="BB127" i="17"/>
  <c r="BE127" i="17" s="1"/>
  <c r="BC127" i="17"/>
  <c r="BD127" i="17" s="1"/>
  <c r="CA125" i="17"/>
  <c r="AC125" i="17"/>
  <c r="AO125" i="17"/>
  <c r="BE125" i="17" s="1"/>
  <c r="AM124" i="17"/>
  <c r="AE124" i="17"/>
  <c r="O124" i="17"/>
  <c r="BF123" i="17"/>
  <c r="AO123" i="17"/>
  <c r="BE123" i="17" s="1"/>
  <c r="BX122" i="17"/>
  <c r="BH122" i="17"/>
  <c r="AS122" i="17"/>
  <c r="AH122" i="17"/>
  <c r="X122" i="17"/>
  <c r="BX121" i="17"/>
  <c r="CA121" i="17"/>
  <c r="U121" i="17"/>
  <c r="AM120" i="17"/>
  <c r="AO120" i="17"/>
  <c r="BJ119" i="17"/>
  <c r="AU119" i="17"/>
  <c r="AH118" i="17"/>
  <c r="BX118" i="17"/>
  <c r="Z116" i="17"/>
  <c r="BJ116" i="17"/>
  <c r="BP116" i="17"/>
  <c r="BV116" i="17"/>
  <c r="AT115" i="17"/>
  <c r="AU114" i="17"/>
  <c r="BJ114" i="17"/>
  <c r="AU113" i="17"/>
  <c r="BC113" i="17"/>
  <c r="BD113" i="17" s="1"/>
  <c r="BJ113" i="17"/>
  <c r="K112" i="17"/>
  <c r="AM113" i="17"/>
  <c r="BS113" i="17"/>
  <c r="K117" i="17"/>
  <c r="K122" i="17"/>
  <c r="K128" i="17"/>
  <c r="K87" i="17"/>
  <c r="K92" i="17"/>
  <c r="AC113" i="17"/>
  <c r="K126" i="17"/>
  <c r="X113" i="17"/>
  <c r="AQ113" i="17"/>
  <c r="BQ113" i="17"/>
  <c r="K119" i="17"/>
  <c r="K125" i="17"/>
  <c r="K91" i="17"/>
  <c r="AE110" i="17"/>
  <c r="AF110" i="17"/>
  <c r="K106" i="17"/>
  <c r="CJ105" i="17"/>
  <c r="U102" i="17"/>
  <c r="V102" i="17"/>
  <c r="S102" i="17"/>
  <c r="T102" i="17" s="1"/>
  <c r="AW103" i="17"/>
  <c r="AK101" i="17"/>
  <c r="AL101" i="17"/>
  <c r="Z101" i="17"/>
  <c r="AA101" i="17"/>
  <c r="AK97" i="17"/>
  <c r="AL97" i="17"/>
  <c r="S97" i="17"/>
  <c r="T97" i="17" s="1"/>
  <c r="U97" i="17"/>
  <c r="V97" i="17"/>
  <c r="AU96" i="17"/>
  <c r="BJ96" i="17"/>
  <c r="R96" i="17"/>
  <c r="AK96" i="17" s="1"/>
  <c r="V96" i="17"/>
  <c r="S96" i="17"/>
  <c r="T96" i="17"/>
  <c r="AO95" i="17"/>
  <c r="AM95" i="17"/>
  <c r="CA94" i="17"/>
  <c r="AF93" i="17"/>
  <c r="AK92" i="17"/>
  <c r="AO91" i="17"/>
  <c r="AM91" i="17"/>
  <c r="R91" i="17"/>
  <c r="AK91" i="17" s="1"/>
  <c r="T91" i="17"/>
  <c r="U91" i="17"/>
  <c r="CJ90" i="17"/>
  <c r="BF88" i="17"/>
  <c r="BB88" i="17"/>
  <c r="BC88" i="17"/>
  <c r="BD88" i="17" s="1"/>
  <c r="AT88" i="17"/>
  <c r="AQ88" i="17"/>
  <c r="AF88" i="17"/>
  <c r="AF87" i="17"/>
  <c r="AE87" i="17"/>
  <c r="AW87" i="17"/>
  <c r="AV82" i="17"/>
  <c r="AA80" i="17"/>
  <c r="Z80" i="17"/>
  <c r="V76" i="17"/>
  <c r="S76" i="17"/>
  <c r="T76" i="17"/>
  <c r="R76" i="17"/>
  <c r="AK76" i="17" s="1"/>
  <c r="U76" i="17"/>
  <c r="AU61" i="17"/>
  <c r="AT61" i="17"/>
  <c r="CJ62" i="17"/>
  <c r="CJ81" i="17"/>
  <c r="AS61" i="17"/>
  <c r="AV61" i="17" s="1"/>
  <c r="CJ77" i="17"/>
  <c r="CJ80" i="17"/>
  <c r="CJ65" i="17"/>
  <c r="CJ66" i="17"/>
  <c r="CJ68" i="17"/>
  <c r="CJ75" i="17"/>
  <c r="CJ82" i="17"/>
  <c r="CJ89" i="17"/>
  <c r="CJ88" i="17"/>
  <c r="CJ94" i="17"/>
  <c r="CJ100" i="17"/>
  <c r="CJ96" i="17"/>
  <c r="CJ98" i="17"/>
  <c r="CJ101" i="17"/>
  <c r="CJ107" i="17"/>
  <c r="CJ113" i="17"/>
  <c r="CJ84" i="17"/>
  <c r="CJ106" i="17"/>
  <c r="CJ73" i="17"/>
  <c r="CJ85" i="17"/>
  <c r="CJ71" i="17"/>
  <c r="CJ78" i="17"/>
  <c r="CJ99" i="17"/>
  <c r="CJ104" i="17"/>
  <c r="CJ87" i="17"/>
  <c r="CJ97" i="17"/>
  <c r="CJ103" i="17"/>
  <c r="CJ109" i="17"/>
  <c r="CJ124" i="17"/>
  <c r="CJ118" i="17"/>
  <c r="CA115" i="17"/>
  <c r="AW115" i="17"/>
  <c r="AO114" i="17"/>
  <c r="AI114" i="17"/>
  <c r="BX113" i="17"/>
  <c r="K113" i="17"/>
  <c r="CJ112" i="17"/>
  <c r="AF112" i="17"/>
  <c r="U112" i="17"/>
  <c r="S112" i="17"/>
  <c r="T112" i="17" s="1"/>
  <c r="T111" i="17"/>
  <c r="R111" i="17"/>
  <c r="AK111" i="17" s="1"/>
  <c r="BB109" i="17"/>
  <c r="BE109" i="17" s="1"/>
  <c r="BF109" i="17"/>
  <c r="R109" i="17"/>
  <c r="AK109" i="17" s="1"/>
  <c r="V109" i="17"/>
  <c r="K109" i="17"/>
  <c r="CJ108" i="17"/>
  <c r="AU108" i="17"/>
  <c r="BE108" i="17"/>
  <c r="BP107" i="17"/>
  <c r="BH107" i="17"/>
  <c r="AL107" i="17"/>
  <c r="Z107" i="17"/>
  <c r="V106" i="17"/>
  <c r="R106" i="17"/>
  <c r="Z105" i="17"/>
  <c r="AA105" i="17"/>
  <c r="N105" i="17"/>
  <c r="O105" i="17"/>
  <c r="BS104" i="17"/>
  <c r="AK104" i="17"/>
  <c r="AL104" i="17"/>
  <c r="X104" i="17"/>
  <c r="AU102" i="17"/>
  <c r="BJ102" i="17"/>
  <c r="R99" i="17"/>
  <c r="AK99" i="17" s="1"/>
  <c r="S99" i="17"/>
  <c r="T99" i="17" s="1"/>
  <c r="V99" i="17"/>
  <c r="BX98" i="17"/>
  <c r="CA98" i="17"/>
  <c r="O98" i="17"/>
  <c r="AC98" i="17"/>
  <c r="AQ98" i="17"/>
  <c r="AM98" i="17"/>
  <c r="AS98" i="17"/>
  <c r="AV98" i="17" s="1"/>
  <c r="AW97" i="17"/>
  <c r="AH97" i="17"/>
  <c r="AI97" i="17"/>
  <c r="CA95" i="17"/>
  <c r="AH94" i="17"/>
  <c r="AI94" i="17"/>
  <c r="AW94" i="17"/>
  <c r="R88" i="17"/>
  <c r="AK88" i="17" s="1"/>
  <c r="K86" i="17"/>
  <c r="AE84" i="17"/>
  <c r="AF84" i="17"/>
  <c r="K84" i="17"/>
  <c r="CJ83" i="17"/>
  <c r="AI80" i="17"/>
  <c r="AH80" i="17"/>
  <c r="AW80" i="17"/>
  <c r="CJ125" i="17"/>
  <c r="V125" i="17"/>
  <c r="K120" i="17"/>
  <c r="V119" i="17"/>
  <c r="T117" i="17"/>
  <c r="AM114" i="17"/>
  <c r="AT113" i="17"/>
  <c r="CI112" i="17"/>
  <c r="CA111" i="17"/>
  <c r="CI108" i="17"/>
  <c r="AT108" i="17"/>
  <c r="BX107" i="17"/>
  <c r="BN107" i="17"/>
  <c r="AV107" i="17" s="1"/>
  <c r="AH107" i="17"/>
  <c r="AI107" i="17"/>
  <c r="AK106" i="17"/>
  <c r="BJ105" i="17"/>
  <c r="AU105" i="17"/>
  <c r="BB104" i="17"/>
  <c r="BE104" i="17" s="1"/>
  <c r="AS104" i="17"/>
  <c r="AV104" i="17" s="1"/>
  <c r="AW104" i="17"/>
  <c r="AH104" i="17"/>
  <c r="AI104" i="17"/>
  <c r="O104" i="17"/>
  <c r="X103" i="17"/>
  <c r="AA103" i="17"/>
  <c r="Z102" i="17"/>
  <c r="AA102" i="17"/>
  <c r="BX101" i="17"/>
  <c r="CA101" i="17"/>
  <c r="N101" i="17"/>
  <c r="O101" i="17"/>
  <c r="AV100" i="17"/>
  <c r="BB98" i="17"/>
  <c r="BC98" i="17"/>
  <c r="BD98" i="17" s="1"/>
  <c r="BF98" i="17"/>
  <c r="AH98" i="17"/>
  <c r="X98" i="17"/>
  <c r="X97" i="17"/>
  <c r="AA97" i="17"/>
  <c r="AE94" i="17"/>
  <c r="AF94" i="17"/>
  <c r="AL93" i="17"/>
  <c r="K93" i="17"/>
  <c r="CJ92" i="17"/>
  <c r="Z90" i="17"/>
  <c r="AA90" i="17"/>
  <c r="AL88" i="17"/>
  <c r="Z87" i="17"/>
  <c r="AA87" i="17"/>
  <c r="AS97" i="17"/>
  <c r="AV97" i="17" s="1"/>
  <c r="AT97" i="17"/>
  <c r="BB96" i="17"/>
  <c r="BC96" i="17"/>
  <c r="BD96" i="17" s="1"/>
  <c r="BF96" i="17"/>
  <c r="Z96" i="17"/>
  <c r="AA96" i="17"/>
  <c r="AS95" i="17"/>
  <c r="AV95" i="17" s="1"/>
  <c r="AT95" i="17"/>
  <c r="AT92" i="17"/>
  <c r="AQ92" i="17"/>
  <c r="AE92" i="17"/>
  <c r="AF92" i="17"/>
  <c r="AW92" i="17"/>
  <c r="CJ91" i="17"/>
  <c r="AW91" i="17"/>
  <c r="AH91" i="17"/>
  <c r="AI91" i="17"/>
  <c r="AH89" i="17"/>
  <c r="AI89" i="17"/>
  <c r="AW89" i="17"/>
  <c r="CJ86" i="17"/>
  <c r="BC86" i="17"/>
  <c r="BD86" i="17" s="1"/>
  <c r="BB86" i="17"/>
  <c r="BE86" i="17" s="1"/>
  <c r="BF86" i="17"/>
  <c r="BF70" i="17"/>
  <c r="BB70" i="17"/>
  <c r="BE70" i="17" s="1"/>
  <c r="BC70" i="17"/>
  <c r="BD70" i="17" s="1"/>
  <c r="AH70" i="17"/>
  <c r="AI70" i="17"/>
  <c r="AW70" i="17"/>
  <c r="CJ127" i="17"/>
  <c r="CJ121" i="17"/>
  <c r="K116" i="17"/>
  <c r="CJ115" i="17"/>
  <c r="CA113" i="17"/>
  <c r="AH113" i="17"/>
  <c r="T113" i="17"/>
  <c r="AI112" i="17"/>
  <c r="V111" i="17"/>
  <c r="AW110" i="17"/>
  <c r="AI110" i="17"/>
  <c r="CD109" i="17"/>
  <c r="AV109" i="17"/>
  <c r="U109" i="17"/>
  <c r="Z108" i="17"/>
  <c r="S108" i="17"/>
  <c r="T108" i="17" s="1"/>
  <c r="CD107" i="17"/>
  <c r="BS107" i="17"/>
  <c r="AW107" i="17"/>
  <c r="AF107" i="17"/>
  <c r="BF106" i="17"/>
  <c r="BB106" i="17"/>
  <c r="BE106" i="17" s="1"/>
  <c r="BC106" i="17"/>
  <c r="BD106" i="17" s="1"/>
  <c r="AT106" i="17"/>
  <c r="AA106" i="17"/>
  <c r="AM105" i="17"/>
  <c r="AO105" i="17"/>
  <c r="BE105" i="17" s="1"/>
  <c r="S105" i="17"/>
  <c r="T105" i="17" s="1"/>
  <c r="AQ104" i="17"/>
  <c r="AT104" i="17"/>
  <c r="AC104" i="17"/>
  <c r="BB103" i="17"/>
  <c r="BE103" i="17" s="1"/>
  <c r="BC103" i="17"/>
  <c r="BD103" i="17" s="1"/>
  <c r="BF103" i="17"/>
  <c r="R103" i="17"/>
  <c r="AK103" i="17" s="1"/>
  <c r="S103" i="17"/>
  <c r="T103" i="17" s="1"/>
  <c r="U103" i="17"/>
  <c r="V103" i="17"/>
  <c r="K103" i="17"/>
  <c r="CJ102" i="17"/>
  <c r="AO102" i="17"/>
  <c r="BE102" i="17" s="1"/>
  <c r="AM102" i="17"/>
  <c r="N102" i="17"/>
  <c r="O102" i="17"/>
  <c r="S101" i="17"/>
  <c r="T101" i="17" s="1"/>
  <c r="AA100" i="17"/>
  <c r="AT99" i="17"/>
  <c r="BS98" i="17"/>
  <c r="AO98" i="17"/>
  <c r="AF98" i="17"/>
  <c r="AW98" i="17"/>
  <c r="AE98" i="17"/>
  <c r="R98" i="17"/>
  <c r="AK98" i="17" s="1"/>
  <c r="AI95" i="17"/>
  <c r="AH95" i="17"/>
  <c r="AW95" i="17"/>
  <c r="AT93" i="17"/>
  <c r="AI93" i="17"/>
  <c r="AA93" i="17"/>
  <c r="Z93" i="17"/>
  <c r="BJ92" i="17"/>
  <c r="AU92" i="17"/>
  <c r="BC92" i="17"/>
  <c r="BD92" i="17" s="1"/>
  <c r="AS91" i="17"/>
  <c r="AV91" i="17" s="1"/>
  <c r="AT91" i="17"/>
  <c r="AV89" i="17"/>
  <c r="AT89" i="17"/>
  <c r="AQ89" i="17"/>
  <c r="AE89" i="17"/>
  <c r="AF89" i="17"/>
  <c r="AU88" i="17"/>
  <c r="AI88" i="17"/>
  <c r="AE86" i="17"/>
  <c r="AF86" i="17"/>
  <c r="U86" i="17"/>
  <c r="S86" i="17"/>
  <c r="T86" i="17" s="1"/>
  <c r="CJ116" i="17"/>
  <c r="AC114" i="17"/>
  <c r="CJ111" i="17"/>
  <c r="AI108" i="17"/>
  <c r="AC107" i="17"/>
  <c r="AO107" i="17"/>
  <c r="BE107" i="17" s="1"/>
  <c r="CA104" i="17"/>
  <c r="BX104" i="17"/>
  <c r="Z104" i="17"/>
  <c r="BJ104" i="17"/>
  <c r="BP104" i="17"/>
  <c r="BV104" i="17"/>
  <c r="CI102" i="17"/>
  <c r="AT100" i="17"/>
  <c r="AI100" i="17"/>
  <c r="AQ100" i="17"/>
  <c r="AF100" i="17"/>
  <c r="AU99" i="17"/>
  <c r="BC99" i="17"/>
  <c r="BD99" i="17" s="1"/>
  <c r="BJ99" i="17"/>
  <c r="AM97" i="17"/>
  <c r="AO97" i="17"/>
  <c r="BE97" i="17" s="1"/>
  <c r="AO96" i="17"/>
  <c r="AM96" i="17"/>
  <c r="U96" i="17"/>
  <c r="K96" i="17"/>
  <c r="CJ95" i="17"/>
  <c r="AE95" i="17"/>
  <c r="AF95" i="17"/>
  <c r="BF94" i="17"/>
  <c r="BB94" i="17"/>
  <c r="BE94" i="17" s="1"/>
  <c r="BC94" i="17"/>
  <c r="BD94" i="17" s="1"/>
  <c r="V94" i="17"/>
  <c r="R94" i="17"/>
  <c r="AK94" i="17" s="1"/>
  <c r="S94" i="17"/>
  <c r="T94" i="17" s="1"/>
  <c r="U94" i="17"/>
  <c r="K94" i="17"/>
  <c r="CJ93" i="17"/>
  <c r="V91" i="17"/>
  <c r="AM88" i="17"/>
  <c r="BQ88" i="17"/>
  <c r="AC88" i="17"/>
  <c r="K97" i="17"/>
  <c r="K99" i="17"/>
  <c r="K102" i="17"/>
  <c r="K108" i="17"/>
  <c r="K114" i="17"/>
  <c r="BH88" i="17"/>
  <c r="BN88" i="17"/>
  <c r="K107" i="17"/>
  <c r="K74" i="17"/>
  <c r="K100" i="17"/>
  <c r="K105" i="17"/>
  <c r="AO88" i="17"/>
  <c r="K98" i="17"/>
  <c r="K104" i="17"/>
  <c r="K110" i="17"/>
  <c r="T83" i="17"/>
  <c r="U83" i="17"/>
  <c r="R83" i="17"/>
  <c r="AK83" i="17" s="1"/>
  <c r="S83" i="17"/>
  <c r="V83" i="17"/>
  <c r="AM75" i="17"/>
  <c r="AO75" i="17"/>
  <c r="BE75" i="17" s="1"/>
  <c r="BV74" i="17"/>
  <c r="CA74" i="17"/>
  <c r="T107" i="17"/>
  <c r="AW106" i="17"/>
  <c r="AQ106" i="17"/>
  <c r="S106" i="17"/>
  <c r="T106" i="17" s="1"/>
  <c r="R105" i="17"/>
  <c r="AK105" i="17" s="1"/>
  <c r="BX103" i="17"/>
  <c r="AH103" i="17"/>
  <c r="BC101" i="17"/>
  <c r="BD101" i="17" s="1"/>
  <c r="AW101" i="17"/>
  <c r="AH101" i="17"/>
  <c r="R100" i="17"/>
  <c r="AK100" i="17" s="1"/>
  <c r="BQ99" i="17"/>
  <c r="AQ99" i="17"/>
  <c r="U99" i="17"/>
  <c r="BV98" i="17"/>
  <c r="Z98" i="17"/>
  <c r="AQ97" i="17"/>
  <c r="AS96" i="17"/>
  <c r="AV96" i="17" s="1"/>
  <c r="BS95" i="17"/>
  <c r="S95" i="17"/>
  <c r="T95" i="17" s="1"/>
  <c r="CI93" i="17"/>
  <c r="BB93" i="17"/>
  <c r="BE93" i="17" s="1"/>
  <c r="AO93" i="17"/>
  <c r="AH93" i="17"/>
  <c r="O93" i="17"/>
  <c r="BX91" i="17"/>
  <c r="S91" i="17"/>
  <c r="AU90" i="17"/>
  <c r="AS90" i="17"/>
  <c r="AV90" i="17" s="1"/>
  <c r="AH88" i="17"/>
  <c r="Z88" i="17"/>
  <c r="K88" i="17"/>
  <c r="N87" i="17"/>
  <c r="O87" i="17"/>
  <c r="BQ86" i="17"/>
  <c r="BJ86" i="17"/>
  <c r="X86" i="17"/>
  <c r="BX85" i="17"/>
  <c r="BB85" i="17"/>
  <c r="BE85" i="17" s="1"/>
  <c r="BC85" i="17"/>
  <c r="BD85" i="17" s="1"/>
  <c r="AT84" i="17"/>
  <c r="V84" i="17"/>
  <c r="AL83" i="17"/>
  <c r="AW83" i="17"/>
  <c r="AF79" i="17"/>
  <c r="X79" i="17"/>
  <c r="AE71" i="17"/>
  <c r="AF71" i="17"/>
  <c r="U71" i="17"/>
  <c r="V71" i="17"/>
  <c r="S71" i="17"/>
  <c r="T71" i="17" s="1"/>
  <c r="AT70" i="17"/>
  <c r="AQ70" i="17"/>
  <c r="AF70" i="17"/>
  <c r="X70" i="17"/>
  <c r="AA70" i="17"/>
  <c r="N70" i="17"/>
  <c r="O70" i="17"/>
  <c r="AQ63" i="17"/>
  <c r="AI63" i="17"/>
  <c r="AT63" i="17"/>
  <c r="AL63" i="17"/>
  <c r="AI99" i="17"/>
  <c r="T98" i="17"/>
  <c r="AL92" i="17"/>
  <c r="BB91" i="17"/>
  <c r="BC91" i="17"/>
  <c r="BD91" i="17" s="1"/>
  <c r="BX88" i="17"/>
  <c r="U88" i="17"/>
  <c r="V88" i="17"/>
  <c r="CI87" i="17"/>
  <c r="AW86" i="17"/>
  <c r="O86" i="17"/>
  <c r="AS86" i="17"/>
  <c r="AV86" i="17" s="1"/>
  <c r="K90" i="17"/>
  <c r="K89" i="17"/>
  <c r="K95" i="17"/>
  <c r="K101" i="17"/>
  <c r="AK85" i="17"/>
  <c r="BX84" i="17"/>
  <c r="AW84" i="17"/>
  <c r="U84" i="17"/>
  <c r="S84" i="17"/>
  <c r="T84" i="17" s="1"/>
  <c r="AK82" i="17"/>
  <c r="AL82" i="17"/>
  <c r="X82" i="17"/>
  <c r="AA82" i="17"/>
  <c r="BX80" i="17"/>
  <c r="CA80" i="17"/>
  <c r="K79" i="17"/>
  <c r="BX76" i="17"/>
  <c r="CA76" i="17"/>
  <c r="AA75" i="17"/>
  <c r="Z75" i="17"/>
  <c r="K76" i="17"/>
  <c r="K72" i="17"/>
  <c r="BJ66" i="17"/>
  <c r="AU66" i="17"/>
  <c r="AT65" i="17"/>
  <c r="AQ65" i="17"/>
  <c r="AA84" i="17"/>
  <c r="Z84" i="17"/>
  <c r="S81" i="17"/>
  <c r="T81" i="17" s="1"/>
  <c r="U81" i="17"/>
  <c r="O80" i="17"/>
  <c r="N80" i="17"/>
  <c r="BF75" i="17"/>
  <c r="BC75" i="17"/>
  <c r="BD75" i="17" s="1"/>
  <c r="CJ54" i="17"/>
  <c r="BX106" i="17"/>
  <c r="CD100" i="17"/>
  <c r="U100" i="17"/>
  <c r="V98" i="17"/>
  <c r="AC95" i="17"/>
  <c r="AS93" i="17"/>
  <c r="AV93" i="17" s="1"/>
  <c r="AE93" i="17"/>
  <c r="X93" i="17"/>
  <c r="BP92" i="17"/>
  <c r="BH92" i="17"/>
  <c r="AO92" i="17"/>
  <c r="BE92" i="17" s="1"/>
  <c r="Z92" i="17"/>
  <c r="BC89" i="17"/>
  <c r="BD89" i="17" s="1"/>
  <c r="AS88" i="17"/>
  <c r="BZ87" i="17"/>
  <c r="AC87" i="17"/>
  <c r="R87" i="17"/>
  <c r="AK87" i="17" s="1"/>
  <c r="BV86" i="17"/>
  <c r="AM86" i="17"/>
  <c r="AC86" i="17"/>
  <c r="R86" i="17"/>
  <c r="AK86" i="17" s="1"/>
  <c r="R85" i="17"/>
  <c r="K85" i="17"/>
  <c r="AS82" i="17"/>
  <c r="AU82" i="17"/>
  <c r="AU81" i="17"/>
  <c r="BJ81" i="17"/>
  <c r="AW79" i="17"/>
  <c r="AQ78" i="17"/>
  <c r="AF78" i="17"/>
  <c r="AL78" i="17"/>
  <c r="AT78" i="17"/>
  <c r="AI78" i="17"/>
  <c r="V74" i="17"/>
  <c r="BC73" i="17"/>
  <c r="BD73" i="17" s="1"/>
  <c r="BF73" i="17"/>
  <c r="BB73" i="17"/>
  <c r="BE73" i="17" s="1"/>
  <c r="CA100" i="17"/>
  <c r="AH100" i="17"/>
  <c r="T100" i="17"/>
  <c r="AA99" i="17"/>
  <c r="BJ98" i="17"/>
  <c r="AE97" i="17"/>
  <c r="AU95" i="17"/>
  <c r="BC95" i="17"/>
  <c r="BD95" i="17" s="1"/>
  <c r="BQ93" i="17"/>
  <c r="U93" i="17"/>
  <c r="BV92" i="17"/>
  <c r="S92" i="17"/>
  <c r="T92" i="17" s="1"/>
  <c r="BF91" i="17"/>
  <c r="AA91" i="17"/>
  <c r="CD89" i="17"/>
  <c r="CI88" i="17"/>
  <c r="T88" i="17"/>
  <c r="O88" i="17"/>
  <c r="BQ87" i="17"/>
  <c r="BJ87" i="17"/>
  <c r="AS87" i="17"/>
  <c r="AL87" i="17"/>
  <c r="V87" i="17"/>
  <c r="T87" i="17"/>
  <c r="AL86" i="17"/>
  <c r="AV85" i="17"/>
  <c r="BF85" i="17"/>
  <c r="S85" i="17"/>
  <c r="T85" i="17" s="1"/>
  <c r="CA83" i="17"/>
  <c r="S82" i="17"/>
  <c r="T82" i="17" s="1"/>
  <c r="U82" i="17"/>
  <c r="V82" i="17"/>
  <c r="AK80" i="17"/>
  <c r="AL80" i="17"/>
  <c r="R78" i="17"/>
  <c r="AK78" i="17" s="1"/>
  <c r="S78" i="17"/>
  <c r="T78" i="17" s="1"/>
  <c r="V78" i="17"/>
  <c r="BX77" i="17"/>
  <c r="CA77" i="17"/>
  <c r="U75" i="17"/>
  <c r="V75" i="17"/>
  <c r="S75" i="17"/>
  <c r="T75" i="17" s="1"/>
  <c r="BJ69" i="17"/>
  <c r="AU69" i="17"/>
  <c r="CA68" i="17"/>
  <c r="BX68" i="17"/>
  <c r="AO84" i="17"/>
  <c r="BE84" i="17" s="1"/>
  <c r="O84" i="17"/>
  <c r="AA83" i="17"/>
  <c r="BX82" i="17"/>
  <c r="Z82" i="17"/>
  <c r="AH82" i="17"/>
  <c r="AO82" i="17"/>
  <c r="BJ82" i="17"/>
  <c r="BP82" i="17"/>
  <c r="BV82" i="17"/>
  <c r="CD81" i="17"/>
  <c r="AL79" i="17"/>
  <c r="BJ78" i="17"/>
  <c r="BE78" i="17"/>
  <c r="AS77" i="17"/>
  <c r="AW77" i="17"/>
  <c r="BN77" i="17"/>
  <c r="BB77" i="17"/>
  <c r="Z77" i="17"/>
  <c r="AM76" i="17"/>
  <c r="O76" i="17"/>
  <c r="BH76" i="17"/>
  <c r="BN76" i="17"/>
  <c r="AV76" i="17" s="1"/>
  <c r="X76" i="17"/>
  <c r="AE76" i="17"/>
  <c r="BB76" i="17"/>
  <c r="BE76" i="17" s="1"/>
  <c r="BV76" i="17"/>
  <c r="BX75" i="17"/>
  <c r="AM73" i="17"/>
  <c r="AO73" i="17"/>
  <c r="AF68" i="17"/>
  <c r="AE68" i="17"/>
  <c r="AW68" i="17"/>
  <c r="BC66" i="17"/>
  <c r="BD66" i="17" s="1"/>
  <c r="BQ59" i="17"/>
  <c r="AU84" i="17"/>
  <c r="AU83" i="17"/>
  <c r="K83" i="17"/>
  <c r="AT79" i="17"/>
  <c r="AI79" i="17"/>
  <c r="N79" i="17"/>
  <c r="O79" i="17"/>
  <c r="AQ77" i="17"/>
  <c r="AF77" i="17"/>
  <c r="AU76" i="17"/>
  <c r="CA71" i="17"/>
  <c r="BX71" i="17"/>
  <c r="BV69" i="17"/>
  <c r="CA69" i="17"/>
  <c r="AM69" i="17"/>
  <c r="AO69" i="17"/>
  <c r="AV67" i="17"/>
  <c r="CA65" i="17"/>
  <c r="AE65" i="17"/>
  <c r="AF65" i="17"/>
  <c r="AO64" i="17"/>
  <c r="AC64" i="17"/>
  <c r="BJ64" i="17"/>
  <c r="BP64" i="17"/>
  <c r="BV64" i="17"/>
  <c r="AS64" i="17"/>
  <c r="AV64" i="17" s="1"/>
  <c r="Z58" i="17"/>
  <c r="AA58" i="17"/>
  <c r="BC82" i="17"/>
  <c r="BD82" i="17" s="1"/>
  <c r="BB82" i="17"/>
  <c r="BE82" i="17" s="1"/>
  <c r="AF82" i="17"/>
  <c r="BB81" i="17"/>
  <c r="BE81" i="17" s="1"/>
  <c r="BC81" i="17"/>
  <c r="BD81" i="17" s="1"/>
  <c r="BF81" i="17"/>
  <c r="BX79" i="17"/>
  <c r="CA79" i="17"/>
  <c r="V79" i="17"/>
  <c r="R79" i="17"/>
  <c r="AK79" i="17" s="1"/>
  <c r="T79" i="17"/>
  <c r="U79" i="17"/>
  <c r="AT76" i="17"/>
  <c r="AQ76" i="17"/>
  <c r="AL76" i="17"/>
  <c r="R75" i="17"/>
  <c r="AH75" i="17"/>
  <c r="BH75" i="17"/>
  <c r="BN75" i="17"/>
  <c r="BV75" i="17"/>
  <c r="BV72" i="17"/>
  <c r="CA72" i="17"/>
  <c r="U72" i="17"/>
  <c r="S72" i="17"/>
  <c r="T72" i="17" s="1"/>
  <c r="AS69" i="17"/>
  <c r="AV69" i="17" s="1"/>
  <c r="AT69" i="17"/>
  <c r="K69" i="17"/>
  <c r="N68" i="17"/>
  <c r="O68" i="17"/>
  <c r="K67" i="17"/>
  <c r="R66" i="17"/>
  <c r="AK66" i="17" s="1"/>
  <c r="T66" i="17"/>
  <c r="U66" i="17"/>
  <c r="V66" i="17"/>
  <c r="K66" i="17"/>
  <c r="AL65" i="17"/>
  <c r="AK65" i="17"/>
  <c r="AW65" i="17"/>
  <c r="S65" i="17"/>
  <c r="T65" i="17" s="1"/>
  <c r="U65" i="17"/>
  <c r="V65" i="17"/>
  <c r="R62" i="17"/>
  <c r="AK62" i="17" s="1"/>
  <c r="T62" i="17"/>
  <c r="V62" i="17"/>
  <c r="BV60" i="17"/>
  <c r="CA60" i="17"/>
  <c r="AH59" i="17"/>
  <c r="BX59" i="17"/>
  <c r="K77" i="17"/>
  <c r="BB59" i="17"/>
  <c r="BE59" i="17" s="1"/>
  <c r="K62" i="17"/>
  <c r="K70" i="17"/>
  <c r="K80" i="17"/>
  <c r="K58" i="17"/>
  <c r="BJ59" i="17"/>
  <c r="BP59" i="17"/>
  <c r="K68" i="17"/>
  <c r="K73" i="17"/>
  <c r="K75" i="17"/>
  <c r="X59" i="17"/>
  <c r="BN59" i="17"/>
  <c r="AV59" i="17" s="1"/>
  <c r="K63" i="17"/>
  <c r="R59" i="17"/>
  <c r="BH59" i="17"/>
  <c r="K64" i="17"/>
  <c r="K82" i="17"/>
  <c r="AQ59" i="17"/>
  <c r="K78" i="17"/>
  <c r="K81" i="17"/>
  <c r="AE59" i="17"/>
  <c r="BD59" i="17"/>
  <c r="AV81" i="17"/>
  <c r="CD79" i="17"/>
  <c r="BD77" i="17"/>
  <c r="AO77" i="17"/>
  <c r="AI77" i="17"/>
  <c r="AE75" i="17"/>
  <c r="Z74" i="17"/>
  <c r="AA74" i="17"/>
  <c r="S74" i="17"/>
  <c r="T74" i="17" s="1"/>
  <c r="U74" i="17"/>
  <c r="AQ73" i="17"/>
  <c r="AL73" i="17"/>
  <c r="X73" i="17"/>
  <c r="AS73" i="17"/>
  <c r="AV73" i="17" s="1"/>
  <c r="N72" i="17"/>
  <c r="O72" i="17"/>
  <c r="BJ71" i="17"/>
  <c r="AC71" i="17"/>
  <c r="R71" i="17"/>
  <c r="AK71" i="17" s="1"/>
  <c r="BE69" i="17"/>
  <c r="O69" i="17"/>
  <c r="N69" i="17"/>
  <c r="AU68" i="17"/>
  <c r="AS68" i="17"/>
  <c r="R68" i="17"/>
  <c r="AK68" i="17" s="1"/>
  <c r="BN68" i="17"/>
  <c r="AV68" i="17" s="1"/>
  <c r="BZ67" i="17"/>
  <c r="BD67" i="17"/>
  <c r="AK67" i="17"/>
  <c r="V67" i="17"/>
  <c r="CI64" i="17"/>
  <c r="BE63" i="17"/>
  <c r="CD61" i="17"/>
  <c r="AS59" i="17"/>
  <c r="CJ76" i="17"/>
  <c r="CJ61" i="17"/>
  <c r="CJ69" i="17"/>
  <c r="CJ79" i="17"/>
  <c r="CJ57" i="17"/>
  <c r="CJ67" i="17"/>
  <c r="CJ72" i="17"/>
  <c r="CJ74" i="17"/>
  <c r="K71" i="17"/>
  <c r="AF83" i="17"/>
  <c r="AW82" i="17"/>
  <c r="AU77" i="17"/>
  <c r="BJ77" i="17"/>
  <c r="AM77" i="17"/>
  <c r="AF76" i="17"/>
  <c r="AK75" i="17"/>
  <c r="O75" i="17"/>
  <c r="AH74" i="17"/>
  <c r="AI74" i="17"/>
  <c r="BZ73" i="17"/>
  <c r="AT72" i="17"/>
  <c r="AU72" i="17"/>
  <c r="BP71" i="17"/>
  <c r="AW71" i="17"/>
  <c r="Z71" i="17"/>
  <c r="AA71" i="17"/>
  <c r="BC69" i="17"/>
  <c r="BD69" i="17" s="1"/>
  <c r="T69" i="17"/>
  <c r="AQ69" i="17"/>
  <c r="BX69" i="17"/>
  <c r="BH68" i="17"/>
  <c r="BQ67" i="17"/>
  <c r="AW67" i="17"/>
  <c r="AH67" i="17"/>
  <c r="AI67" i="17"/>
  <c r="S67" i="17"/>
  <c r="T67" i="17" s="1"/>
  <c r="U67" i="17"/>
  <c r="AI65" i="17"/>
  <c r="BF64" i="17"/>
  <c r="BB64" i="17"/>
  <c r="BE64" i="17" s="1"/>
  <c r="BC64" i="17"/>
  <c r="BD64" i="17" s="1"/>
  <c r="T64" i="17"/>
  <c r="O64" i="17"/>
  <c r="U58" i="17"/>
  <c r="V58" i="17"/>
  <c r="R58" i="17"/>
  <c r="AK58" i="17" s="1"/>
  <c r="S58" i="17"/>
  <c r="T58" i="17" s="1"/>
  <c r="AE82" i="17"/>
  <c r="V81" i="17"/>
  <c r="AU80" i="17"/>
  <c r="BC80" i="17"/>
  <c r="BD80" i="17" s="1"/>
  <c r="BQ78" i="17"/>
  <c r="U78" i="17"/>
  <c r="BV77" i="17"/>
  <c r="BQ75" i="17"/>
  <c r="AW75" i="17"/>
  <c r="AW74" i="17"/>
  <c r="CA73" i="17"/>
  <c r="BX73" i="17"/>
  <c r="BP73" i="17"/>
  <c r="BJ73" i="17"/>
  <c r="O73" i="17"/>
  <c r="AV72" i="17"/>
  <c r="N71" i="17"/>
  <c r="O71" i="17"/>
  <c r="AK70" i="17"/>
  <c r="AL70" i="17"/>
  <c r="BP69" i="17"/>
  <c r="AH69" i="17"/>
  <c r="Z69" i="17"/>
  <c r="R69" i="17"/>
  <c r="AK69" i="17" s="1"/>
  <c r="AH68" i="17"/>
  <c r="AO67" i="17"/>
  <c r="BE67" i="17" s="1"/>
  <c r="AE67" i="17"/>
  <c r="BX66" i="17"/>
  <c r="AO66" i="17"/>
  <c r="S66" i="17"/>
  <c r="BJ65" i="17"/>
  <c r="AO65" i="17"/>
  <c r="BE65" i="17" s="1"/>
  <c r="AM65" i="17"/>
  <c r="BX64" i="17"/>
  <c r="AH64" i="17"/>
  <c r="AI64" i="17"/>
  <c r="AW64" i="17"/>
  <c r="CJ63" i="17"/>
  <c r="AO63" i="17"/>
  <c r="AM62" i="17"/>
  <c r="AO62" i="17"/>
  <c r="S62" i="17"/>
  <c r="U62" i="17"/>
  <c r="AU60" i="17"/>
  <c r="BJ60" i="17"/>
  <c r="BC60" i="17"/>
  <c r="BD60" i="17" s="1"/>
  <c r="AM59" i="17"/>
  <c r="Z59" i="17"/>
  <c r="AH72" i="17"/>
  <c r="AI72" i="17"/>
  <c r="R72" i="17"/>
  <c r="AK72" i="17" s="1"/>
  <c r="V72" i="17"/>
  <c r="BB71" i="17"/>
  <c r="BE71" i="17" s="1"/>
  <c r="BH71" i="17"/>
  <c r="BN71" i="17"/>
  <c r="AV71" i="17" s="1"/>
  <c r="AH71" i="17"/>
  <c r="BV71" i="17"/>
  <c r="BJ67" i="17"/>
  <c r="BP67" i="17"/>
  <c r="BV67" i="17"/>
  <c r="O67" i="17"/>
  <c r="BB66" i="17"/>
  <c r="BF66" i="17"/>
  <c r="Z66" i="17"/>
  <c r="AA66" i="17"/>
  <c r="BC65" i="17"/>
  <c r="BD65" i="17" s="1"/>
  <c r="V64" i="17"/>
  <c r="U64" i="17"/>
  <c r="AO61" i="17"/>
  <c r="BE61" i="17" s="1"/>
  <c r="AM61" i="17"/>
  <c r="AK59" i="17"/>
  <c r="AL59" i="17"/>
  <c r="AW59" i="17"/>
  <c r="K61" i="17"/>
  <c r="AE63" i="17"/>
  <c r="AF63" i="17"/>
  <c r="AI61" i="17"/>
  <c r="AW61" i="17"/>
  <c r="CD60" i="17"/>
  <c r="AH60" i="17"/>
  <c r="AI60" i="17"/>
  <c r="CI59" i="17"/>
  <c r="BS59" i="17"/>
  <c r="AT59" i="17"/>
  <c r="AF59" i="17"/>
  <c r="BF58" i="17"/>
  <c r="BB58" i="17"/>
  <c r="BE58" i="17" s="1"/>
  <c r="N58" i="17"/>
  <c r="O58" i="17"/>
  <c r="AK49" i="17"/>
  <c r="BE42" i="17"/>
  <c r="BE36" i="17"/>
  <c r="AE73" i="17"/>
  <c r="AU71" i="17"/>
  <c r="BC71" i="17"/>
  <c r="BD71" i="17" s="1"/>
  <c r="BQ69" i="17"/>
  <c r="U69" i="17"/>
  <c r="BV68" i="17"/>
  <c r="Z68" i="17"/>
  <c r="AQ67" i="17"/>
  <c r="AT64" i="17"/>
  <c r="BV63" i="17"/>
  <c r="AK63" i="17"/>
  <c r="AW63" i="17"/>
  <c r="BB62" i="17"/>
  <c r="BC62" i="17"/>
  <c r="BD62" i="17" s="1"/>
  <c r="AQ57" i="17"/>
  <c r="AF57" i="17"/>
  <c r="AT57" i="17"/>
  <c r="AI57" i="17"/>
  <c r="BE56" i="17"/>
  <c r="K51" i="17"/>
  <c r="AC77" i="17"/>
  <c r="AS75" i="17"/>
  <c r="AU74" i="17"/>
  <c r="AK73" i="17"/>
  <c r="S73" i="17"/>
  <c r="T73" i="17" s="1"/>
  <c r="AO71" i="17"/>
  <c r="AI71" i="17"/>
  <c r="BX70" i="17"/>
  <c r="T68" i="17"/>
  <c r="AV66" i="17"/>
  <c r="CD64" i="17"/>
  <c r="AS63" i="17"/>
  <c r="AV63" i="17" s="1"/>
  <c r="AA63" i="17"/>
  <c r="S63" i="17"/>
  <c r="T63" i="17" s="1"/>
  <c r="U63" i="17"/>
  <c r="V61" i="17"/>
  <c r="AU59" i="17"/>
  <c r="AC59" i="17"/>
  <c r="O59" i="17"/>
  <c r="CJ37" i="17"/>
  <c r="R57" i="17"/>
  <c r="AK57" i="17" s="1"/>
  <c r="AU56" i="17"/>
  <c r="AI56" i="17"/>
  <c r="K56" i="17"/>
  <c r="CJ55" i="17"/>
  <c r="BX55" i="17"/>
  <c r="BF55" i="17"/>
  <c r="AT55" i="17"/>
  <c r="AH55" i="17"/>
  <c r="AS54" i="17"/>
  <c r="AV54" i="17" s="1"/>
  <c r="AA54" i="17"/>
  <c r="U54" i="17"/>
  <c r="O54" i="17"/>
  <c r="BJ53" i="17"/>
  <c r="AL53" i="17"/>
  <c r="AF53" i="17"/>
  <c r="Z53" i="17"/>
  <c r="T53" i="17"/>
  <c r="BZ52" i="17"/>
  <c r="BS52" i="17"/>
  <c r="AT52" i="17"/>
  <c r="AM52" i="17"/>
  <c r="AF52" i="17"/>
  <c r="BC51" i="17"/>
  <c r="BD51" i="17" s="1"/>
  <c r="AW51" i="17"/>
  <c r="CI50" i="17"/>
  <c r="AW49" i="17"/>
  <c r="AI49" i="17"/>
  <c r="T49" i="17"/>
  <c r="AW48" i="17"/>
  <c r="AH48" i="17"/>
  <c r="R48" i="17"/>
  <c r="N47" i="17"/>
  <c r="AQ46" i="17"/>
  <c r="AU44" i="17"/>
  <c r="AA44" i="17"/>
  <c r="CA43" i="17"/>
  <c r="T43" i="17"/>
  <c r="AL42" i="17"/>
  <c r="AV41" i="17"/>
  <c r="AW41" i="17"/>
  <c r="U41" i="17"/>
  <c r="CA40" i="17"/>
  <c r="BS40" i="17"/>
  <c r="BB40" i="17"/>
  <c r="BE40" i="17" s="1"/>
  <c r="AK40" i="17"/>
  <c r="AC40" i="17"/>
  <c r="R40" i="17"/>
  <c r="BQ39" i="17"/>
  <c r="AU38" i="17"/>
  <c r="AA38" i="17"/>
  <c r="CA37" i="17"/>
  <c r="T37" i="17"/>
  <c r="AL36" i="17"/>
  <c r="AH34" i="17"/>
  <c r="BV34" i="17"/>
  <c r="K42" i="17"/>
  <c r="AQ34" i="17"/>
  <c r="BJ34" i="17"/>
  <c r="BP34" i="17"/>
  <c r="K52" i="17"/>
  <c r="K33" i="17"/>
  <c r="AM34" i="17"/>
  <c r="BZ34" i="17"/>
  <c r="BB34" i="17"/>
  <c r="BH34" i="17"/>
  <c r="BN34" i="17"/>
  <c r="AV34" i="17" s="1"/>
  <c r="K49" i="17"/>
  <c r="CA32" i="17"/>
  <c r="BV32" i="17"/>
  <c r="BJ31" i="17"/>
  <c r="AU31" i="17"/>
  <c r="BC31" i="17"/>
  <c r="BD31" i="17" s="1"/>
  <c r="T25" i="17"/>
  <c r="AO57" i="17"/>
  <c r="BE57" i="17" s="1"/>
  <c r="K57" i="17"/>
  <c r="CJ56" i="17"/>
  <c r="BX56" i="17"/>
  <c r="AH56" i="17"/>
  <c r="AS55" i="17"/>
  <c r="AV55" i="17" s="1"/>
  <c r="BJ54" i="17"/>
  <c r="BC53" i="17"/>
  <c r="BD53" i="17" s="1"/>
  <c r="AW53" i="17"/>
  <c r="AQ53" i="17"/>
  <c r="S53" i="17"/>
  <c r="AS52" i="17"/>
  <c r="BB51" i="17"/>
  <c r="BE51" i="17" s="1"/>
  <c r="AI51" i="17"/>
  <c r="BJ49" i="17"/>
  <c r="AU49" i="17"/>
  <c r="CA48" i="17"/>
  <c r="BX48" i="17"/>
  <c r="K48" i="17"/>
  <c r="CJ47" i="17"/>
  <c r="AI46" i="17"/>
  <c r="BX45" i="17"/>
  <c r="CA45" i="17"/>
  <c r="AT45" i="17"/>
  <c r="AQ45" i="17"/>
  <c r="AH45" i="17"/>
  <c r="AW45" i="17"/>
  <c r="CA42" i="17"/>
  <c r="BX42" i="17"/>
  <c r="AS42" i="17"/>
  <c r="AC42" i="17"/>
  <c r="AO42" i="17"/>
  <c r="CI41" i="17"/>
  <c r="AA41" i="17"/>
  <c r="N41" i="17"/>
  <c r="AU40" i="17"/>
  <c r="BJ40" i="17"/>
  <c r="AA40" i="17"/>
  <c r="Z40" i="17"/>
  <c r="BX39" i="17"/>
  <c r="CA39" i="17"/>
  <c r="AT39" i="17"/>
  <c r="AQ39" i="17"/>
  <c r="AH39" i="17"/>
  <c r="AW39" i="17"/>
  <c r="X39" i="17"/>
  <c r="CA36" i="17"/>
  <c r="BX36" i="17"/>
  <c r="AS36" i="17"/>
  <c r="AC36" i="17"/>
  <c r="AO36" i="17"/>
  <c r="CI35" i="17"/>
  <c r="BC33" i="17"/>
  <c r="BD33" i="17" s="1"/>
  <c r="BJ33" i="17"/>
  <c r="BC54" i="17"/>
  <c r="BD54" i="17" s="1"/>
  <c r="K53" i="17"/>
  <c r="CJ52" i="17"/>
  <c r="K50" i="17"/>
  <c r="CJ49" i="17"/>
  <c r="AM49" i="17"/>
  <c r="V49" i="17"/>
  <c r="S48" i="17"/>
  <c r="T48" i="17" s="1"/>
  <c r="AU46" i="17"/>
  <c r="BJ46" i="17"/>
  <c r="AF45" i="17"/>
  <c r="AE45" i="17"/>
  <c r="BC44" i="17"/>
  <c r="BD44" i="17" s="1"/>
  <c r="BB44" i="17"/>
  <c r="AW44" i="17"/>
  <c r="AS44" i="17"/>
  <c r="AV44" i="17" s="1"/>
  <c r="BJ43" i="17"/>
  <c r="AU43" i="17"/>
  <c r="AI42" i="17"/>
  <c r="AW42" i="17"/>
  <c r="AH42" i="17"/>
  <c r="BF41" i="17"/>
  <c r="BB41" i="17"/>
  <c r="BE41" i="17" s="1"/>
  <c r="AT41" i="17"/>
  <c r="AS41" i="17"/>
  <c r="AF39" i="17"/>
  <c r="AE39" i="17"/>
  <c r="BC38" i="17"/>
  <c r="BD38" i="17" s="1"/>
  <c r="BB38" i="17"/>
  <c r="BE38" i="17" s="1"/>
  <c r="AW38" i="17"/>
  <c r="AS38" i="17"/>
  <c r="AV38" i="17" s="1"/>
  <c r="BJ37" i="17"/>
  <c r="AU37" i="17"/>
  <c r="AI36" i="17"/>
  <c r="AW36" i="17"/>
  <c r="AH36" i="17"/>
  <c r="CJ23" i="17"/>
  <c r="CJ70" i="17"/>
  <c r="K65" i="17"/>
  <c r="CJ64" i="17"/>
  <c r="BB60" i="17"/>
  <c r="BE60" i="17" s="1"/>
  <c r="R60" i="17"/>
  <c r="AK60" i="17" s="1"/>
  <c r="AO59" i="17"/>
  <c r="K59" i="17"/>
  <c r="CJ58" i="17"/>
  <c r="U57" i="17"/>
  <c r="BJ56" i="17"/>
  <c r="T56" i="17"/>
  <c r="AW55" i="17"/>
  <c r="BB54" i="17"/>
  <c r="BE54" i="17" s="1"/>
  <c r="R54" i="17"/>
  <c r="AK54" i="17" s="1"/>
  <c r="AI53" i="17"/>
  <c r="AC52" i="17"/>
  <c r="AF51" i="17"/>
  <c r="S51" i="17"/>
  <c r="T51" i="17" s="1"/>
  <c r="BC50" i="17"/>
  <c r="BD50" i="17" s="1"/>
  <c r="AU50" i="17"/>
  <c r="BN49" i="17"/>
  <c r="AV49" i="17" s="1"/>
  <c r="AS49" i="17"/>
  <c r="AC49" i="17"/>
  <c r="U49" i="17"/>
  <c r="BC48" i="17"/>
  <c r="BD48" i="17" s="1"/>
  <c r="BF48" i="17"/>
  <c r="AC48" i="17"/>
  <c r="O48" i="17"/>
  <c r="AW47" i="17"/>
  <c r="AO47" i="17"/>
  <c r="K47" i="17"/>
  <c r="CJ46" i="17"/>
  <c r="BP46" i="17"/>
  <c r="AM46" i="17"/>
  <c r="AF46" i="17"/>
  <c r="V46" i="17"/>
  <c r="O46" i="17"/>
  <c r="N46" i="17"/>
  <c r="T44" i="17"/>
  <c r="K44" i="17"/>
  <c r="CJ43" i="17"/>
  <c r="U43" i="17"/>
  <c r="BN42" i="17"/>
  <c r="BH42" i="17"/>
  <c r="AQ42" i="17"/>
  <c r="AT42" i="17"/>
  <c r="X42" i="17"/>
  <c r="BX40" i="17"/>
  <c r="BN40" i="17"/>
  <c r="AV40" i="17" s="1"/>
  <c r="AI40" i="17"/>
  <c r="O40" i="17"/>
  <c r="N40" i="17"/>
  <c r="T38" i="17"/>
  <c r="K38" i="17"/>
  <c r="U37" i="17"/>
  <c r="BN36" i="17"/>
  <c r="BH36" i="17"/>
  <c r="AQ36" i="17"/>
  <c r="AT36" i="17"/>
  <c r="X36" i="17"/>
  <c r="BQ34" i="17"/>
  <c r="K60" i="17"/>
  <c r="CJ59" i="17"/>
  <c r="BQ58" i="17"/>
  <c r="AS58" i="17"/>
  <c r="AV58" i="17" s="1"/>
  <c r="AM58" i="17"/>
  <c r="AL57" i="17"/>
  <c r="K54" i="17"/>
  <c r="CJ53" i="17"/>
  <c r="V53" i="17"/>
  <c r="O53" i="17"/>
  <c r="AU52" i="17"/>
  <c r="BC52" i="17"/>
  <c r="BD52" i="17" s="1"/>
  <c r="AW52" i="17"/>
  <c r="AH52" i="17"/>
  <c r="AA52" i="17"/>
  <c r="O52" i="17"/>
  <c r="AL51" i="17"/>
  <c r="R51" i="17"/>
  <c r="AK51" i="17" s="1"/>
  <c r="BE50" i="17"/>
  <c r="AT50" i="17"/>
  <c r="AA50" i="17"/>
  <c r="AL49" i="17"/>
  <c r="BN48" i="17"/>
  <c r="AV48" i="17" s="1"/>
  <c r="AK48" i="17"/>
  <c r="U48" i="17"/>
  <c r="BC47" i="17"/>
  <c r="BD47" i="17" s="1"/>
  <c r="AU47" i="17"/>
  <c r="U46" i="17"/>
  <c r="Z45" i="17"/>
  <c r="BJ45" i="17"/>
  <c r="BP45" i="17"/>
  <c r="BV45" i="17"/>
  <c r="BS42" i="17"/>
  <c r="AE42" i="17"/>
  <c r="O42" i="17"/>
  <c r="K41" i="17"/>
  <c r="CJ40" i="17"/>
  <c r="V40" i="17"/>
  <c r="Z39" i="17"/>
  <c r="BJ39" i="17"/>
  <c r="BP39" i="17"/>
  <c r="BV39" i="17"/>
  <c r="BS36" i="17"/>
  <c r="AE36" i="17"/>
  <c r="O36" i="17"/>
  <c r="AV35" i="17"/>
  <c r="AE33" i="17"/>
  <c r="AF33" i="17"/>
  <c r="CJ60" i="17"/>
  <c r="AW57" i="17"/>
  <c r="AO55" i="17"/>
  <c r="BE55" i="17" s="1"/>
  <c r="K55" i="17"/>
  <c r="U53" i="17"/>
  <c r="BN52" i="17"/>
  <c r="BH52" i="17"/>
  <c r="BB52" i="17"/>
  <c r="BE52" i="17" s="1"/>
  <c r="AO52" i="17"/>
  <c r="AQ51" i="17"/>
  <c r="CJ50" i="17"/>
  <c r="N50" i="17"/>
  <c r="CA49" i="17"/>
  <c r="AH49" i="17"/>
  <c r="Z49" i="17"/>
  <c r="AQ48" i="17"/>
  <c r="AT48" i="17"/>
  <c r="AI48" i="17"/>
  <c r="BE47" i="17"/>
  <c r="AT47" i="17"/>
  <c r="AA47" i="17"/>
  <c r="U47" i="17"/>
  <c r="AL46" i="17"/>
  <c r="AA46" i="17"/>
  <c r="BF45" i="17"/>
  <c r="BC45" i="17"/>
  <c r="BD45" i="17" s="1"/>
  <c r="AS45" i="17"/>
  <c r="AV45" i="17" s="1"/>
  <c r="AL45" i="17"/>
  <c r="AK45" i="17"/>
  <c r="V45" i="17"/>
  <c r="S45" i="17"/>
  <c r="T45" i="17" s="1"/>
  <c r="K45" i="17"/>
  <c r="CJ44" i="17"/>
  <c r="AO44" i="17"/>
  <c r="S44" i="17"/>
  <c r="U44" i="17"/>
  <c r="BZ42" i="17"/>
  <c r="AM42" i="17"/>
  <c r="V41" i="17"/>
  <c r="R41" i="17"/>
  <c r="AK41" i="17" s="1"/>
  <c r="BC40" i="17"/>
  <c r="BD40" i="17" s="1"/>
  <c r="AW40" i="17"/>
  <c r="AM40" i="17"/>
  <c r="AO40" i="17"/>
  <c r="AF40" i="17"/>
  <c r="S40" i="17"/>
  <c r="T40" i="17" s="1"/>
  <c r="BZ39" i="17"/>
  <c r="BF39" i="17"/>
  <c r="BC39" i="17"/>
  <c r="BD39" i="17" s="1"/>
  <c r="AS39" i="17"/>
  <c r="AV39" i="17" s="1"/>
  <c r="AL39" i="17"/>
  <c r="AK39" i="17"/>
  <c r="V39" i="17"/>
  <c r="S39" i="17"/>
  <c r="T39" i="17" s="1"/>
  <c r="K39" i="17"/>
  <c r="CJ38" i="17"/>
  <c r="AO38" i="17"/>
  <c r="S38" i="17"/>
  <c r="U38" i="17"/>
  <c r="BZ36" i="17"/>
  <c r="AM36" i="17"/>
  <c r="AU35" i="17"/>
  <c r="AS35" i="17"/>
  <c r="AT35" i="17"/>
  <c r="CJ48" i="17"/>
  <c r="K43" i="17"/>
  <c r="CJ42" i="17"/>
  <c r="BF42" i="17"/>
  <c r="K37" i="17"/>
  <c r="CJ36" i="17"/>
  <c r="BF36" i="17"/>
  <c r="AH35" i="17"/>
  <c r="U35" i="17"/>
  <c r="N35" i="17"/>
  <c r="CA34" i="17"/>
  <c r="AO34" i="17"/>
  <c r="AI34" i="17"/>
  <c r="Z34" i="17"/>
  <c r="N34" i="17"/>
  <c r="AH33" i="17"/>
  <c r="AW33" i="17"/>
  <c r="N32" i="17"/>
  <c r="CA31" i="17"/>
  <c r="T31" i="17"/>
  <c r="AL30" i="17"/>
  <c r="AW29" i="17"/>
  <c r="U29" i="17"/>
  <c r="CA28" i="17"/>
  <c r="BE28" i="17"/>
  <c r="AU28" i="17"/>
  <c r="AA27" i="17"/>
  <c r="AU25" i="17"/>
  <c r="BJ25" i="17"/>
  <c r="BC25" i="17"/>
  <c r="BD25" i="17" s="1"/>
  <c r="O25" i="17"/>
  <c r="N25" i="17"/>
  <c r="BC24" i="17"/>
  <c r="BD24" i="17" s="1"/>
  <c r="BF24" i="17"/>
  <c r="BB24" i="17"/>
  <c r="BE24" i="17" s="1"/>
  <c r="O24" i="17"/>
  <c r="AC24" i="17"/>
  <c r="AQ24" i="17"/>
  <c r="AS24" i="17"/>
  <c r="BQ22" i="17"/>
  <c r="AM22" i="17"/>
  <c r="BV17" i="17"/>
  <c r="CA17" i="17"/>
  <c r="BV14" i="17"/>
  <c r="CA14" i="17"/>
  <c r="BS34" i="17"/>
  <c r="V33" i="17"/>
  <c r="S33" i="17"/>
  <c r="T33" i="17" s="1"/>
  <c r="CJ32" i="17"/>
  <c r="CA30" i="17"/>
  <c r="BX30" i="17"/>
  <c r="AS30" i="17"/>
  <c r="AC30" i="17"/>
  <c r="AO30" i="17"/>
  <c r="BE30" i="17" s="1"/>
  <c r="CI29" i="17"/>
  <c r="AU29" i="17"/>
  <c r="AA29" i="17"/>
  <c r="N29" i="17"/>
  <c r="S28" i="17"/>
  <c r="T28" i="17" s="1"/>
  <c r="U28" i="17"/>
  <c r="CA27" i="17"/>
  <c r="BX27" i="17"/>
  <c r="AQ27" i="17"/>
  <c r="AT26" i="17"/>
  <c r="AI26" i="17"/>
  <c r="AQ26" i="17"/>
  <c r="AF26" i="17"/>
  <c r="AA26" i="17"/>
  <c r="AW24" i="17"/>
  <c r="AI24" i="17"/>
  <c r="K24" i="17"/>
  <c r="AS21" i="17"/>
  <c r="AV21" i="17" s="1"/>
  <c r="AT21" i="17"/>
  <c r="CJ29" i="17"/>
  <c r="CJ20" i="17"/>
  <c r="CJ33" i="17"/>
  <c r="AW21" i="17"/>
  <c r="CJ30" i="17"/>
  <c r="N20" i="17"/>
  <c r="O20" i="17"/>
  <c r="U18" i="17"/>
  <c r="S18" i="17"/>
  <c r="T18" i="17" s="1"/>
  <c r="V18" i="17"/>
  <c r="AI30" i="17"/>
  <c r="AW30" i="17"/>
  <c r="AH30" i="17"/>
  <c r="BF29" i="17"/>
  <c r="BB29" i="17"/>
  <c r="BE29" i="17" s="1"/>
  <c r="AT29" i="17"/>
  <c r="AS29" i="17"/>
  <c r="AV29" i="17" s="1"/>
  <c r="AF27" i="17"/>
  <c r="O26" i="17"/>
  <c r="N26" i="17"/>
  <c r="AF24" i="17"/>
  <c r="AE24" i="17"/>
  <c r="O15" i="17"/>
  <c r="N15" i="17"/>
  <c r="CJ51" i="17"/>
  <c r="K46" i="17"/>
  <c r="CJ45" i="17"/>
  <c r="K40" i="17"/>
  <c r="CJ39" i="17"/>
  <c r="K35" i="17"/>
  <c r="CJ34" i="17"/>
  <c r="AK34" i="17"/>
  <c r="CA33" i="17"/>
  <c r="AC33" i="17"/>
  <c r="AW32" i="17"/>
  <c r="AO32" i="17"/>
  <c r="BE32" i="17" s="1"/>
  <c r="K32" i="17"/>
  <c r="CJ31" i="17"/>
  <c r="U31" i="17"/>
  <c r="BN30" i="17"/>
  <c r="AV30" i="17" s="1"/>
  <c r="BH30" i="17"/>
  <c r="AQ30" i="17"/>
  <c r="AT30" i="17"/>
  <c r="X30" i="17"/>
  <c r="AV28" i="17"/>
  <c r="AO26" i="17"/>
  <c r="BB26" i="17"/>
  <c r="BQ26" i="17"/>
  <c r="AL23" i="17"/>
  <c r="T23" i="17"/>
  <c r="R23" i="17"/>
  <c r="AK23" i="17" s="1"/>
  <c r="V23" i="17"/>
  <c r="AO22" i="17"/>
  <c r="BE22" i="17" s="1"/>
  <c r="BH22" i="17"/>
  <c r="BN22" i="17"/>
  <c r="AV22" i="17" s="1"/>
  <c r="BV22" i="17"/>
  <c r="O22" i="17"/>
  <c r="X22" i="17"/>
  <c r="BJ22" i="17"/>
  <c r="BP22" i="17"/>
  <c r="BX22" i="17"/>
  <c r="AC22" i="17"/>
  <c r="CI21" i="17"/>
  <c r="AM20" i="17"/>
  <c r="AF20" i="17"/>
  <c r="AW20" i="17"/>
  <c r="AS17" i="17"/>
  <c r="BN17" i="17"/>
  <c r="O17" i="17"/>
  <c r="BH17" i="17"/>
  <c r="BX17" i="17"/>
  <c r="R17" i="17"/>
  <c r="AK17" i="17" s="1"/>
  <c r="BZ17" i="17"/>
  <c r="K30" i="17"/>
  <c r="K15" i="17"/>
  <c r="K21" i="17"/>
  <c r="K34" i="17"/>
  <c r="K28" i="17"/>
  <c r="K31" i="17"/>
  <c r="K16" i="17"/>
  <c r="CJ15" i="17"/>
  <c r="BE13" i="17"/>
  <c r="AW35" i="17"/>
  <c r="AC34" i="17"/>
  <c r="AK33" i="17"/>
  <c r="U33" i="17"/>
  <c r="AE30" i="17"/>
  <c r="O30" i="17"/>
  <c r="K29" i="17"/>
  <c r="CJ28" i="17"/>
  <c r="V28" i="17"/>
  <c r="AL26" i="17"/>
  <c r="V25" i="17"/>
  <c r="R25" i="17"/>
  <c r="AK25" i="17" s="1"/>
  <c r="CA24" i="17"/>
  <c r="BX24" i="17"/>
  <c r="AV24" i="17"/>
  <c r="V24" i="17"/>
  <c r="U24" i="17"/>
  <c r="AI17" i="17"/>
  <c r="AH17" i="17"/>
  <c r="V16" i="17"/>
  <c r="U16" i="17"/>
  <c r="AF14" i="17"/>
  <c r="AE14" i="17"/>
  <c r="AW14" i="17"/>
  <c r="CJ41" i="17"/>
  <c r="K36" i="17"/>
  <c r="CJ35" i="17"/>
  <c r="BC34" i="17"/>
  <c r="BD34" i="17" s="1"/>
  <c r="AT33" i="17"/>
  <c r="AQ33" i="17"/>
  <c r="AI33" i="17"/>
  <c r="U32" i="17"/>
  <c r="BZ30" i="17"/>
  <c r="AM30" i="17"/>
  <c r="V29" i="17"/>
  <c r="R29" i="17"/>
  <c r="AK29" i="17" s="1"/>
  <c r="BC28" i="17"/>
  <c r="BD28" i="17" s="1"/>
  <c r="AL27" i="17"/>
  <c r="AK27" i="17"/>
  <c r="BE25" i="17"/>
  <c r="AS25" i="17"/>
  <c r="AV25" i="17" s="1"/>
  <c r="AT25" i="17"/>
  <c r="AW25" i="17"/>
  <c r="AL25" i="17"/>
  <c r="U25" i="17"/>
  <c r="S25" i="17"/>
  <c r="CJ25" i="17"/>
  <c r="AT14" i="17"/>
  <c r="AQ14" i="17"/>
  <c r="BF30" i="17"/>
  <c r="CJ27" i="17"/>
  <c r="AH26" i="17"/>
  <c r="AA25" i="17"/>
  <c r="K25" i="17"/>
  <c r="CJ24" i="17"/>
  <c r="BJ24" i="17"/>
  <c r="CI18" i="17"/>
  <c r="AL17" i="17"/>
  <c r="O16" i="17"/>
  <c r="AC16" i="17"/>
  <c r="X16" i="17"/>
  <c r="AM16" i="17"/>
  <c r="BB16" i="17"/>
  <c r="BE16" i="17" s="1"/>
  <c r="BJ16" i="17"/>
  <c r="BP16" i="17"/>
  <c r="BV16" i="17"/>
  <c r="BF15" i="17"/>
  <c r="BB15" i="17"/>
  <c r="BE15" i="17" s="1"/>
  <c r="BC15" i="17"/>
  <c r="BD15" i="17" s="1"/>
  <c r="V15" i="17"/>
  <c r="R15" i="17"/>
  <c r="AK15" i="17" s="1"/>
  <c r="T15" i="17"/>
  <c r="AS14" i="17"/>
  <c r="BZ14" i="17"/>
  <c r="R14" i="17"/>
  <c r="AK14" i="17" s="1"/>
  <c r="BB14" i="17"/>
  <c r="BN14" i="17"/>
  <c r="AV14" i="17" s="1"/>
  <c r="BX14" i="17"/>
  <c r="BS13" i="17"/>
  <c r="AO13" i="17"/>
  <c r="AF13" i="17"/>
  <c r="AE13" i="17"/>
  <c r="T13" i="17"/>
  <c r="V13" i="17"/>
  <c r="S13" i="17"/>
  <c r="U13" i="17"/>
  <c r="BN27" i="17"/>
  <c r="AV27" i="17" s="1"/>
  <c r="BH27" i="17"/>
  <c r="AO27" i="17"/>
  <c r="BE27" i="17" s="1"/>
  <c r="AI27" i="17"/>
  <c r="BX26" i="17"/>
  <c r="K26" i="17"/>
  <c r="T24" i="17"/>
  <c r="BV23" i="17"/>
  <c r="BP23" i="17"/>
  <c r="BC23" i="17"/>
  <c r="BD23" i="17" s="1"/>
  <c r="AO23" i="17"/>
  <c r="BE23" i="17" s="1"/>
  <c r="Z23" i="17"/>
  <c r="U23" i="17"/>
  <c r="BC22" i="17"/>
  <c r="BD22" i="17" s="1"/>
  <c r="BF22" i="17"/>
  <c r="AK22" i="17"/>
  <c r="AU20" i="17"/>
  <c r="BJ20" i="17"/>
  <c r="BC20" i="17"/>
  <c r="BD20" i="17" s="1"/>
  <c r="BF19" i="17"/>
  <c r="BC19" i="17"/>
  <c r="BD19" i="17" s="1"/>
  <c r="AA18" i="17"/>
  <c r="Z18" i="17"/>
  <c r="O18" i="17"/>
  <c r="N18" i="17"/>
  <c r="CA16" i="17"/>
  <c r="BX16" i="17"/>
  <c r="BN16" i="17"/>
  <c r="AV16" i="17" s="1"/>
  <c r="AK16" i="17"/>
  <c r="AL16" i="17"/>
  <c r="Z16" i="17"/>
  <c r="AM14" i="17"/>
  <c r="AO14" i="17"/>
  <c r="BN13" i="17"/>
  <c r="AV13" i="17" s="1"/>
  <c r="AL13" i="17"/>
  <c r="R12" i="17"/>
  <c r="AK12" i="17" s="1"/>
  <c r="V12" i="17"/>
  <c r="AW22" i="17"/>
  <c r="AH22" i="17"/>
  <c r="AI22" i="17"/>
  <c r="Z20" i="17"/>
  <c r="AA20" i="17"/>
  <c r="BX19" i="17"/>
  <c r="CA19" i="17"/>
  <c r="BJ17" i="17"/>
  <c r="AU17" i="17"/>
  <c r="AT17" i="17"/>
  <c r="AQ17" i="17"/>
  <c r="T17" i="17"/>
  <c r="AW16" i="17"/>
  <c r="AH16" i="17"/>
  <c r="AI16" i="17"/>
  <c r="AU15" i="17"/>
  <c r="BJ15" i="17"/>
  <c r="AT15" i="17"/>
  <c r="AS15" i="17"/>
  <c r="AW15" i="17"/>
  <c r="CJ17" i="17"/>
  <c r="CJ21" i="17"/>
  <c r="CJ22" i="17"/>
  <c r="CJ14" i="17"/>
  <c r="BF13" i="17"/>
  <c r="BC13" i="17"/>
  <c r="BD13" i="17" s="1"/>
  <c r="Z13" i="17"/>
  <c r="BJ13" i="17"/>
  <c r="BP13" i="17"/>
  <c r="BV13" i="17"/>
  <c r="K14" i="17"/>
  <c r="K20" i="17"/>
  <c r="K17" i="17"/>
  <c r="O13" i="17"/>
  <c r="K27" i="17"/>
  <c r="BQ13" i="17"/>
  <c r="K18" i="17"/>
  <c r="K12" i="17"/>
  <c r="AC13" i="17"/>
  <c r="K22" i="17"/>
  <c r="K23" i="17"/>
  <c r="S12" i="17"/>
  <c r="T12" i="17" s="1"/>
  <c r="U12" i="17"/>
  <c r="CD26" i="17"/>
  <c r="AE22" i="17"/>
  <c r="AF22" i="17"/>
  <c r="R21" i="17"/>
  <c r="AK21" i="17" s="1"/>
  <c r="V21" i="17"/>
  <c r="AT19" i="17"/>
  <c r="AQ19" i="17"/>
  <c r="AI19" i="17"/>
  <c r="V19" i="17"/>
  <c r="S19" i="17"/>
  <c r="T19" i="17" s="1"/>
  <c r="U19" i="17"/>
  <c r="R19" i="17"/>
  <c r="AK19" i="17" s="1"/>
  <c r="K19" i="17"/>
  <c r="CJ18" i="17"/>
  <c r="BB18" i="17"/>
  <c r="BE18" i="17" s="1"/>
  <c r="BC18" i="17"/>
  <c r="BD18" i="17" s="1"/>
  <c r="AO17" i="17"/>
  <c r="BE17" i="17" s="1"/>
  <c r="AM17" i="17"/>
  <c r="U17" i="17"/>
  <c r="V17" i="17"/>
  <c r="BS16" i="17"/>
  <c r="AS16" i="17"/>
  <c r="AU16" i="17"/>
  <c r="R13" i="17"/>
  <c r="AK13" i="17" s="1"/>
  <c r="K13" i="17"/>
  <c r="CJ12" i="17"/>
  <c r="BC12" i="17"/>
  <c r="BD12" i="17" s="1"/>
  <c r="BB12" i="17"/>
  <c r="BE12" i="17" s="1"/>
  <c r="AW12" i="17"/>
  <c r="AS12" i="17"/>
  <c r="AV12" i="17" s="1"/>
  <c r="CJ13" i="17"/>
  <c r="CJ19" i="17"/>
  <c r="CJ16" i="17"/>
  <c r="AI20" i="17"/>
  <c r="AH19" i="17"/>
  <c r="AW19" i="17"/>
  <c r="BS17" i="17"/>
  <c r="Z17" i="17"/>
  <c r="AQ16" i="17"/>
  <c r="AT16" i="17"/>
  <c r="AI14" i="17"/>
  <c r="O14" i="17"/>
  <c r="N14" i="17"/>
  <c r="BP17" i="17"/>
  <c r="AF17" i="17"/>
  <c r="AE16" i="17"/>
  <c r="S16" i="17"/>
  <c r="T16" i="17" s="1"/>
  <c r="AV15" i="17"/>
  <c r="U15" i="17"/>
  <c r="BS14" i="17"/>
  <c r="AC14" i="17"/>
  <c r="BF12" i="17"/>
  <c r="AU12" i="17"/>
  <c r="CJ26" i="17"/>
  <c r="AQ22" i="17"/>
  <c r="AT22" i="17"/>
  <c r="T22" i="17"/>
  <c r="BE21" i="17"/>
  <c r="AA21" i="17"/>
  <c r="U21" i="17"/>
  <c r="AL20" i="17"/>
  <c r="CD19" i="17"/>
  <c r="AC17" i="17"/>
  <c r="BC16" i="17"/>
  <c r="BD16" i="17" s="1"/>
  <c r="BF16" i="17"/>
  <c r="AA15" i="17"/>
  <c r="BQ14" i="17"/>
  <c r="AU14" i="17"/>
  <c r="BJ14" i="17"/>
  <c r="AL14" i="17"/>
  <c r="AA14" i="17"/>
  <c r="Z14" i="17"/>
  <c r="BX13" i="17"/>
  <c r="CA13" i="17"/>
  <c r="AT13" i="17"/>
  <c r="AQ13" i="17"/>
  <c r="AH13" i="17"/>
  <c r="AW13" i="17"/>
  <c r="AT12" i="17"/>
  <c r="B15" i="15"/>
  <c r="C15" i="15"/>
  <c r="D15" i="15"/>
  <c r="E15" i="15"/>
  <c r="F15" i="15"/>
  <c r="H15" i="15"/>
  <c r="AC15" i="15" s="1"/>
  <c r="I15" i="15"/>
  <c r="J15" i="15" s="1"/>
  <c r="K15" i="15"/>
  <c r="L15" i="15"/>
  <c r="M15" i="15"/>
  <c r="O15" i="15"/>
  <c r="P15" i="15"/>
  <c r="U15" i="15"/>
  <c r="AN15" i="15" s="1"/>
  <c r="X15" i="15"/>
  <c r="DK15" i="15" s="1"/>
  <c r="AB15" i="15"/>
  <c r="AD15" i="15"/>
  <c r="AG15" i="15"/>
  <c r="AH15" i="15"/>
  <c r="AI15" i="15"/>
  <c r="AJ15" i="15"/>
  <c r="AK15" i="15"/>
  <c r="AL15" i="15"/>
  <c r="AP15" i="15"/>
  <c r="AR15" i="15"/>
  <c r="AS15" i="15"/>
  <c r="AW15" i="15"/>
  <c r="AX15" i="15"/>
  <c r="AY15" i="15"/>
  <c r="BA15" i="15" s="1"/>
  <c r="BC15" i="15"/>
  <c r="BD15" i="15" s="1"/>
  <c r="BE15" i="15"/>
  <c r="BG15" i="15"/>
  <c r="BK15" i="15"/>
  <c r="BL15" i="15"/>
  <c r="BM15" i="15"/>
  <c r="BN15" i="15" s="1"/>
  <c r="BO15" i="15"/>
  <c r="BQ15" i="15"/>
  <c r="BT15" i="15"/>
  <c r="BV15" i="15"/>
  <c r="BX15" i="15"/>
  <c r="BZ15" i="15"/>
  <c r="CA15" i="15" s="1"/>
  <c r="CC15" i="15"/>
  <c r="CD15" i="15"/>
  <c r="CI15" i="15"/>
  <c r="CL15" i="15"/>
  <c r="CN15" i="15"/>
  <c r="CT15" i="15"/>
  <c r="CV15" i="15"/>
  <c r="CX15" i="15"/>
  <c r="DA15" i="15"/>
  <c r="DB15" i="15"/>
  <c r="DD15" i="15"/>
  <c r="DG15" i="15"/>
  <c r="DI15" i="15"/>
  <c r="DJ15" i="15"/>
  <c r="DM15" i="15"/>
  <c r="DN15" i="15" s="1"/>
  <c r="DO15" i="15"/>
  <c r="DP15" i="15"/>
  <c r="DS15" i="15"/>
  <c r="DT15" i="15"/>
  <c r="DX15" i="15"/>
  <c r="DY15" i="15"/>
  <c r="EA15" i="15"/>
  <c r="EC15" i="15"/>
  <c r="B5" i="15"/>
  <c r="C5" i="15"/>
  <c r="D5" i="15"/>
  <c r="E5" i="15"/>
  <c r="F5" i="15"/>
  <c r="H5" i="15"/>
  <c r="AZ5" i="15" s="1"/>
  <c r="I5" i="15"/>
  <c r="J5" i="15" s="1"/>
  <c r="K5" i="15"/>
  <c r="L5" i="15"/>
  <c r="N5" i="15" s="1"/>
  <c r="M5" i="15"/>
  <c r="O5" i="15"/>
  <c r="P5" i="15"/>
  <c r="U5" i="15"/>
  <c r="V5" i="15" s="1"/>
  <c r="X5" i="15"/>
  <c r="DK5" i="15" s="1"/>
  <c r="AB5" i="15"/>
  <c r="AC5" i="15"/>
  <c r="AD5" i="15"/>
  <c r="AG5" i="15"/>
  <c r="AH5" i="15"/>
  <c r="AI5" i="15"/>
  <c r="AJ5" i="15"/>
  <c r="AK5" i="15"/>
  <c r="AL5" i="15"/>
  <c r="AP5" i="15"/>
  <c r="AQ5" i="15" s="1"/>
  <c r="AR5" i="15"/>
  <c r="AS5" i="15"/>
  <c r="AU5" i="15" s="1"/>
  <c r="AW5" i="15"/>
  <c r="AX5" i="15"/>
  <c r="AY5" i="15"/>
  <c r="BA5" i="15" s="1"/>
  <c r="BC5" i="15"/>
  <c r="BE5" i="15"/>
  <c r="BF5" i="15" s="1"/>
  <c r="BG5" i="15"/>
  <c r="BK5" i="15"/>
  <c r="BL5" i="15"/>
  <c r="BM5" i="15"/>
  <c r="BO5" i="15"/>
  <c r="BQ5" i="15"/>
  <c r="BR5" i="15" s="1"/>
  <c r="BT5" i="15"/>
  <c r="BU5" i="15" s="1"/>
  <c r="BV5" i="15"/>
  <c r="BW5" i="15" s="1"/>
  <c r="BX5" i="15"/>
  <c r="BY5" i="15" s="1"/>
  <c r="BZ5" i="15"/>
  <c r="CC5" i="15"/>
  <c r="CD5" i="15"/>
  <c r="CG5" i="15"/>
  <c r="CH5" i="15" s="1"/>
  <c r="CI5" i="15"/>
  <c r="CJ5" i="15" s="1"/>
  <c r="CL5" i="15"/>
  <c r="CM5" i="15" s="1"/>
  <c r="CN5" i="15"/>
  <c r="CT5" i="15"/>
  <c r="CU5" i="15" s="1"/>
  <c r="CV5" i="15"/>
  <c r="CX5" i="15"/>
  <c r="DA5" i="15"/>
  <c r="DB5" i="15"/>
  <c r="DD5" i="15"/>
  <c r="DE5" i="15"/>
  <c r="DF5" i="15" s="1"/>
  <c r="DG5" i="15"/>
  <c r="DH5" i="15" s="1"/>
  <c r="DI5" i="15"/>
  <c r="DJ5" i="15"/>
  <c r="DM5" i="15"/>
  <c r="DN5" i="15" s="1"/>
  <c r="DO5" i="15"/>
  <c r="DP5" i="15"/>
  <c r="DS5" i="15"/>
  <c r="DT5" i="15"/>
  <c r="DV5" i="15" s="1"/>
  <c r="DX5" i="15"/>
  <c r="DW5" i="15" s="1"/>
  <c r="DY5" i="15"/>
  <c r="DZ5" i="15" s="1"/>
  <c r="EA5" i="15"/>
  <c r="EC5" i="15"/>
  <c r="EB5" i="15" s="1"/>
  <c r="B11" i="15"/>
  <c r="C11" i="15"/>
  <c r="D11" i="15"/>
  <c r="E11" i="15"/>
  <c r="F11" i="15"/>
  <c r="H11" i="15"/>
  <c r="AC11" i="15" s="1"/>
  <c r="I11" i="15"/>
  <c r="J11" i="15" s="1"/>
  <c r="K11" i="15"/>
  <c r="L11" i="15"/>
  <c r="M11" i="15"/>
  <c r="O11" i="15"/>
  <c r="P11" i="15"/>
  <c r="U11" i="15"/>
  <c r="X11" i="15"/>
  <c r="DK11" i="15" s="1"/>
  <c r="AB11" i="15"/>
  <c r="AD11" i="15"/>
  <c r="AG11" i="15"/>
  <c r="AH11" i="15"/>
  <c r="AI11" i="15"/>
  <c r="AJ11" i="15"/>
  <c r="AK11" i="15"/>
  <c r="AL11" i="15"/>
  <c r="AP11" i="15"/>
  <c r="AR11" i="15"/>
  <c r="AS11" i="15"/>
  <c r="AW11" i="15"/>
  <c r="AX11" i="15"/>
  <c r="AY11" i="15"/>
  <c r="BC11" i="15"/>
  <c r="BE11" i="15"/>
  <c r="BG11" i="15"/>
  <c r="BK11" i="15"/>
  <c r="BL11" i="15"/>
  <c r="BM11" i="15"/>
  <c r="BO11" i="15"/>
  <c r="BQ11" i="15"/>
  <c r="BT11" i="15"/>
  <c r="BV11" i="15"/>
  <c r="BX11" i="15"/>
  <c r="BZ11" i="15"/>
  <c r="CC11" i="15"/>
  <c r="CD11" i="15"/>
  <c r="CI11" i="15"/>
  <c r="CL11" i="15"/>
  <c r="CN11" i="15"/>
  <c r="CR11" i="15" s="1"/>
  <c r="CT11" i="15"/>
  <c r="CV11" i="15"/>
  <c r="CX11" i="15"/>
  <c r="DA11" i="15"/>
  <c r="DB11" i="15"/>
  <c r="DD11" i="15"/>
  <c r="DG11" i="15"/>
  <c r="DI11" i="15"/>
  <c r="DJ11" i="15"/>
  <c r="DM11" i="15"/>
  <c r="DO11" i="15"/>
  <c r="DP11" i="15"/>
  <c r="DS11" i="15"/>
  <c r="DT11" i="15"/>
  <c r="DV11" i="15" s="1"/>
  <c r="DX11" i="15"/>
  <c r="DY11" i="15"/>
  <c r="EA11" i="15"/>
  <c r="EC11" i="15"/>
  <c r="B14" i="15"/>
  <c r="C14" i="15"/>
  <c r="D14" i="15"/>
  <c r="E14" i="15"/>
  <c r="F14" i="15"/>
  <c r="H14" i="15"/>
  <c r="I14" i="15"/>
  <c r="J14" i="15" s="1"/>
  <c r="K14" i="15"/>
  <c r="L14" i="15"/>
  <c r="M14" i="15"/>
  <c r="O14" i="15"/>
  <c r="P14" i="15"/>
  <c r="U14" i="15"/>
  <c r="AN14" i="15" s="1"/>
  <c r="X14" i="15"/>
  <c r="DL14" i="15" s="1"/>
  <c r="AB14" i="15"/>
  <c r="AD14" i="15"/>
  <c r="AG14" i="15"/>
  <c r="AH14" i="15"/>
  <c r="AI14" i="15"/>
  <c r="AJ14" i="15"/>
  <c r="AK14" i="15"/>
  <c r="AL14" i="15"/>
  <c r="AP14" i="15"/>
  <c r="AR14" i="15"/>
  <c r="AS14" i="15"/>
  <c r="AW14" i="15"/>
  <c r="AX14" i="15"/>
  <c r="BB14" i="15" s="1"/>
  <c r="AY14" i="15"/>
  <c r="BC14" i="15"/>
  <c r="BE14" i="15"/>
  <c r="BG14" i="15"/>
  <c r="BK14" i="15"/>
  <c r="BL14" i="15"/>
  <c r="BM14" i="15"/>
  <c r="BO14" i="15"/>
  <c r="BQ14" i="15"/>
  <c r="BT14" i="15"/>
  <c r="BV14" i="15"/>
  <c r="BX14" i="15"/>
  <c r="BY14" i="15" s="1"/>
  <c r="BZ14" i="15"/>
  <c r="CC14" i="15"/>
  <c r="CD14" i="15"/>
  <c r="CI14" i="15"/>
  <c r="CL14" i="15"/>
  <c r="CN14" i="15"/>
  <c r="CR14" i="15" s="1"/>
  <c r="CT14" i="15"/>
  <c r="CV14" i="15"/>
  <c r="CX14" i="15"/>
  <c r="DA14" i="15"/>
  <c r="DB14" i="15"/>
  <c r="DD14" i="15"/>
  <c r="DE14" i="15"/>
  <c r="DF14" i="15" s="1"/>
  <c r="DG14" i="15"/>
  <c r="DI14" i="15"/>
  <c r="DJ14" i="15"/>
  <c r="DM14" i="15"/>
  <c r="DN14" i="15" s="1"/>
  <c r="DO14" i="15"/>
  <c r="DP14" i="15"/>
  <c r="DS14" i="15"/>
  <c r="DT14" i="15"/>
  <c r="DX14" i="15"/>
  <c r="DY14" i="15"/>
  <c r="EA14" i="15"/>
  <c r="EC14" i="15"/>
  <c r="B6" i="15"/>
  <c r="C6" i="15"/>
  <c r="D6" i="15"/>
  <c r="E6" i="15"/>
  <c r="F6" i="15"/>
  <c r="H6" i="15"/>
  <c r="AZ6" i="15" s="1"/>
  <c r="I6" i="15"/>
  <c r="J6" i="15" s="1"/>
  <c r="K6" i="15"/>
  <c r="L6" i="15"/>
  <c r="M6" i="15"/>
  <c r="O6" i="15"/>
  <c r="P6" i="15"/>
  <c r="S6" i="15" s="1"/>
  <c r="U6" i="15"/>
  <c r="V6" i="15" s="1"/>
  <c r="X6" i="15"/>
  <c r="DL6" i="15" s="1"/>
  <c r="AB6" i="15"/>
  <c r="AD6" i="15"/>
  <c r="AG6" i="15"/>
  <c r="AH6" i="15"/>
  <c r="AI6" i="15"/>
  <c r="AJ6" i="15"/>
  <c r="AK6" i="15"/>
  <c r="AL6" i="15"/>
  <c r="AP6" i="15"/>
  <c r="AR6" i="15"/>
  <c r="AT6" i="15" s="1"/>
  <c r="AS6" i="15"/>
  <c r="AW6" i="15"/>
  <c r="AX6" i="15"/>
  <c r="AY6" i="15"/>
  <c r="BC6" i="15"/>
  <c r="BE6" i="15"/>
  <c r="BG6" i="15"/>
  <c r="BK6" i="15"/>
  <c r="BL6" i="15"/>
  <c r="BM6" i="15"/>
  <c r="BO6" i="15"/>
  <c r="BQ6" i="15"/>
  <c r="BT6" i="15"/>
  <c r="BV6" i="15"/>
  <c r="BX6" i="15"/>
  <c r="BY6" i="15" s="1"/>
  <c r="BZ6" i="15"/>
  <c r="CC6" i="15"/>
  <c r="CD6" i="15"/>
  <c r="CI6" i="15"/>
  <c r="CL6" i="15"/>
  <c r="CM6" i="15" s="1"/>
  <c r="CN6" i="15"/>
  <c r="CT6" i="15"/>
  <c r="CV6" i="15"/>
  <c r="CX6" i="15"/>
  <c r="DA6" i="15"/>
  <c r="DB6" i="15"/>
  <c r="DD6" i="15"/>
  <c r="DG6" i="15"/>
  <c r="DI6" i="15"/>
  <c r="DJ6" i="15"/>
  <c r="DM6" i="15"/>
  <c r="DN6" i="15" s="1"/>
  <c r="DO6" i="15"/>
  <c r="DP6" i="15"/>
  <c r="DS6" i="15"/>
  <c r="DT6" i="15"/>
  <c r="DX6" i="15"/>
  <c r="DW6" i="15" s="1"/>
  <c r="DY6" i="15"/>
  <c r="DZ6" i="15" s="1"/>
  <c r="EA6" i="15"/>
  <c r="EC6" i="15"/>
  <c r="B12" i="15"/>
  <c r="C12" i="15"/>
  <c r="D12" i="15"/>
  <c r="E12" i="15"/>
  <c r="F12" i="15"/>
  <c r="H12" i="15"/>
  <c r="I12" i="15"/>
  <c r="J12" i="15" s="1"/>
  <c r="K12" i="15"/>
  <c r="L12" i="15"/>
  <c r="M12" i="15"/>
  <c r="O12" i="15"/>
  <c r="P12" i="15"/>
  <c r="U12" i="15"/>
  <c r="V12" i="15" s="1"/>
  <c r="AO12" i="15" s="1"/>
  <c r="X12" i="15"/>
  <c r="AB12" i="15"/>
  <c r="AD12" i="15"/>
  <c r="AG12" i="15"/>
  <c r="AH12" i="15"/>
  <c r="AI12" i="15"/>
  <c r="AJ12" i="15"/>
  <c r="AK12" i="15"/>
  <c r="AL12" i="15"/>
  <c r="AP12" i="15"/>
  <c r="AR12" i="15"/>
  <c r="AV12" i="15" s="1"/>
  <c r="AS12" i="15"/>
  <c r="AW12" i="15"/>
  <c r="AX12" i="15"/>
  <c r="AY12" i="15"/>
  <c r="BC12" i="15"/>
  <c r="BE12" i="15"/>
  <c r="BG12" i="15"/>
  <c r="BK12" i="15"/>
  <c r="BL12" i="15"/>
  <c r="BM12" i="15"/>
  <c r="BO12" i="15"/>
  <c r="BQ12" i="15"/>
  <c r="BT12" i="15"/>
  <c r="BU12" i="15" s="1"/>
  <c r="BV12" i="15"/>
  <c r="BW12" i="15" s="1"/>
  <c r="BX12" i="15"/>
  <c r="BZ12" i="15"/>
  <c r="CC12" i="15"/>
  <c r="CD12" i="15"/>
  <c r="CI12" i="15"/>
  <c r="CL12" i="15"/>
  <c r="CN12" i="15"/>
  <c r="CT12" i="15"/>
  <c r="CV12" i="15"/>
  <c r="CX12" i="15"/>
  <c r="DA12" i="15"/>
  <c r="DB12" i="15"/>
  <c r="DD12" i="15"/>
  <c r="DG12" i="15"/>
  <c r="DI12" i="15"/>
  <c r="DJ12" i="15"/>
  <c r="DM12" i="15"/>
  <c r="DO12" i="15"/>
  <c r="DP12" i="15"/>
  <c r="DR12" i="15"/>
  <c r="DS12" i="15"/>
  <c r="DT12" i="15"/>
  <c r="DV12" i="15" s="1"/>
  <c r="DX12" i="15"/>
  <c r="DY12" i="15"/>
  <c r="EA12" i="15"/>
  <c r="EC12" i="15"/>
  <c r="B10" i="15"/>
  <c r="C10" i="15"/>
  <c r="D10" i="15"/>
  <c r="E10" i="15"/>
  <c r="F10" i="15"/>
  <c r="H10" i="15"/>
  <c r="DQ10" i="15" s="1"/>
  <c r="I10" i="15"/>
  <c r="J10" i="15" s="1"/>
  <c r="K10" i="15"/>
  <c r="L10" i="15"/>
  <c r="M10" i="15"/>
  <c r="O10" i="15"/>
  <c r="P10" i="15"/>
  <c r="U10" i="15"/>
  <c r="AN10" i="15" s="1"/>
  <c r="X10" i="15"/>
  <c r="AB10" i="15"/>
  <c r="AD10" i="15"/>
  <c r="AG10" i="15"/>
  <c r="AH10" i="15"/>
  <c r="AI10" i="15"/>
  <c r="AJ10" i="15"/>
  <c r="AK10" i="15"/>
  <c r="AL10" i="15"/>
  <c r="AP10" i="15"/>
  <c r="AR10" i="15"/>
  <c r="AS10" i="15"/>
  <c r="AW10" i="15"/>
  <c r="AX10" i="15"/>
  <c r="AY10" i="15"/>
  <c r="BC10" i="15"/>
  <c r="BE10" i="15"/>
  <c r="BG10" i="15"/>
  <c r="BK10" i="15"/>
  <c r="BL10" i="15"/>
  <c r="BM10" i="15"/>
  <c r="BO10" i="15"/>
  <c r="BQ10" i="15"/>
  <c r="BT10" i="15"/>
  <c r="BV10" i="15"/>
  <c r="BX10" i="15"/>
  <c r="BZ10" i="15"/>
  <c r="CC10" i="15"/>
  <c r="CD10" i="15"/>
  <c r="CI10" i="15"/>
  <c r="CL10" i="15"/>
  <c r="CN10" i="15"/>
  <c r="CT10" i="15"/>
  <c r="CV10" i="15"/>
  <c r="CX10" i="15"/>
  <c r="DA10" i="15"/>
  <c r="DB10" i="15"/>
  <c r="DD10" i="15"/>
  <c r="DG10" i="15"/>
  <c r="DI10" i="15"/>
  <c r="DJ10" i="15"/>
  <c r="DM10" i="15"/>
  <c r="DO10" i="15"/>
  <c r="DP10" i="15"/>
  <c r="DS10" i="15"/>
  <c r="DT10" i="15"/>
  <c r="DX10" i="15"/>
  <c r="DY10" i="15"/>
  <c r="EA10" i="15"/>
  <c r="EC10" i="15"/>
  <c r="B4" i="15"/>
  <c r="C4" i="15"/>
  <c r="D4" i="15"/>
  <c r="E4" i="15"/>
  <c r="F4" i="15"/>
  <c r="H4" i="15"/>
  <c r="AC4" i="15" s="1"/>
  <c r="I4" i="15"/>
  <c r="J4" i="15" s="1"/>
  <c r="K4" i="15"/>
  <c r="L4" i="15"/>
  <c r="M4" i="15"/>
  <c r="O4" i="15"/>
  <c r="P4" i="15"/>
  <c r="U4" i="15"/>
  <c r="AN4" i="15" s="1"/>
  <c r="X4" i="15"/>
  <c r="DK4" i="15" s="1"/>
  <c r="AB4" i="15"/>
  <c r="AD4" i="15"/>
  <c r="AG4" i="15"/>
  <c r="AH4" i="15"/>
  <c r="AI4" i="15"/>
  <c r="AJ4" i="15"/>
  <c r="AK4" i="15"/>
  <c r="AL4" i="15"/>
  <c r="AP4" i="15"/>
  <c r="AR4" i="15"/>
  <c r="AS4" i="15"/>
  <c r="AU4" i="15" s="1"/>
  <c r="AW4" i="15"/>
  <c r="AX4" i="15"/>
  <c r="AY4" i="15"/>
  <c r="BC4" i="15"/>
  <c r="BE4" i="15"/>
  <c r="BG4" i="15"/>
  <c r="BH4" i="15" s="1"/>
  <c r="BK4" i="15"/>
  <c r="BL4" i="15"/>
  <c r="BM4" i="15"/>
  <c r="BO4" i="15"/>
  <c r="BQ4" i="15"/>
  <c r="BT4" i="15"/>
  <c r="BV4" i="15"/>
  <c r="BX4" i="15"/>
  <c r="BZ4" i="15"/>
  <c r="CC4" i="15"/>
  <c r="CD4" i="15"/>
  <c r="CI4" i="15"/>
  <c r="CL4" i="15"/>
  <c r="CN4" i="15"/>
  <c r="CO4" i="15" s="1"/>
  <c r="CT4" i="15"/>
  <c r="CU4" i="15" s="1"/>
  <c r="CV4" i="15"/>
  <c r="CW4" i="15" s="1"/>
  <c r="CX4" i="15"/>
  <c r="DA4" i="15"/>
  <c r="DB4" i="15"/>
  <c r="DD4" i="15"/>
  <c r="DG4" i="15"/>
  <c r="DI4" i="15"/>
  <c r="DJ4" i="15"/>
  <c r="DM4" i="15"/>
  <c r="DO4" i="15"/>
  <c r="DP4" i="15"/>
  <c r="DR4" i="15"/>
  <c r="DS4" i="15"/>
  <c r="DT4" i="15"/>
  <c r="DV4" i="15" s="1"/>
  <c r="DX4" i="15"/>
  <c r="DY4" i="15"/>
  <c r="EA4" i="15"/>
  <c r="EC4" i="15"/>
  <c r="B8" i="15"/>
  <c r="C8" i="15"/>
  <c r="D8" i="15"/>
  <c r="E8" i="15"/>
  <c r="F8" i="15"/>
  <c r="H8" i="15"/>
  <c r="AE8" i="15" s="1"/>
  <c r="I8" i="15"/>
  <c r="J8" i="15" s="1"/>
  <c r="K8" i="15"/>
  <c r="L8" i="15"/>
  <c r="M8" i="15"/>
  <c r="O8" i="15"/>
  <c r="P8" i="15"/>
  <c r="U8" i="15"/>
  <c r="AN8" i="15" s="1"/>
  <c r="X8" i="15"/>
  <c r="AB8" i="15"/>
  <c r="AD8" i="15"/>
  <c r="AG8" i="15"/>
  <c r="AH8" i="15"/>
  <c r="AI8" i="15"/>
  <c r="AJ8" i="15"/>
  <c r="AK8" i="15"/>
  <c r="AL8" i="15"/>
  <c r="AP8" i="15"/>
  <c r="AR8" i="15"/>
  <c r="AS8" i="15"/>
  <c r="AW8" i="15"/>
  <c r="AX8" i="15"/>
  <c r="AY8" i="15"/>
  <c r="BC8" i="15"/>
  <c r="BE8" i="15"/>
  <c r="BG8" i="15"/>
  <c r="BK8" i="15"/>
  <c r="BL8" i="15"/>
  <c r="BM8" i="15"/>
  <c r="BO8" i="15"/>
  <c r="BQ8" i="15"/>
  <c r="BT8" i="15"/>
  <c r="BV8" i="15"/>
  <c r="BX8" i="15"/>
  <c r="BZ8" i="15"/>
  <c r="CC8" i="15"/>
  <c r="CD8" i="15"/>
  <c r="CI8" i="15"/>
  <c r="CL8" i="15"/>
  <c r="CN8" i="15"/>
  <c r="CT8" i="15"/>
  <c r="CV8" i="15"/>
  <c r="CX8" i="15"/>
  <c r="DA8" i="15"/>
  <c r="DB8" i="15"/>
  <c r="DD8" i="15"/>
  <c r="DG8" i="15"/>
  <c r="DI8" i="15"/>
  <c r="DJ8" i="15"/>
  <c r="DM8" i="15"/>
  <c r="DO8" i="15"/>
  <c r="DP8" i="15"/>
  <c r="DS8" i="15"/>
  <c r="DT8" i="15"/>
  <c r="DX8" i="15"/>
  <c r="DY8" i="15"/>
  <c r="EA8" i="15"/>
  <c r="EC8" i="15"/>
  <c r="B7" i="15"/>
  <c r="C7" i="15"/>
  <c r="D7" i="15"/>
  <c r="E7" i="15"/>
  <c r="F7" i="15"/>
  <c r="H7" i="15"/>
  <c r="AE7" i="15" s="1"/>
  <c r="I7" i="15"/>
  <c r="J7" i="15" s="1"/>
  <c r="K7" i="15"/>
  <c r="L7" i="15"/>
  <c r="M7" i="15"/>
  <c r="O7" i="15"/>
  <c r="P7" i="15"/>
  <c r="U7" i="15"/>
  <c r="V7" i="15" s="1"/>
  <c r="AO7" i="15" s="1"/>
  <c r="X7" i="15"/>
  <c r="DK7" i="15" s="1"/>
  <c r="AB7" i="15"/>
  <c r="AD7" i="15"/>
  <c r="AG7" i="15"/>
  <c r="AH7" i="15"/>
  <c r="AI7" i="15"/>
  <c r="AJ7" i="15"/>
  <c r="AK7" i="15"/>
  <c r="AL7" i="15"/>
  <c r="AP7" i="15"/>
  <c r="AR7" i="15"/>
  <c r="AS7" i="15"/>
  <c r="AW7" i="15"/>
  <c r="AX7" i="15"/>
  <c r="AY7" i="15"/>
  <c r="BC7" i="15"/>
  <c r="BE7" i="15"/>
  <c r="BG7" i="15"/>
  <c r="BK7" i="15"/>
  <c r="BL7" i="15"/>
  <c r="BM7" i="15"/>
  <c r="BO7" i="15"/>
  <c r="BQ7" i="15"/>
  <c r="BT7" i="15"/>
  <c r="BV7" i="15"/>
  <c r="BX7" i="15"/>
  <c r="BZ7" i="15"/>
  <c r="CC7" i="15"/>
  <c r="CD7" i="15"/>
  <c r="CI7" i="15"/>
  <c r="CL7" i="15"/>
  <c r="CN7" i="15"/>
  <c r="CT7" i="15"/>
  <c r="CV7" i="15"/>
  <c r="CX7" i="15"/>
  <c r="DA7" i="15"/>
  <c r="DB7" i="15"/>
  <c r="DD7" i="15"/>
  <c r="DG7" i="15"/>
  <c r="DI7" i="15"/>
  <c r="DJ7" i="15"/>
  <c r="DM7" i="15"/>
  <c r="DO7" i="15"/>
  <c r="DP7" i="15"/>
  <c r="DS7" i="15"/>
  <c r="DT7" i="15"/>
  <c r="DV7" i="15" s="1"/>
  <c r="DX7" i="15"/>
  <c r="DY7" i="15"/>
  <c r="EA7" i="15"/>
  <c r="EC7" i="15"/>
  <c r="B2" i="15"/>
  <c r="C2" i="15"/>
  <c r="D2" i="15"/>
  <c r="E2" i="15"/>
  <c r="F2" i="15"/>
  <c r="H2" i="15"/>
  <c r="AC2" i="15" s="1"/>
  <c r="I2" i="15"/>
  <c r="J2" i="15" s="1"/>
  <c r="K2" i="15"/>
  <c r="L2" i="15"/>
  <c r="M2" i="15"/>
  <c r="O2" i="15"/>
  <c r="P2" i="15"/>
  <c r="U2" i="15"/>
  <c r="V2" i="15" s="1"/>
  <c r="AO2" i="15" s="1"/>
  <c r="X2" i="15"/>
  <c r="AB2" i="15"/>
  <c r="AD2" i="15"/>
  <c r="AG2" i="15"/>
  <c r="AH2" i="15"/>
  <c r="AI2" i="15"/>
  <c r="AJ2" i="15"/>
  <c r="AK2" i="15"/>
  <c r="AL2" i="15"/>
  <c r="AP2" i="15"/>
  <c r="AR2" i="15"/>
  <c r="AS2" i="15"/>
  <c r="AW2" i="15"/>
  <c r="AX2" i="15"/>
  <c r="AY2" i="15"/>
  <c r="BC2" i="15"/>
  <c r="BE2" i="15"/>
  <c r="BG2" i="15"/>
  <c r="BK2" i="15"/>
  <c r="BL2" i="15"/>
  <c r="BM2" i="15"/>
  <c r="BO2" i="15"/>
  <c r="BQ2" i="15"/>
  <c r="BT2" i="15"/>
  <c r="BV2" i="15"/>
  <c r="BW2" i="15" s="1"/>
  <c r="BX2" i="15"/>
  <c r="BZ2" i="15"/>
  <c r="CC2" i="15"/>
  <c r="CD2" i="15"/>
  <c r="CI2" i="15"/>
  <c r="CL2" i="15"/>
  <c r="CN2" i="15"/>
  <c r="CT2" i="15"/>
  <c r="CV2" i="15"/>
  <c r="CX2" i="15"/>
  <c r="DA2" i="15"/>
  <c r="DB2" i="15"/>
  <c r="DD2" i="15"/>
  <c r="DG2" i="15"/>
  <c r="DI2" i="15"/>
  <c r="DJ2" i="15"/>
  <c r="DM2" i="15"/>
  <c r="DO2" i="15"/>
  <c r="DP2" i="15"/>
  <c r="DS2" i="15"/>
  <c r="DT2" i="15"/>
  <c r="DX2" i="15"/>
  <c r="DY2" i="15"/>
  <c r="EA2" i="15"/>
  <c r="EC2" i="15"/>
  <c r="B3" i="15"/>
  <c r="C3" i="15"/>
  <c r="D3" i="15"/>
  <c r="E3" i="15"/>
  <c r="F3" i="15"/>
  <c r="H3" i="15"/>
  <c r="DE3" i="15" s="1"/>
  <c r="DF3" i="15" s="1"/>
  <c r="I3" i="15"/>
  <c r="J3" i="15" s="1"/>
  <c r="K3" i="15"/>
  <c r="L3" i="15"/>
  <c r="M3" i="15"/>
  <c r="O3" i="15"/>
  <c r="P3" i="15"/>
  <c r="U3" i="15"/>
  <c r="V3" i="15" s="1"/>
  <c r="X3" i="15"/>
  <c r="DK3" i="15" s="1"/>
  <c r="AB3" i="15"/>
  <c r="AD3" i="15"/>
  <c r="AG3" i="15"/>
  <c r="AH3" i="15"/>
  <c r="AI3" i="15"/>
  <c r="AJ3" i="15"/>
  <c r="AK3" i="15"/>
  <c r="AL3" i="15"/>
  <c r="AP3" i="15"/>
  <c r="AR3" i="15"/>
  <c r="AS3" i="15"/>
  <c r="AW3" i="15"/>
  <c r="AX3" i="15"/>
  <c r="AY3" i="15"/>
  <c r="BC3" i="15"/>
  <c r="BE3" i="15"/>
  <c r="BG3" i="15"/>
  <c r="BK3" i="15"/>
  <c r="BL3" i="15"/>
  <c r="BM3" i="15"/>
  <c r="BO3" i="15"/>
  <c r="BQ3" i="15"/>
  <c r="BT3" i="15"/>
  <c r="BV3" i="15"/>
  <c r="BX3" i="15"/>
  <c r="BZ3" i="15"/>
  <c r="CC3" i="15"/>
  <c r="CD3" i="15"/>
  <c r="CI3" i="15"/>
  <c r="CL3" i="15"/>
  <c r="CN3" i="15"/>
  <c r="CT3" i="15"/>
  <c r="CV3" i="15"/>
  <c r="CX3" i="15"/>
  <c r="DA3" i="15"/>
  <c r="DB3" i="15"/>
  <c r="DD3" i="15"/>
  <c r="DG3" i="15"/>
  <c r="DI3" i="15"/>
  <c r="DJ3" i="15"/>
  <c r="DM3" i="15"/>
  <c r="DO3" i="15"/>
  <c r="DP3" i="15"/>
  <c r="DS3" i="15"/>
  <c r="DT3" i="15"/>
  <c r="DX3" i="15"/>
  <c r="DY3" i="15"/>
  <c r="EA3" i="15"/>
  <c r="EC3" i="15"/>
  <c r="A5" i="10"/>
  <c r="B2" i="10"/>
  <c r="C2" i="10"/>
  <c r="D2" i="10"/>
  <c r="E2" i="10"/>
  <c r="F2" i="10"/>
  <c r="G2" i="10"/>
  <c r="H2" i="10"/>
  <c r="I2" i="10"/>
  <c r="J2" i="10"/>
  <c r="L2" i="10"/>
  <c r="R2" i="10" s="1"/>
  <c r="M2" i="10"/>
  <c r="N2" i="10" s="1"/>
  <c r="O2" i="10"/>
  <c r="P2" i="10"/>
  <c r="Q2" i="10"/>
  <c r="U2" i="10"/>
  <c r="V2" i="10" s="1"/>
  <c r="X2" i="10"/>
  <c r="Y2" i="10"/>
  <c r="AA2" i="10"/>
  <c r="AB2" i="10"/>
  <c r="AD2" i="10"/>
  <c r="AL2" i="10"/>
  <c r="AN2" i="10"/>
  <c r="AP2" i="10"/>
  <c r="AR2" i="10"/>
  <c r="AS2" i="10" s="1"/>
  <c r="AT2" i="10"/>
  <c r="AW2" i="10"/>
  <c r="AX2" i="10"/>
  <c r="AY2" i="10"/>
  <c r="AC2" i="10" s="1"/>
  <c r="AE2" i="10" s="1"/>
  <c r="AZ2" i="10"/>
  <c r="BC2" i="10"/>
  <c r="BH2" i="10" s="1"/>
  <c r="BI2" i="10" s="1"/>
  <c r="BD2" i="10"/>
  <c r="BG2" i="10"/>
  <c r="BJ2" i="10"/>
  <c r="BL2" i="10"/>
  <c r="BN2" i="10"/>
  <c r="BP2" i="10"/>
  <c r="BQ2" i="10"/>
  <c r="BR2" i="10"/>
  <c r="BS2" i="10"/>
  <c r="BT2" i="10"/>
  <c r="BZ2" i="10"/>
  <c r="CA2" i="10"/>
  <c r="CB2" i="10"/>
  <c r="CF2" i="10"/>
  <c r="CD2" i="10" s="1"/>
  <c r="CJ2" i="10"/>
  <c r="CO2" i="10"/>
  <c r="CS2" i="10"/>
  <c r="CU2" i="10"/>
  <c r="CX2" i="10"/>
  <c r="DA2" i="10"/>
  <c r="EC2" i="10" s="1"/>
  <c r="DB2" i="10"/>
  <c r="DC2" i="10"/>
  <c r="DE2" i="10" s="1"/>
  <c r="DF2" i="10"/>
  <c r="DG2" i="10" s="1"/>
  <c r="DH2" i="10"/>
  <c r="DI2" i="10" s="1"/>
  <c r="DJ2" i="10"/>
  <c r="DK2" i="10" s="1"/>
  <c r="DM2" i="10"/>
  <c r="DP2" i="10"/>
  <c r="DS2" i="10"/>
  <c r="DX2" i="10"/>
  <c r="DZ2" i="10"/>
  <c r="EE2" i="10"/>
  <c r="EG2" i="10"/>
  <c r="EI2" i="10"/>
  <c r="EJ2" i="10"/>
  <c r="A6" i="10"/>
  <c r="B7" i="10"/>
  <c r="C7" i="10"/>
  <c r="D7" i="10"/>
  <c r="E7" i="10"/>
  <c r="F7" i="10"/>
  <c r="G7" i="10"/>
  <c r="H7" i="10"/>
  <c r="I7" i="10"/>
  <c r="J7" i="10"/>
  <c r="L7" i="10"/>
  <c r="CY7" i="10" s="1"/>
  <c r="M7" i="10"/>
  <c r="N7" i="10" s="1"/>
  <c r="O7" i="10"/>
  <c r="P7" i="10"/>
  <c r="Q7" i="10"/>
  <c r="U7" i="10"/>
  <c r="X7" i="10"/>
  <c r="Y7" i="10"/>
  <c r="Z7" i="10"/>
  <c r="AF7" i="10" s="1"/>
  <c r="AA7" i="10"/>
  <c r="AB7" i="10"/>
  <c r="AD7" i="10"/>
  <c r="AJ7" i="10"/>
  <c r="AL7" i="10"/>
  <c r="AN7" i="10"/>
  <c r="AO7" i="10" s="1"/>
  <c r="AP7" i="10"/>
  <c r="AR7" i="10"/>
  <c r="AV7" i="10" s="1"/>
  <c r="AT7" i="10"/>
  <c r="AW7" i="10"/>
  <c r="AX7" i="10"/>
  <c r="AY7" i="10"/>
  <c r="AC7" i="10" s="1"/>
  <c r="AZ7" i="10"/>
  <c r="BC7" i="10"/>
  <c r="BD7" i="10"/>
  <c r="BH7" i="10" s="1"/>
  <c r="BI7" i="10" s="1"/>
  <c r="BG7" i="10"/>
  <c r="BJ7" i="10"/>
  <c r="BL7" i="10"/>
  <c r="BM7" i="10" s="1"/>
  <c r="BN7" i="10"/>
  <c r="BO7" i="10"/>
  <c r="BP7" i="10"/>
  <c r="BQ7" i="10"/>
  <c r="BR7" i="10"/>
  <c r="BS7" i="10"/>
  <c r="BT7" i="10"/>
  <c r="BZ7" i="10"/>
  <c r="CA7" i="10"/>
  <c r="CB7" i="10"/>
  <c r="CF7" i="10"/>
  <c r="CJ7" i="10"/>
  <c r="CO7" i="10"/>
  <c r="CS7" i="10"/>
  <c r="CU7" i="10"/>
  <c r="CX7" i="10"/>
  <c r="DA7" i="10"/>
  <c r="EC7" i="10" s="1"/>
  <c r="DC7" i="10"/>
  <c r="DD7" i="10" s="1"/>
  <c r="DF7" i="10"/>
  <c r="DH7" i="10"/>
  <c r="DI7" i="10" s="1"/>
  <c r="DJ7" i="10"/>
  <c r="CZ7" i="10" s="1"/>
  <c r="DM7" i="10"/>
  <c r="DP7" i="10"/>
  <c r="DS7" i="10"/>
  <c r="DX7" i="10"/>
  <c r="DZ7" i="10"/>
  <c r="EA7" i="10" s="1"/>
  <c r="EE7" i="10"/>
  <c r="EF7" i="10"/>
  <c r="EG7" i="10"/>
  <c r="EI7" i="10"/>
  <c r="EJ7" i="10"/>
  <c r="A7" i="10"/>
  <c r="A8" i="10"/>
  <c r="A9" i="10"/>
  <c r="A10" i="10"/>
  <c r="B9" i="10"/>
  <c r="C9" i="10"/>
  <c r="D9" i="10"/>
  <c r="E9" i="10"/>
  <c r="F9" i="10"/>
  <c r="G9" i="10"/>
  <c r="H9" i="10"/>
  <c r="I9" i="10"/>
  <c r="J9" i="10"/>
  <c r="L9" i="10"/>
  <c r="R9" i="10" s="1"/>
  <c r="M9" i="10"/>
  <c r="N9" i="10" s="1"/>
  <c r="O9" i="10"/>
  <c r="P9" i="10"/>
  <c r="Q9" i="10"/>
  <c r="U9" i="10"/>
  <c r="V9" i="10"/>
  <c r="X9" i="10"/>
  <c r="Y9" i="10"/>
  <c r="AA9" i="10"/>
  <c r="AB9" i="10"/>
  <c r="AD9" i="10"/>
  <c r="AL9" i="10"/>
  <c r="AN9" i="10"/>
  <c r="AP9" i="10"/>
  <c r="AR9" i="10"/>
  <c r="AT9" i="10"/>
  <c r="AW9" i="10"/>
  <c r="AX9" i="10"/>
  <c r="AY9" i="10"/>
  <c r="AZ9" i="10"/>
  <c r="BC9" i="10"/>
  <c r="BD9" i="10"/>
  <c r="BG9" i="10"/>
  <c r="BJ9" i="10"/>
  <c r="BL9" i="10"/>
  <c r="BM9" i="10" s="1"/>
  <c r="BN9" i="10"/>
  <c r="BP9" i="10"/>
  <c r="BQ9" i="10"/>
  <c r="BR9" i="10"/>
  <c r="BS9" i="10"/>
  <c r="BT9" i="10"/>
  <c r="BZ9" i="10"/>
  <c r="CA9" i="10"/>
  <c r="CB9" i="10"/>
  <c r="CF9" i="10"/>
  <c r="CJ9" i="10"/>
  <c r="DU9" i="10" s="1"/>
  <c r="CO9" i="10"/>
  <c r="CS9" i="10"/>
  <c r="CU9" i="10"/>
  <c r="CW9" i="10" s="1"/>
  <c r="CX9" i="10"/>
  <c r="DA9" i="10"/>
  <c r="EC9" i="10" s="1"/>
  <c r="DC9" i="10"/>
  <c r="DF9" i="10"/>
  <c r="DH9" i="10"/>
  <c r="DI9" i="10"/>
  <c r="DJ9" i="10"/>
  <c r="CZ9" i="10" s="1"/>
  <c r="DM9" i="10"/>
  <c r="DP9" i="10"/>
  <c r="DS9" i="10"/>
  <c r="DX9" i="10"/>
  <c r="DZ9" i="10"/>
  <c r="EE9" i="10"/>
  <c r="EG9" i="10"/>
  <c r="EI9" i="10"/>
  <c r="EJ9" i="10"/>
  <c r="A11" i="10"/>
  <c r="B5" i="10"/>
  <c r="C5" i="10"/>
  <c r="D5" i="10"/>
  <c r="E5" i="10"/>
  <c r="F5" i="10"/>
  <c r="G5" i="10"/>
  <c r="H5" i="10"/>
  <c r="I5" i="10"/>
  <c r="J5" i="10"/>
  <c r="L5" i="10"/>
  <c r="DL5" i="10" s="1"/>
  <c r="M5" i="10"/>
  <c r="N5" i="10" s="1"/>
  <c r="O5" i="10"/>
  <c r="P5" i="10"/>
  <c r="Q5" i="10"/>
  <c r="U5" i="10"/>
  <c r="V5" i="10" s="1"/>
  <c r="X5" i="10"/>
  <c r="Y5" i="10"/>
  <c r="AA5" i="10"/>
  <c r="AB5" i="10"/>
  <c r="AD5" i="10"/>
  <c r="AL5" i="10"/>
  <c r="AN5" i="10"/>
  <c r="AO5" i="10" s="1"/>
  <c r="AQ5" i="10" s="1"/>
  <c r="AP5" i="10"/>
  <c r="AR5" i="10"/>
  <c r="AT5" i="10"/>
  <c r="AV5" i="10" s="1"/>
  <c r="AW5" i="10"/>
  <c r="AX5" i="10"/>
  <c r="AY5" i="10"/>
  <c r="AC5" i="10" s="1"/>
  <c r="AZ5" i="10"/>
  <c r="BC5" i="10"/>
  <c r="BD5" i="10"/>
  <c r="BG5" i="10"/>
  <c r="BJ5" i="10"/>
  <c r="BL5" i="10"/>
  <c r="BM5" i="10" s="1"/>
  <c r="BN5" i="10"/>
  <c r="BO5" i="10"/>
  <c r="BP5" i="10"/>
  <c r="BQ5" i="10"/>
  <c r="BR5" i="10"/>
  <c r="BS5" i="10"/>
  <c r="BT5" i="10"/>
  <c r="BW5" i="10"/>
  <c r="BZ5" i="10"/>
  <c r="CA5" i="10"/>
  <c r="CB5" i="10"/>
  <c r="CF5" i="10"/>
  <c r="CG5" i="10" s="1"/>
  <c r="CJ5" i="10"/>
  <c r="CO5" i="10"/>
  <c r="CP5" i="10" s="1"/>
  <c r="CS5" i="10"/>
  <c r="CU5" i="10"/>
  <c r="CV5" i="10" s="1"/>
  <c r="CX5" i="10"/>
  <c r="CZ5" i="10"/>
  <c r="DA5" i="10"/>
  <c r="DC5" i="10"/>
  <c r="DD5" i="10" s="1"/>
  <c r="DF5" i="10"/>
  <c r="DH5" i="10"/>
  <c r="DI5" i="10" s="1"/>
  <c r="DJ5" i="10"/>
  <c r="DK5" i="10" s="1"/>
  <c r="DM5" i="10"/>
  <c r="DP5" i="10"/>
  <c r="DS5" i="10"/>
  <c r="DX5" i="10"/>
  <c r="DY5" i="10" s="1"/>
  <c r="DZ5" i="10"/>
  <c r="EE5" i="10"/>
  <c r="EF5" i="10" s="1"/>
  <c r="EG5" i="10"/>
  <c r="EH5" i="10" s="1"/>
  <c r="EI5" i="10"/>
  <c r="EJ5" i="10"/>
  <c r="B10" i="10"/>
  <c r="C10" i="10"/>
  <c r="D10" i="10"/>
  <c r="E10" i="10"/>
  <c r="F10" i="10"/>
  <c r="G10" i="10"/>
  <c r="H10" i="10"/>
  <c r="I10" i="10"/>
  <c r="J10" i="10"/>
  <c r="L10" i="10"/>
  <c r="M10" i="10"/>
  <c r="N10" i="10" s="1"/>
  <c r="O10" i="10"/>
  <c r="P10" i="10"/>
  <c r="Q10" i="10"/>
  <c r="U10" i="10"/>
  <c r="V10" i="10" s="1"/>
  <c r="X10" i="10"/>
  <c r="Y10" i="10"/>
  <c r="AA10" i="10"/>
  <c r="AB10" i="10"/>
  <c r="AD10" i="10"/>
  <c r="AL10" i="10"/>
  <c r="AN10" i="10"/>
  <c r="AO10" i="10" s="1"/>
  <c r="AP10" i="10"/>
  <c r="AR10" i="10"/>
  <c r="AS10" i="10" s="1"/>
  <c r="AT10" i="10"/>
  <c r="AU10" i="10" s="1"/>
  <c r="AW10" i="10"/>
  <c r="AX10" i="10"/>
  <c r="AY10" i="10"/>
  <c r="AZ10" i="10"/>
  <c r="BC10" i="10"/>
  <c r="BD10" i="10"/>
  <c r="BG10" i="10"/>
  <c r="BJ10" i="10"/>
  <c r="BL10" i="10"/>
  <c r="BN10" i="10"/>
  <c r="BO10" i="10" s="1"/>
  <c r="BP10" i="10"/>
  <c r="BQ10" i="10"/>
  <c r="BR10" i="10"/>
  <c r="BS10" i="10"/>
  <c r="BT10" i="10"/>
  <c r="BW10" i="10"/>
  <c r="BZ10" i="10"/>
  <c r="CA10" i="10"/>
  <c r="CB10" i="10"/>
  <c r="CF10" i="10"/>
  <c r="CJ10" i="10"/>
  <c r="CQ10" i="10" s="1"/>
  <c r="CO10" i="10"/>
  <c r="CS10" i="10"/>
  <c r="CU10" i="10"/>
  <c r="CX10" i="10"/>
  <c r="DA10" i="10"/>
  <c r="EC10" i="10" s="1"/>
  <c r="DC10" i="10"/>
  <c r="DF10" i="10"/>
  <c r="DH10" i="10"/>
  <c r="DJ10" i="10"/>
  <c r="CZ10" i="10" s="1"/>
  <c r="DM10" i="10"/>
  <c r="DP10" i="10"/>
  <c r="DQ10" i="10" s="1"/>
  <c r="DS10" i="10"/>
  <c r="DX10" i="10"/>
  <c r="DY10" i="10" s="1"/>
  <c r="DZ10" i="10"/>
  <c r="EE10" i="10"/>
  <c r="EG10" i="10"/>
  <c r="EI10" i="10"/>
  <c r="EJ10" i="10"/>
  <c r="B4" i="10"/>
  <c r="C4" i="10"/>
  <c r="D4" i="10"/>
  <c r="E4" i="10"/>
  <c r="F4" i="10"/>
  <c r="G4" i="10"/>
  <c r="H4" i="10"/>
  <c r="I4" i="10"/>
  <c r="J4" i="10"/>
  <c r="L4" i="10"/>
  <c r="DW4" i="10" s="1"/>
  <c r="M4" i="10"/>
  <c r="N4" i="10" s="1"/>
  <c r="O4" i="10"/>
  <c r="P4" i="10"/>
  <c r="Q4" i="10"/>
  <c r="U4" i="10"/>
  <c r="V4" i="10" s="1"/>
  <c r="X4" i="10"/>
  <c r="Y4" i="10"/>
  <c r="AA4" i="10"/>
  <c r="AB4" i="10"/>
  <c r="AD4" i="10"/>
  <c r="AJ4" i="10"/>
  <c r="AK4" i="10"/>
  <c r="AL4" i="10"/>
  <c r="AN4" i="10"/>
  <c r="AP4" i="10"/>
  <c r="AR4" i="10"/>
  <c r="AT4" i="10"/>
  <c r="AW4" i="10"/>
  <c r="AX4" i="10"/>
  <c r="AY4" i="10"/>
  <c r="AZ4" i="10"/>
  <c r="BC4" i="10"/>
  <c r="BD4" i="10"/>
  <c r="BG4" i="10"/>
  <c r="BJ4" i="10"/>
  <c r="BK4" i="10"/>
  <c r="BL4" i="10"/>
  <c r="BM4" i="10" s="1"/>
  <c r="BN4" i="10"/>
  <c r="BO4" i="10" s="1"/>
  <c r="BP4" i="10"/>
  <c r="BQ4" i="10"/>
  <c r="BR4" i="10"/>
  <c r="BS4" i="10"/>
  <c r="BT4" i="10"/>
  <c r="BZ4" i="10"/>
  <c r="CA4" i="10"/>
  <c r="CB4" i="10"/>
  <c r="CF4" i="10"/>
  <c r="DN4" i="10" s="1"/>
  <c r="DO4" i="10" s="1"/>
  <c r="CJ4" i="10"/>
  <c r="CQ4" i="10" s="1"/>
  <c r="CO4" i="10"/>
  <c r="CP4" i="10" s="1"/>
  <c r="CS4" i="10"/>
  <c r="CU4" i="10"/>
  <c r="CX4" i="10"/>
  <c r="DA4" i="10"/>
  <c r="EC4" i="10" s="1"/>
  <c r="DC4" i="10"/>
  <c r="DE4" i="10" s="1"/>
  <c r="DF4" i="10"/>
  <c r="DG4" i="10" s="1"/>
  <c r="DH4" i="10"/>
  <c r="DI4" i="10" s="1"/>
  <c r="DJ4" i="10"/>
  <c r="CZ4" i="10" s="1"/>
  <c r="DM4" i="10"/>
  <c r="DP4" i="10"/>
  <c r="DS4" i="10"/>
  <c r="DX4" i="10"/>
  <c r="DY4" i="10" s="1"/>
  <c r="DZ4" i="10"/>
  <c r="EE4" i="10"/>
  <c r="EG4" i="10"/>
  <c r="EI4" i="10"/>
  <c r="EJ4" i="10"/>
  <c r="B11" i="10"/>
  <c r="C11" i="10"/>
  <c r="D11" i="10"/>
  <c r="E11" i="10"/>
  <c r="F11" i="10"/>
  <c r="G11" i="10"/>
  <c r="H11" i="10"/>
  <c r="I11" i="10"/>
  <c r="J11" i="10"/>
  <c r="L11" i="10"/>
  <c r="BW11" i="10" s="1"/>
  <c r="M11" i="10"/>
  <c r="N11" i="10" s="1"/>
  <c r="O11" i="10"/>
  <c r="P11" i="10"/>
  <c r="Q11" i="10"/>
  <c r="U11" i="10"/>
  <c r="V11" i="10" s="1"/>
  <c r="X11" i="10"/>
  <c r="Y11" i="10"/>
  <c r="AA11" i="10"/>
  <c r="AB11" i="10"/>
  <c r="AD11" i="10"/>
  <c r="AL11" i="10"/>
  <c r="AN11" i="10"/>
  <c r="AP11" i="10"/>
  <c r="AR11" i="10"/>
  <c r="AT11" i="10"/>
  <c r="AU11" i="10" s="1"/>
  <c r="AW11" i="10"/>
  <c r="AX11" i="10"/>
  <c r="AY11" i="10"/>
  <c r="AZ11" i="10"/>
  <c r="BC11" i="10"/>
  <c r="BD11" i="10"/>
  <c r="BF11" i="10" s="1"/>
  <c r="BG11" i="10"/>
  <c r="BJ11" i="10"/>
  <c r="BL11" i="10"/>
  <c r="BN11" i="10"/>
  <c r="BP11" i="10"/>
  <c r="BQ11" i="10"/>
  <c r="BR11" i="10"/>
  <c r="BS11" i="10"/>
  <c r="BT11" i="10"/>
  <c r="BZ11" i="10"/>
  <c r="CA11" i="10"/>
  <c r="CB11" i="10"/>
  <c r="CF11" i="10"/>
  <c r="CD11" i="10" s="1"/>
  <c r="CJ11" i="10"/>
  <c r="DU11" i="10" s="1"/>
  <c r="CO11" i="10"/>
  <c r="CS11" i="10"/>
  <c r="CU11" i="10"/>
  <c r="CX11" i="10"/>
  <c r="DA11" i="10"/>
  <c r="EC11" i="10" s="1"/>
  <c r="DC11" i="10"/>
  <c r="DF11" i="10"/>
  <c r="DG11" i="10" s="1"/>
  <c r="DH11" i="10"/>
  <c r="DJ11" i="10"/>
  <c r="CZ11" i="10" s="1"/>
  <c r="DM11" i="10"/>
  <c r="DP11" i="10"/>
  <c r="DS11" i="10"/>
  <c r="DX11" i="10"/>
  <c r="DZ11" i="10"/>
  <c r="EB11" i="10" s="1"/>
  <c r="EE11" i="10"/>
  <c r="EG11" i="10"/>
  <c r="EI11" i="10"/>
  <c r="EJ11" i="10"/>
  <c r="B8" i="10"/>
  <c r="C8" i="10"/>
  <c r="D8" i="10"/>
  <c r="E8" i="10"/>
  <c r="F8" i="10"/>
  <c r="G8" i="10"/>
  <c r="H8" i="10"/>
  <c r="I8" i="10"/>
  <c r="J8" i="10"/>
  <c r="L8" i="10"/>
  <c r="R8" i="10" s="1"/>
  <c r="M8" i="10"/>
  <c r="N8" i="10" s="1"/>
  <c r="O8" i="10"/>
  <c r="P8" i="10"/>
  <c r="Q8" i="10"/>
  <c r="U8" i="10"/>
  <c r="V8" i="10" s="1"/>
  <c r="X8" i="10"/>
  <c r="Y8" i="10"/>
  <c r="AA8" i="10"/>
  <c r="AB8" i="10"/>
  <c r="AD8" i="10"/>
  <c r="AK8" i="10" s="1"/>
  <c r="AL8" i="10"/>
  <c r="AN8" i="10"/>
  <c r="AP8" i="10"/>
  <c r="AR8" i="10"/>
  <c r="AT8" i="10"/>
  <c r="AU8" i="10" s="1"/>
  <c r="AW8" i="10"/>
  <c r="AX8" i="10"/>
  <c r="AY8" i="10"/>
  <c r="AZ8" i="10"/>
  <c r="BB8" i="10"/>
  <c r="BC8" i="10"/>
  <c r="BD8" i="10"/>
  <c r="BG8" i="10"/>
  <c r="BJ8" i="10"/>
  <c r="BL8" i="10"/>
  <c r="BN8" i="10"/>
  <c r="BP8" i="10"/>
  <c r="BQ8" i="10"/>
  <c r="BR8" i="10"/>
  <c r="BS8" i="10"/>
  <c r="BT8" i="10"/>
  <c r="BZ8" i="10"/>
  <c r="CA8" i="10"/>
  <c r="CB8" i="10"/>
  <c r="CF8" i="10"/>
  <c r="CD8" i="10" s="1"/>
  <c r="CJ8" i="10"/>
  <c r="CQ8" i="10" s="1"/>
  <c r="CO8" i="10"/>
  <c r="CS8" i="10"/>
  <c r="CU8" i="10"/>
  <c r="CX8" i="10"/>
  <c r="DA8" i="10"/>
  <c r="DC8" i="10"/>
  <c r="DF8" i="10"/>
  <c r="DH8" i="10"/>
  <c r="DJ8" i="10"/>
  <c r="DK8" i="10" s="1"/>
  <c r="DM8" i="10"/>
  <c r="DP8" i="10"/>
  <c r="DS8" i="10"/>
  <c r="DX8" i="10"/>
  <c r="DZ8" i="10"/>
  <c r="EE8" i="10"/>
  <c r="EG8" i="10"/>
  <c r="EI8" i="10"/>
  <c r="EJ8" i="10"/>
  <c r="A4" i="2"/>
  <c r="B11" i="2"/>
  <c r="C11" i="2"/>
  <c r="D11" i="2"/>
  <c r="E11" i="2"/>
  <c r="F11" i="2"/>
  <c r="G11" i="2"/>
  <c r="H11" i="2"/>
  <c r="I11" i="2"/>
  <c r="J11" i="2"/>
  <c r="L11" i="2"/>
  <c r="CD11" i="2" s="1"/>
  <c r="M11" i="2"/>
  <c r="N11" i="2" s="1"/>
  <c r="O11" i="2"/>
  <c r="P11" i="2"/>
  <c r="Q11" i="2"/>
  <c r="S11" i="2"/>
  <c r="T11" i="2" s="1"/>
  <c r="V11" i="2"/>
  <c r="X11" i="2"/>
  <c r="AA11" i="2"/>
  <c r="AB11" i="2"/>
  <c r="AC11" i="2"/>
  <c r="AD11" i="2"/>
  <c r="AE11" i="2"/>
  <c r="AF11" i="2"/>
  <c r="AG11" i="2"/>
  <c r="AJ11" i="2"/>
  <c r="AN11" i="2"/>
  <c r="AP11" i="2"/>
  <c r="AX11" i="2" s="1"/>
  <c r="AS11" i="2"/>
  <c r="AW11" i="2" s="1"/>
  <c r="AY11" i="2"/>
  <c r="AZ11" i="2"/>
  <c r="BB11" i="2"/>
  <c r="BC11" i="2"/>
  <c r="BG11" i="2"/>
  <c r="BH11" i="2"/>
  <c r="BI11" i="2"/>
  <c r="BJ11" i="2"/>
  <c r="BL11" i="2"/>
  <c r="BM11" i="2"/>
  <c r="BP11" i="2"/>
  <c r="BQ11" i="2"/>
  <c r="BT11" i="2"/>
  <c r="BW11" i="2"/>
  <c r="BX11" i="2"/>
  <c r="BY11" i="2"/>
  <c r="CA11" i="2"/>
  <c r="CB11" i="2"/>
  <c r="CC11" i="2"/>
  <c r="CE11" i="2"/>
  <c r="CG11" i="2"/>
  <c r="CI11" i="2"/>
  <c r="CR11" i="2"/>
  <c r="CT11" i="2"/>
  <c r="CV11" i="2"/>
  <c r="CX11" i="2"/>
  <c r="CZ11" i="2"/>
  <c r="DA11" i="2"/>
  <c r="DB11" i="2" s="1"/>
  <c r="DD11" i="2"/>
  <c r="DE11" i="2"/>
  <c r="A5" i="2"/>
  <c r="B8" i="2"/>
  <c r="C8" i="2"/>
  <c r="D8" i="2"/>
  <c r="E8" i="2"/>
  <c r="F8" i="2"/>
  <c r="G8" i="2"/>
  <c r="H8" i="2"/>
  <c r="I8" i="2"/>
  <c r="J8" i="2"/>
  <c r="L8" i="2"/>
  <c r="CD8" i="2" s="1"/>
  <c r="M8" i="2"/>
  <c r="N8" i="2" s="1"/>
  <c r="O8" i="2"/>
  <c r="P8" i="2"/>
  <c r="Q8" i="2"/>
  <c r="S8" i="2"/>
  <c r="T8" i="2" s="1"/>
  <c r="V8" i="2"/>
  <c r="W8" i="2" s="1"/>
  <c r="X8" i="2"/>
  <c r="AA8" i="2"/>
  <c r="AB8" i="2"/>
  <c r="AC8" i="2"/>
  <c r="AD8" i="2"/>
  <c r="AE8" i="2"/>
  <c r="AF8" i="2"/>
  <c r="AI8" i="2" s="1"/>
  <c r="AG8" i="2"/>
  <c r="AH8" i="2" s="1"/>
  <c r="AJ8" i="2"/>
  <c r="AN8" i="2"/>
  <c r="AO8" i="2" s="1"/>
  <c r="AP8" i="2"/>
  <c r="BR8" i="2" s="1"/>
  <c r="BS8" i="2" s="1"/>
  <c r="AS8" i="2"/>
  <c r="CL8" i="2" s="1"/>
  <c r="CM8" i="2" s="1"/>
  <c r="AY8" i="2"/>
  <c r="AZ8" i="2"/>
  <c r="BB8" i="2"/>
  <c r="BC8" i="2"/>
  <c r="BG8" i="2"/>
  <c r="BI8" i="2" s="1"/>
  <c r="BH8" i="2"/>
  <c r="BJ8" i="2"/>
  <c r="BL8" i="2"/>
  <c r="BM8" i="2"/>
  <c r="BP8" i="2"/>
  <c r="BQ8" i="2"/>
  <c r="BT8" i="2"/>
  <c r="BX8" i="2" s="1"/>
  <c r="BW8" i="2"/>
  <c r="BY8" i="2"/>
  <c r="CA8" i="2"/>
  <c r="CB8" i="2"/>
  <c r="CC8" i="2"/>
  <c r="CE8" i="2"/>
  <c r="CF8" i="2" s="1"/>
  <c r="CG8" i="2"/>
  <c r="CI8" i="2"/>
  <c r="CP8" i="2"/>
  <c r="CR8" i="2"/>
  <c r="CT8" i="2"/>
  <c r="CV8" i="2"/>
  <c r="CX8" i="2"/>
  <c r="CZ8" i="2"/>
  <c r="DA8" i="2"/>
  <c r="DD8" i="2"/>
  <c r="DE8" i="2"/>
  <c r="A6" i="2"/>
  <c r="A7" i="2"/>
  <c r="B2" i="2"/>
  <c r="C2" i="2"/>
  <c r="D2" i="2"/>
  <c r="E2" i="2"/>
  <c r="F2" i="2"/>
  <c r="G2" i="2"/>
  <c r="H2" i="2"/>
  <c r="I2" i="2"/>
  <c r="J2" i="2"/>
  <c r="L2" i="2"/>
  <c r="CD2" i="2" s="1"/>
  <c r="M2" i="2"/>
  <c r="N2" i="2" s="1"/>
  <c r="O2" i="2"/>
  <c r="P2" i="2"/>
  <c r="Q2" i="2"/>
  <c r="S2" i="2"/>
  <c r="T2" i="2" s="1"/>
  <c r="V2" i="2"/>
  <c r="X2" i="2"/>
  <c r="AA2" i="2"/>
  <c r="AB2" i="2"/>
  <c r="AC2" i="2"/>
  <c r="AD2" i="2"/>
  <c r="AE2" i="2"/>
  <c r="AF2" i="2"/>
  <c r="AG2" i="2"/>
  <c r="AJ2" i="2"/>
  <c r="AN2" i="2"/>
  <c r="AO2" i="2" s="1"/>
  <c r="AP2" i="2"/>
  <c r="AQ2" i="2" s="1"/>
  <c r="AS2" i="2"/>
  <c r="CL2" i="2" s="1"/>
  <c r="AY2" i="2"/>
  <c r="AZ2" i="2"/>
  <c r="BB2" i="2"/>
  <c r="BC2" i="2"/>
  <c r="BG2" i="2"/>
  <c r="BI2" i="2" s="1"/>
  <c r="BH2" i="2"/>
  <c r="BJ2" i="2"/>
  <c r="BL2" i="2"/>
  <c r="BM2" i="2"/>
  <c r="BP2" i="2"/>
  <c r="BQ2" i="2"/>
  <c r="BT2" i="2"/>
  <c r="BX2" i="2" s="1"/>
  <c r="BW2" i="2"/>
  <c r="BY2" i="2"/>
  <c r="CA2" i="2"/>
  <c r="CB2" i="2"/>
  <c r="CC2" i="2"/>
  <c r="CE2" i="2"/>
  <c r="CG2" i="2"/>
  <c r="CI2" i="2"/>
  <c r="CR2" i="2"/>
  <c r="CT2" i="2"/>
  <c r="CV2" i="2"/>
  <c r="CX2" i="2"/>
  <c r="CZ2" i="2"/>
  <c r="DA2" i="2"/>
  <c r="DD2" i="2"/>
  <c r="DE2" i="2"/>
  <c r="A8" i="2"/>
  <c r="B9" i="2"/>
  <c r="C9" i="2"/>
  <c r="D9" i="2"/>
  <c r="E9" i="2"/>
  <c r="F9" i="2"/>
  <c r="G9" i="2"/>
  <c r="H9" i="2"/>
  <c r="I9" i="2"/>
  <c r="J9" i="2"/>
  <c r="L9" i="2"/>
  <c r="M9" i="2"/>
  <c r="N9" i="2" s="1"/>
  <c r="O9" i="2"/>
  <c r="P9" i="2"/>
  <c r="Q9" i="2"/>
  <c r="S9" i="2"/>
  <c r="T9" i="2" s="1"/>
  <c r="V9" i="2"/>
  <c r="X9" i="2"/>
  <c r="AA9" i="2"/>
  <c r="AB9" i="2"/>
  <c r="AC9" i="2"/>
  <c r="AD9" i="2"/>
  <c r="AE9" i="2"/>
  <c r="AF9" i="2"/>
  <c r="AI9" i="2" s="1"/>
  <c r="AG9" i="2"/>
  <c r="AJ9" i="2"/>
  <c r="AN9" i="2"/>
  <c r="AP9" i="2"/>
  <c r="AX9" i="2" s="1"/>
  <c r="AS9" i="2"/>
  <c r="AW9" i="2" s="1"/>
  <c r="AY9" i="2"/>
  <c r="AZ9" i="2"/>
  <c r="BB9" i="2"/>
  <c r="BC9" i="2"/>
  <c r="BG9" i="2"/>
  <c r="BI9" i="2" s="1"/>
  <c r="BH9" i="2"/>
  <c r="BJ9" i="2"/>
  <c r="BL9" i="2"/>
  <c r="BM9" i="2"/>
  <c r="BP9" i="2"/>
  <c r="BQ9" i="2"/>
  <c r="BT9" i="2"/>
  <c r="BX9" i="2" s="1"/>
  <c r="BW9" i="2"/>
  <c r="BY9" i="2"/>
  <c r="CA9" i="2"/>
  <c r="CB9" i="2"/>
  <c r="CC9" i="2"/>
  <c r="CE9" i="2"/>
  <c r="CG9" i="2"/>
  <c r="CI9" i="2"/>
  <c r="CR9" i="2"/>
  <c r="CT9" i="2"/>
  <c r="CV9" i="2"/>
  <c r="CX9" i="2"/>
  <c r="CZ9" i="2"/>
  <c r="DA9" i="2"/>
  <c r="DD9" i="2"/>
  <c r="DE9" i="2"/>
  <c r="A9" i="2"/>
  <c r="A10" i="2"/>
  <c r="B5" i="2"/>
  <c r="C5" i="2"/>
  <c r="D5" i="2"/>
  <c r="E5" i="2"/>
  <c r="F5" i="2"/>
  <c r="G5" i="2"/>
  <c r="H5" i="2"/>
  <c r="I5" i="2"/>
  <c r="J5" i="2"/>
  <c r="L5" i="2"/>
  <c r="BV5" i="2" s="1"/>
  <c r="M5" i="2"/>
  <c r="N5" i="2" s="1"/>
  <c r="O5" i="2"/>
  <c r="P5" i="2"/>
  <c r="Q5" i="2"/>
  <c r="S5" i="2"/>
  <c r="T5" i="2" s="1"/>
  <c r="V5" i="2"/>
  <c r="X5" i="2"/>
  <c r="AA5" i="2"/>
  <c r="AB5" i="2"/>
  <c r="AC5" i="2"/>
  <c r="AD5" i="2"/>
  <c r="AE5" i="2"/>
  <c r="AF5" i="2"/>
  <c r="AI5" i="2" s="1"/>
  <c r="AG5" i="2"/>
  <c r="AJ5" i="2"/>
  <c r="AN5" i="2"/>
  <c r="AP5" i="2"/>
  <c r="AX5" i="2" s="1"/>
  <c r="AS5" i="2"/>
  <c r="BO5" i="2" s="1"/>
  <c r="AY5" i="2"/>
  <c r="AZ5" i="2"/>
  <c r="BB5" i="2"/>
  <c r="BC5" i="2"/>
  <c r="BG5" i="2"/>
  <c r="BI5" i="2" s="1"/>
  <c r="BH5" i="2"/>
  <c r="BJ5" i="2"/>
  <c r="BL5" i="2"/>
  <c r="BM5" i="2"/>
  <c r="BP5" i="2"/>
  <c r="BQ5" i="2"/>
  <c r="BT5" i="2"/>
  <c r="BW5" i="2"/>
  <c r="BY5" i="2"/>
  <c r="CA5" i="2"/>
  <c r="CB5" i="2"/>
  <c r="CC5" i="2"/>
  <c r="CE5" i="2"/>
  <c r="CG5" i="2"/>
  <c r="CI5" i="2"/>
  <c r="CR5" i="2"/>
  <c r="CT5" i="2"/>
  <c r="CU5" i="2" s="1"/>
  <c r="CV5" i="2"/>
  <c r="CX5" i="2"/>
  <c r="CZ5" i="2"/>
  <c r="DA5" i="2"/>
  <c r="DD5" i="2"/>
  <c r="DE5" i="2"/>
  <c r="A11" i="2"/>
  <c r="B6" i="2"/>
  <c r="C6" i="2"/>
  <c r="D6" i="2"/>
  <c r="E6" i="2"/>
  <c r="F6" i="2"/>
  <c r="G6" i="2"/>
  <c r="H6" i="2"/>
  <c r="I6" i="2"/>
  <c r="J6" i="2"/>
  <c r="L6" i="2"/>
  <c r="BD6" i="2" s="1"/>
  <c r="M6" i="2"/>
  <c r="N6" i="2" s="1"/>
  <c r="O6" i="2"/>
  <c r="P6" i="2"/>
  <c r="Q6" i="2"/>
  <c r="S6" i="2"/>
  <c r="T6" i="2" s="1"/>
  <c r="V6" i="2"/>
  <c r="X6" i="2"/>
  <c r="AA6" i="2"/>
  <c r="AB6" i="2"/>
  <c r="AC6" i="2"/>
  <c r="AD6" i="2"/>
  <c r="AE6" i="2"/>
  <c r="AF6" i="2"/>
  <c r="AI6" i="2" s="1"/>
  <c r="AG6" i="2"/>
  <c r="AJ6" i="2"/>
  <c r="AN6" i="2"/>
  <c r="AO6" i="2" s="1"/>
  <c r="AP6" i="2"/>
  <c r="AX6" i="2" s="1"/>
  <c r="AS6" i="2"/>
  <c r="CN6" i="2" s="1"/>
  <c r="AY6" i="2"/>
  <c r="AZ6" i="2"/>
  <c r="BB6" i="2"/>
  <c r="BC6" i="2"/>
  <c r="BG6" i="2"/>
  <c r="BI6" i="2" s="1"/>
  <c r="BH6" i="2"/>
  <c r="BJ6" i="2"/>
  <c r="BK6" i="2" s="1"/>
  <c r="BL6" i="2"/>
  <c r="BM6" i="2"/>
  <c r="BP6" i="2"/>
  <c r="BQ6" i="2"/>
  <c r="BT6" i="2"/>
  <c r="BX6" i="2" s="1"/>
  <c r="BW6" i="2"/>
  <c r="BY6" i="2"/>
  <c r="CA6" i="2"/>
  <c r="CB6" i="2"/>
  <c r="CC6" i="2"/>
  <c r="CE6" i="2"/>
  <c r="CG6" i="2"/>
  <c r="CI6" i="2"/>
  <c r="CR6" i="2"/>
  <c r="CT6" i="2"/>
  <c r="CV6" i="2"/>
  <c r="CX6" i="2"/>
  <c r="CZ6" i="2"/>
  <c r="DA6" i="2"/>
  <c r="DD6" i="2"/>
  <c r="DE6" i="2"/>
  <c r="B3" i="2"/>
  <c r="C3" i="2"/>
  <c r="D3" i="2"/>
  <c r="E3" i="2"/>
  <c r="F3" i="2"/>
  <c r="G3" i="2"/>
  <c r="H3" i="2"/>
  <c r="I3" i="2"/>
  <c r="J3" i="2"/>
  <c r="L3" i="2"/>
  <c r="CQ3" i="2" s="1"/>
  <c r="M3" i="2"/>
  <c r="N3" i="2" s="1"/>
  <c r="O3" i="2"/>
  <c r="P3" i="2"/>
  <c r="Q3" i="2"/>
  <c r="S3" i="2"/>
  <c r="T3" i="2" s="1"/>
  <c r="V3" i="2"/>
  <c r="X3" i="2"/>
  <c r="Z3" i="2" s="1"/>
  <c r="AA3" i="2"/>
  <c r="AB3" i="2"/>
  <c r="AC3" i="2"/>
  <c r="AD3" i="2"/>
  <c r="AE3" i="2"/>
  <c r="AF3" i="2"/>
  <c r="AI3" i="2" s="1"/>
  <c r="AG3" i="2"/>
  <c r="AJ3" i="2"/>
  <c r="AN3" i="2"/>
  <c r="AP3" i="2"/>
  <c r="AX3" i="2" s="1"/>
  <c r="AS3" i="2"/>
  <c r="AW3" i="2" s="1"/>
  <c r="AY3" i="2"/>
  <c r="AZ3" i="2"/>
  <c r="BB3" i="2"/>
  <c r="BC3" i="2"/>
  <c r="BG3" i="2"/>
  <c r="BI3" i="2" s="1"/>
  <c r="BH3" i="2"/>
  <c r="BJ3" i="2"/>
  <c r="BK3" i="2" s="1"/>
  <c r="BL3" i="2"/>
  <c r="BM3" i="2"/>
  <c r="BP3" i="2"/>
  <c r="BQ3" i="2"/>
  <c r="BT3" i="2"/>
  <c r="BX3" i="2" s="1"/>
  <c r="BW3" i="2"/>
  <c r="BY3" i="2"/>
  <c r="CA3" i="2"/>
  <c r="CB3" i="2"/>
  <c r="CC3" i="2"/>
  <c r="CE3" i="2"/>
  <c r="CG3" i="2"/>
  <c r="CI3" i="2"/>
  <c r="CR3" i="2"/>
  <c r="CT3" i="2"/>
  <c r="CV3" i="2"/>
  <c r="CX3" i="2"/>
  <c r="CZ3" i="2"/>
  <c r="DA3" i="2"/>
  <c r="DD3" i="2"/>
  <c r="DE3" i="2"/>
  <c r="B10" i="2"/>
  <c r="C10" i="2"/>
  <c r="D10" i="2"/>
  <c r="E10" i="2"/>
  <c r="F10" i="2"/>
  <c r="G10" i="2"/>
  <c r="H10" i="2"/>
  <c r="I10" i="2"/>
  <c r="J10" i="2"/>
  <c r="L10" i="2"/>
  <c r="CP10" i="2" s="1"/>
  <c r="M10" i="2"/>
  <c r="N10" i="2" s="1"/>
  <c r="O10" i="2"/>
  <c r="P10" i="2"/>
  <c r="Q10" i="2"/>
  <c r="S10" i="2"/>
  <c r="T10" i="2" s="1"/>
  <c r="V10" i="2"/>
  <c r="W10" i="2" s="1"/>
  <c r="X10" i="2"/>
  <c r="AA10" i="2"/>
  <c r="AB10" i="2"/>
  <c r="AC10" i="2"/>
  <c r="AD10" i="2"/>
  <c r="AE10" i="2"/>
  <c r="AF10" i="2"/>
  <c r="AG10" i="2"/>
  <c r="AJ10" i="2"/>
  <c r="AN10" i="2"/>
  <c r="AO10" i="2" s="1"/>
  <c r="AP10" i="2"/>
  <c r="AX10" i="2" s="1"/>
  <c r="AS10" i="2"/>
  <c r="BN10" i="2" s="1"/>
  <c r="AY10" i="2"/>
  <c r="AZ10" i="2"/>
  <c r="BB10" i="2"/>
  <c r="BC10" i="2"/>
  <c r="BG10" i="2"/>
  <c r="BI10" i="2" s="1"/>
  <c r="BH10" i="2"/>
  <c r="BJ10" i="2"/>
  <c r="BL10" i="2"/>
  <c r="BM10" i="2"/>
  <c r="BP10" i="2"/>
  <c r="BQ10" i="2"/>
  <c r="BT10" i="2"/>
  <c r="BU10" i="2" s="1"/>
  <c r="BW10" i="2"/>
  <c r="BY10" i="2"/>
  <c r="CA10" i="2"/>
  <c r="CB10" i="2"/>
  <c r="CC10" i="2"/>
  <c r="CE10" i="2"/>
  <c r="CG10" i="2"/>
  <c r="CI10" i="2"/>
  <c r="CR10" i="2"/>
  <c r="CT10" i="2"/>
  <c r="CV10" i="2"/>
  <c r="CX10" i="2"/>
  <c r="CZ10" i="2"/>
  <c r="DA10" i="2"/>
  <c r="DD10" i="2"/>
  <c r="DE10" i="2"/>
  <c r="B4" i="2"/>
  <c r="C4" i="2"/>
  <c r="D4" i="2"/>
  <c r="E4" i="2"/>
  <c r="F4" i="2"/>
  <c r="G4" i="2"/>
  <c r="H4" i="2"/>
  <c r="I4" i="2"/>
  <c r="J4" i="2"/>
  <c r="L4" i="2"/>
  <c r="BD4" i="2" s="1"/>
  <c r="M4" i="2"/>
  <c r="N4" i="2" s="1"/>
  <c r="O4" i="2"/>
  <c r="P4" i="2"/>
  <c r="Q4" i="2"/>
  <c r="S4" i="2"/>
  <c r="T4" i="2" s="1"/>
  <c r="V4" i="2"/>
  <c r="X4" i="2"/>
  <c r="AA4" i="2"/>
  <c r="AB4" i="2"/>
  <c r="AC4" i="2"/>
  <c r="AD4" i="2"/>
  <c r="AE4" i="2"/>
  <c r="AF4" i="2"/>
  <c r="AI4" i="2" s="1"/>
  <c r="AG4" i="2"/>
  <c r="AJ4" i="2"/>
  <c r="AN4" i="2"/>
  <c r="AP4" i="2"/>
  <c r="AQ4" i="2" s="1"/>
  <c r="AS4" i="2"/>
  <c r="CN4" i="2" s="1"/>
  <c r="CO4" i="2" s="1"/>
  <c r="AY4" i="2"/>
  <c r="AZ4" i="2"/>
  <c r="BB4" i="2"/>
  <c r="BC4" i="2"/>
  <c r="BG4" i="2"/>
  <c r="BI4" i="2" s="1"/>
  <c r="BH4" i="2"/>
  <c r="BJ4" i="2"/>
  <c r="BL4" i="2"/>
  <c r="BM4" i="2"/>
  <c r="BP4" i="2"/>
  <c r="BQ4" i="2"/>
  <c r="BT4" i="2"/>
  <c r="BW4" i="2"/>
  <c r="BY4" i="2"/>
  <c r="CA4" i="2"/>
  <c r="CB4" i="2"/>
  <c r="CC4" i="2"/>
  <c r="CE4" i="2"/>
  <c r="CG4" i="2"/>
  <c r="CI4" i="2"/>
  <c r="CR4" i="2"/>
  <c r="CT4" i="2"/>
  <c r="CV4" i="2"/>
  <c r="CX4" i="2"/>
  <c r="CZ4" i="2"/>
  <c r="DA4" i="2"/>
  <c r="DD4" i="2"/>
  <c r="DE4" i="2"/>
  <c r="A9" i="16"/>
  <c r="A10" i="16"/>
  <c r="B9" i="16"/>
  <c r="C9" i="16"/>
  <c r="D9" i="16"/>
  <c r="E9" i="16"/>
  <c r="F9" i="16"/>
  <c r="G9" i="16"/>
  <c r="H9" i="16"/>
  <c r="I9" i="16"/>
  <c r="J9" i="16"/>
  <c r="L9" i="16"/>
  <c r="BX9" i="16" s="1"/>
  <c r="M9" i="16"/>
  <c r="N9" i="16" s="1"/>
  <c r="O9" i="16"/>
  <c r="P9" i="16"/>
  <c r="Q9" i="16"/>
  <c r="R9" i="16"/>
  <c r="U9" i="16"/>
  <c r="V9" i="16"/>
  <c r="X9" i="16"/>
  <c r="Y9" i="16"/>
  <c r="AA9" i="16" s="1"/>
  <c r="Z9" i="16"/>
  <c r="AB9" i="16"/>
  <c r="AD9" i="16"/>
  <c r="AF9" i="16"/>
  <c r="AM9" i="16"/>
  <c r="AN9" i="16"/>
  <c r="AO9" i="16"/>
  <c r="AQ9" i="16"/>
  <c r="AT9" i="16"/>
  <c r="AU9" i="16"/>
  <c r="AV9" i="16"/>
  <c r="AW9" i="16"/>
  <c r="AY9" i="16"/>
  <c r="BB9" i="16"/>
  <c r="BD9" i="16"/>
  <c r="BF9" i="16"/>
  <c r="BH9" i="16"/>
  <c r="BK9" i="16"/>
  <c r="BM9" i="16"/>
  <c r="BO9" i="16"/>
  <c r="BR9" i="16"/>
  <c r="BT9" i="16"/>
  <c r="BW9" i="16"/>
  <c r="BY9" i="16"/>
  <c r="CB9" i="16"/>
  <c r="CE9" i="16"/>
  <c r="CG9" i="16"/>
  <c r="CH9" i="16"/>
  <c r="CJ9" i="16"/>
  <c r="CL9" i="16"/>
  <c r="CN9" i="16"/>
  <c r="CP9" i="16"/>
  <c r="CR9" i="16"/>
  <c r="CT9" i="16"/>
  <c r="CV9" i="16"/>
  <c r="CY9" i="16"/>
  <c r="DA9" i="16"/>
  <c r="DD9" i="16"/>
  <c r="DE9" i="16"/>
  <c r="DI9" i="16"/>
  <c r="DP9" i="16"/>
  <c r="DR9" i="16"/>
  <c r="DS9" i="16"/>
  <c r="DU9" i="16"/>
  <c r="DX9" i="16"/>
  <c r="DY9" i="16"/>
  <c r="A11" i="16"/>
  <c r="B5" i="16"/>
  <c r="C5" i="16"/>
  <c r="D5" i="16"/>
  <c r="E5" i="16"/>
  <c r="F5" i="16"/>
  <c r="G5" i="16"/>
  <c r="H5" i="16"/>
  <c r="I5" i="16"/>
  <c r="J5" i="16"/>
  <c r="L5" i="16"/>
  <c r="M5" i="16"/>
  <c r="N5" i="16" s="1"/>
  <c r="O5" i="16"/>
  <c r="P5" i="16"/>
  <c r="Q5" i="16"/>
  <c r="R5" i="16"/>
  <c r="U5" i="16"/>
  <c r="V5" i="16"/>
  <c r="X5" i="16"/>
  <c r="Y5" i="16"/>
  <c r="Z5" i="16"/>
  <c r="AB5" i="16"/>
  <c r="AD5" i="16"/>
  <c r="AF5" i="16"/>
  <c r="AM5" i="16"/>
  <c r="AN5" i="16"/>
  <c r="AO5" i="16"/>
  <c r="AP5" i="16" s="1"/>
  <c r="AQ5" i="16"/>
  <c r="AR5" i="16" s="1"/>
  <c r="AT5" i="16"/>
  <c r="AU5" i="16"/>
  <c r="AV5" i="16"/>
  <c r="AW5" i="16"/>
  <c r="AY5" i="16"/>
  <c r="BB5" i="16"/>
  <c r="BD5" i="16"/>
  <c r="BF5" i="16"/>
  <c r="BJ5" i="16" s="1"/>
  <c r="BH5" i="16"/>
  <c r="BK5" i="16"/>
  <c r="BM5" i="16"/>
  <c r="BO5" i="16"/>
  <c r="BR5" i="16"/>
  <c r="BT5" i="16"/>
  <c r="BW5" i="16"/>
  <c r="BY5" i="16"/>
  <c r="BZ5" i="16" s="1"/>
  <c r="CB5" i="16"/>
  <c r="CD5" i="16" s="1"/>
  <c r="CE5" i="16"/>
  <c r="CG5" i="16"/>
  <c r="CH5" i="16"/>
  <c r="CJ5" i="16"/>
  <c r="CL5" i="16"/>
  <c r="CN5" i="16"/>
  <c r="CP5" i="16"/>
  <c r="CR5" i="16"/>
  <c r="CT5" i="16"/>
  <c r="CV5" i="16"/>
  <c r="CY5" i="16"/>
  <c r="DA5" i="16"/>
  <c r="DD5" i="16"/>
  <c r="DE5" i="16"/>
  <c r="DI5" i="16"/>
  <c r="DP5" i="16"/>
  <c r="DR5" i="16"/>
  <c r="DS5" i="16"/>
  <c r="DU5" i="16"/>
  <c r="DX5" i="16"/>
  <c r="DY5" i="16"/>
  <c r="B11" i="16"/>
  <c r="C11" i="16"/>
  <c r="D11" i="16"/>
  <c r="E11" i="16"/>
  <c r="F11" i="16"/>
  <c r="G11" i="16"/>
  <c r="H11" i="16"/>
  <c r="I11" i="16"/>
  <c r="J11" i="16"/>
  <c r="L11" i="16"/>
  <c r="BA11" i="16" s="1"/>
  <c r="M11" i="16"/>
  <c r="N11" i="16" s="1"/>
  <c r="O11" i="16"/>
  <c r="P11" i="16"/>
  <c r="Q11" i="16"/>
  <c r="R11" i="16"/>
  <c r="U11" i="16"/>
  <c r="V11" i="16"/>
  <c r="X11" i="16"/>
  <c r="Y11" i="16"/>
  <c r="Z11" i="16"/>
  <c r="AB11" i="16"/>
  <c r="AD11" i="16"/>
  <c r="AF11" i="16"/>
  <c r="AH11" i="16" s="1"/>
  <c r="AM11" i="16"/>
  <c r="AN11" i="16"/>
  <c r="AO11" i="16"/>
  <c r="AQ11" i="16"/>
  <c r="AT11" i="16"/>
  <c r="AU11" i="16"/>
  <c r="AV11" i="16"/>
  <c r="AW11" i="16"/>
  <c r="AY11" i="16"/>
  <c r="BB11" i="16"/>
  <c r="BD11" i="16"/>
  <c r="BF11" i="16"/>
  <c r="BH11" i="16"/>
  <c r="BK11" i="16"/>
  <c r="BM11" i="16"/>
  <c r="BO11" i="16"/>
  <c r="BR11" i="16"/>
  <c r="BT11" i="16"/>
  <c r="BW11" i="16"/>
  <c r="BY11" i="16"/>
  <c r="CB11" i="16"/>
  <c r="DM11" i="16" s="1"/>
  <c r="CE11" i="16"/>
  <c r="CG11" i="16"/>
  <c r="CH11" i="16"/>
  <c r="CJ11" i="16"/>
  <c r="CL11" i="16"/>
  <c r="CN11" i="16"/>
  <c r="CP11" i="16"/>
  <c r="CR11" i="16"/>
  <c r="CT11" i="16"/>
  <c r="CV11" i="16"/>
  <c r="CY11" i="16"/>
  <c r="DA11" i="16"/>
  <c r="DD11" i="16"/>
  <c r="DE11" i="16"/>
  <c r="DI11" i="16"/>
  <c r="DP11" i="16"/>
  <c r="DR11" i="16"/>
  <c r="DS11" i="16"/>
  <c r="DU11" i="16"/>
  <c r="DX11" i="16"/>
  <c r="DY11" i="16"/>
  <c r="B4" i="16"/>
  <c r="C4" i="16"/>
  <c r="D4" i="16"/>
  <c r="E4" i="16"/>
  <c r="F4" i="16"/>
  <c r="G4" i="16"/>
  <c r="H4" i="16"/>
  <c r="I4" i="16"/>
  <c r="J4" i="16"/>
  <c r="L4" i="16"/>
  <c r="M4" i="16"/>
  <c r="N4" i="16" s="1"/>
  <c r="O4" i="16"/>
  <c r="P4" i="16"/>
  <c r="Q4" i="16"/>
  <c r="R4" i="16"/>
  <c r="U4" i="16"/>
  <c r="V4" i="16"/>
  <c r="X4" i="16"/>
  <c r="Y4" i="16"/>
  <c r="Z4" i="16"/>
  <c r="AB4" i="16"/>
  <c r="AD4" i="16"/>
  <c r="AF4" i="16"/>
  <c r="AH4" i="16" s="1"/>
  <c r="AM4" i="16"/>
  <c r="AN4" i="16"/>
  <c r="AO4" i="16"/>
  <c r="AQ4" i="16"/>
  <c r="AT4" i="16"/>
  <c r="AU4" i="16"/>
  <c r="AV4" i="16"/>
  <c r="AW4" i="16"/>
  <c r="AY4" i="16"/>
  <c r="BB4" i="16"/>
  <c r="BD4" i="16"/>
  <c r="BF4" i="16"/>
  <c r="BH4" i="16"/>
  <c r="BK4" i="16"/>
  <c r="BM4" i="16"/>
  <c r="BO4" i="16"/>
  <c r="BR4" i="16"/>
  <c r="BT4" i="16"/>
  <c r="BW4" i="16"/>
  <c r="BY4" i="16"/>
  <c r="CB4" i="16"/>
  <c r="CD4" i="16" s="1"/>
  <c r="CE4" i="16"/>
  <c r="CG4" i="16"/>
  <c r="CH4" i="16"/>
  <c r="CJ4" i="16"/>
  <c r="CL4" i="16"/>
  <c r="CO4" i="16" s="1"/>
  <c r="CN4" i="16"/>
  <c r="CP4" i="16"/>
  <c r="CR4" i="16"/>
  <c r="CT4" i="16"/>
  <c r="CV4" i="16"/>
  <c r="CY4" i="16"/>
  <c r="DA4" i="16"/>
  <c r="DD4" i="16"/>
  <c r="DE4" i="16"/>
  <c r="DI4" i="16"/>
  <c r="DP4" i="16"/>
  <c r="DR4" i="16"/>
  <c r="DS4" i="16"/>
  <c r="DU4" i="16"/>
  <c r="DX4" i="16"/>
  <c r="DY4" i="16"/>
  <c r="B3" i="16"/>
  <c r="C3" i="16"/>
  <c r="D3" i="16"/>
  <c r="E3" i="16"/>
  <c r="F3" i="16"/>
  <c r="G3" i="16"/>
  <c r="H3" i="16"/>
  <c r="I3" i="16"/>
  <c r="J3" i="16"/>
  <c r="L3" i="16"/>
  <c r="BN3" i="16" s="1"/>
  <c r="M3" i="16"/>
  <c r="N3" i="16" s="1"/>
  <c r="O3" i="16"/>
  <c r="P3" i="16"/>
  <c r="Q3" i="16"/>
  <c r="R3" i="16"/>
  <c r="U3" i="16"/>
  <c r="V3" i="16"/>
  <c r="X3" i="16"/>
  <c r="Y3" i="16"/>
  <c r="Z3" i="16"/>
  <c r="AB3" i="16"/>
  <c r="AD3" i="16"/>
  <c r="AF3" i="16"/>
  <c r="AG3" i="16" s="1"/>
  <c r="AM3" i="16"/>
  <c r="AL3" i="16" s="1"/>
  <c r="DK3" i="16" s="1"/>
  <c r="AN3" i="16"/>
  <c r="AO3" i="16"/>
  <c r="AQ3" i="16"/>
  <c r="AT3" i="16"/>
  <c r="AU3" i="16"/>
  <c r="AV3" i="16"/>
  <c r="AW3" i="16"/>
  <c r="AY3" i="16"/>
  <c r="BB3" i="16"/>
  <c r="BD3" i="16"/>
  <c r="BF3" i="16"/>
  <c r="BH3" i="16"/>
  <c r="BK3" i="16"/>
  <c r="BM3" i="16"/>
  <c r="BO3" i="16"/>
  <c r="BR3" i="16"/>
  <c r="BS3" i="16" s="1"/>
  <c r="BT3" i="16"/>
  <c r="BW3" i="16"/>
  <c r="BY3" i="16"/>
  <c r="CB3" i="16"/>
  <c r="CE3" i="16"/>
  <c r="CG3" i="16"/>
  <c r="CH3" i="16"/>
  <c r="CJ3" i="16"/>
  <c r="CL3" i="16"/>
  <c r="CN3" i="16"/>
  <c r="CP3" i="16"/>
  <c r="CR3" i="16"/>
  <c r="CT3" i="16"/>
  <c r="CV3" i="16"/>
  <c r="CY3" i="16"/>
  <c r="CZ3" i="16" s="1"/>
  <c r="DA3" i="16"/>
  <c r="DD3" i="16"/>
  <c r="DE3" i="16"/>
  <c r="DI3" i="16"/>
  <c r="DP3" i="16"/>
  <c r="DR3" i="16"/>
  <c r="DS3" i="16"/>
  <c r="DU3" i="16"/>
  <c r="DX3" i="16"/>
  <c r="DY3" i="16"/>
  <c r="B10" i="16"/>
  <c r="C10" i="16"/>
  <c r="D10" i="16"/>
  <c r="E10" i="16"/>
  <c r="F10" i="16"/>
  <c r="G10" i="16"/>
  <c r="H10" i="16"/>
  <c r="I10" i="16"/>
  <c r="J10" i="16"/>
  <c r="L10" i="16"/>
  <c r="BX10" i="16" s="1"/>
  <c r="M10" i="16"/>
  <c r="N10" i="16" s="1"/>
  <c r="O10" i="16"/>
  <c r="P10" i="16"/>
  <c r="Q10" i="16"/>
  <c r="R10" i="16"/>
  <c r="U10" i="16"/>
  <c r="V10" i="16"/>
  <c r="X10" i="16"/>
  <c r="Y10" i="16"/>
  <c r="AA10" i="16" s="1"/>
  <c r="Z10" i="16"/>
  <c r="AB10" i="16"/>
  <c r="AD10" i="16"/>
  <c r="AF10" i="16"/>
  <c r="AM10" i="16"/>
  <c r="AN10" i="16"/>
  <c r="AO10" i="16"/>
  <c r="AP10" i="16" s="1"/>
  <c r="AQ10" i="16"/>
  <c r="AT10" i="16"/>
  <c r="AU10" i="16"/>
  <c r="AV10" i="16"/>
  <c r="AW10" i="16"/>
  <c r="AY10" i="16"/>
  <c r="BB10" i="16"/>
  <c r="BD10" i="16"/>
  <c r="BF10" i="16"/>
  <c r="BH10" i="16"/>
  <c r="BK10" i="16"/>
  <c r="BM10" i="16"/>
  <c r="BO10" i="16"/>
  <c r="BR10" i="16"/>
  <c r="BT10" i="16"/>
  <c r="BW10" i="16"/>
  <c r="BY10" i="16"/>
  <c r="CB10" i="16"/>
  <c r="CD10" i="16" s="1"/>
  <c r="CE10" i="16"/>
  <c r="CG10" i="16"/>
  <c r="CH10" i="16"/>
  <c r="CJ10" i="16"/>
  <c r="CL10" i="16"/>
  <c r="CN10" i="16"/>
  <c r="CP10" i="16"/>
  <c r="CR10" i="16"/>
  <c r="CT10" i="16"/>
  <c r="CV10" i="16"/>
  <c r="CY10" i="16"/>
  <c r="DA10" i="16"/>
  <c r="DD10" i="16"/>
  <c r="DE10" i="16"/>
  <c r="DI10" i="16"/>
  <c r="DP10" i="16"/>
  <c r="DR10" i="16"/>
  <c r="DS10" i="16"/>
  <c r="DU10" i="16"/>
  <c r="DX10" i="16"/>
  <c r="DY10" i="16"/>
  <c r="B2" i="16"/>
  <c r="C2" i="16"/>
  <c r="D2" i="16"/>
  <c r="E2" i="16"/>
  <c r="F2" i="16"/>
  <c r="G2" i="16"/>
  <c r="H2" i="16"/>
  <c r="I2" i="16"/>
  <c r="J2" i="16"/>
  <c r="L2" i="16"/>
  <c r="BA2" i="16" s="1"/>
  <c r="M2" i="16"/>
  <c r="N2" i="16" s="1"/>
  <c r="O2" i="16"/>
  <c r="P2" i="16"/>
  <c r="Q2" i="16"/>
  <c r="R2" i="16"/>
  <c r="U2" i="16"/>
  <c r="V2" i="16"/>
  <c r="X2" i="16"/>
  <c r="Y2" i="16"/>
  <c r="Z2" i="16"/>
  <c r="AB2" i="16"/>
  <c r="AD2" i="16"/>
  <c r="AF2" i="16"/>
  <c r="AM2" i="16"/>
  <c r="AN2" i="16"/>
  <c r="AO2" i="16"/>
  <c r="AQ2" i="16"/>
  <c r="AT2" i="16"/>
  <c r="AU2" i="16"/>
  <c r="AV2" i="16"/>
  <c r="AW2" i="16"/>
  <c r="AY2" i="16"/>
  <c r="BB2" i="16"/>
  <c r="BD2" i="16"/>
  <c r="BF2" i="16"/>
  <c r="BH2" i="16"/>
  <c r="BK2" i="16"/>
  <c r="BM2" i="16"/>
  <c r="BO2" i="16"/>
  <c r="BR2" i="16"/>
  <c r="BT2" i="16"/>
  <c r="BW2" i="16"/>
  <c r="BY2" i="16"/>
  <c r="CB2" i="16"/>
  <c r="DM2" i="16" s="1"/>
  <c r="CE2" i="16"/>
  <c r="CG2" i="16"/>
  <c r="CH2" i="16"/>
  <c r="CJ2" i="16"/>
  <c r="CL2" i="16"/>
  <c r="CN2" i="16"/>
  <c r="CP2" i="16"/>
  <c r="CR2" i="16"/>
  <c r="CT2" i="16"/>
  <c r="CV2" i="16"/>
  <c r="CY2" i="16"/>
  <c r="DA2" i="16"/>
  <c r="DD2" i="16"/>
  <c r="DE2" i="16"/>
  <c r="DI2" i="16"/>
  <c r="DP2" i="16"/>
  <c r="DR2" i="16"/>
  <c r="DS2" i="16"/>
  <c r="DU2" i="16"/>
  <c r="DX2" i="16"/>
  <c r="DY2" i="16"/>
  <c r="B7" i="16"/>
  <c r="C7" i="16"/>
  <c r="D7" i="16"/>
  <c r="E7" i="16"/>
  <c r="F7" i="16"/>
  <c r="G7" i="16"/>
  <c r="H7" i="16"/>
  <c r="I7" i="16"/>
  <c r="J7" i="16"/>
  <c r="L7" i="16"/>
  <c r="BX7" i="16" s="1"/>
  <c r="M7" i="16"/>
  <c r="N7" i="16" s="1"/>
  <c r="O7" i="16"/>
  <c r="P7" i="16"/>
  <c r="Q7" i="16"/>
  <c r="R7" i="16"/>
  <c r="U7" i="16"/>
  <c r="V7" i="16"/>
  <c r="X7" i="16"/>
  <c r="Y7" i="16"/>
  <c r="Z7" i="16"/>
  <c r="AB7" i="16"/>
  <c r="AD7" i="16"/>
  <c r="AF7" i="16"/>
  <c r="AM7" i="16"/>
  <c r="AN7" i="16"/>
  <c r="AO7" i="16"/>
  <c r="AQ7" i="16"/>
  <c r="AT7" i="16"/>
  <c r="AU7" i="16"/>
  <c r="AV7" i="16"/>
  <c r="AW7" i="16"/>
  <c r="AY7" i="16"/>
  <c r="BB7" i="16"/>
  <c r="BD7" i="16"/>
  <c r="BF7" i="16"/>
  <c r="BH7" i="16"/>
  <c r="BK7" i="16"/>
  <c r="BM7" i="16"/>
  <c r="BO7" i="16"/>
  <c r="BR7" i="16"/>
  <c r="BT7" i="16"/>
  <c r="BW7" i="16"/>
  <c r="BY7" i="16"/>
  <c r="CB7" i="16"/>
  <c r="DM7" i="16" s="1"/>
  <c r="DN7" i="16" s="1"/>
  <c r="CE7" i="16"/>
  <c r="CG7" i="16"/>
  <c r="CH7" i="16"/>
  <c r="CJ7" i="16"/>
  <c r="CL7" i="16"/>
  <c r="CN7" i="16"/>
  <c r="CP7" i="16"/>
  <c r="CR7" i="16"/>
  <c r="CT7" i="16"/>
  <c r="CV7" i="16"/>
  <c r="CY7" i="16"/>
  <c r="CZ7" i="16" s="1"/>
  <c r="DA7" i="16"/>
  <c r="DD7" i="16"/>
  <c r="DE7" i="16"/>
  <c r="DI7" i="16"/>
  <c r="DP7" i="16"/>
  <c r="DR7" i="16"/>
  <c r="DS7" i="16"/>
  <c r="DU7" i="16"/>
  <c r="DX7" i="16"/>
  <c r="DY7" i="16"/>
  <c r="B8" i="16"/>
  <c r="C8" i="16"/>
  <c r="D8" i="16"/>
  <c r="E8" i="16"/>
  <c r="F8" i="16"/>
  <c r="G8" i="16"/>
  <c r="H8" i="16"/>
  <c r="I8" i="16"/>
  <c r="J8" i="16"/>
  <c r="L8" i="16"/>
  <c r="BN8" i="16" s="1"/>
  <c r="M8" i="16"/>
  <c r="N8" i="16" s="1"/>
  <c r="O8" i="16"/>
  <c r="P8" i="16"/>
  <c r="Q8" i="16"/>
  <c r="R8" i="16"/>
  <c r="U8" i="16"/>
  <c r="V8" i="16"/>
  <c r="X8" i="16"/>
  <c r="Y8" i="16"/>
  <c r="Z8" i="16"/>
  <c r="AB8" i="16"/>
  <c r="AD8" i="16"/>
  <c r="AF8" i="16"/>
  <c r="AM8" i="16"/>
  <c r="AN8" i="16"/>
  <c r="AO8" i="16"/>
  <c r="AQ8" i="16"/>
  <c r="AT8" i="16"/>
  <c r="AU8" i="16"/>
  <c r="AV8" i="16"/>
  <c r="AW8" i="16"/>
  <c r="AY8" i="16"/>
  <c r="BB8" i="16"/>
  <c r="BD8" i="16"/>
  <c r="BF8" i="16"/>
  <c r="BH8" i="16"/>
  <c r="BK8" i="16"/>
  <c r="BM8" i="16"/>
  <c r="BO8" i="16"/>
  <c r="BR8" i="16"/>
  <c r="BT8" i="16"/>
  <c r="BW8" i="16"/>
  <c r="BY8" i="16"/>
  <c r="CB8" i="16"/>
  <c r="CD8" i="16" s="1"/>
  <c r="CE8" i="16"/>
  <c r="CG8" i="16"/>
  <c r="CH8" i="16"/>
  <c r="CJ8" i="16"/>
  <c r="CL8" i="16"/>
  <c r="CO8" i="16" s="1"/>
  <c r="CN8" i="16"/>
  <c r="CP8" i="16"/>
  <c r="CR8" i="16"/>
  <c r="CT8" i="16"/>
  <c r="CV8" i="16"/>
  <c r="CY8" i="16"/>
  <c r="DA8" i="16"/>
  <c r="DD8" i="16"/>
  <c r="DE8" i="16"/>
  <c r="DI8" i="16"/>
  <c r="DP8" i="16"/>
  <c r="DR8" i="16"/>
  <c r="DS8" i="16"/>
  <c r="DU8" i="16"/>
  <c r="DX8" i="16"/>
  <c r="DY8" i="16"/>
  <c r="B6" i="19"/>
  <c r="B7" i="19"/>
  <c r="C3" i="19"/>
  <c r="D3" i="19"/>
  <c r="E3" i="19"/>
  <c r="F3" i="19"/>
  <c r="H3" i="19"/>
  <c r="I3" i="19"/>
  <c r="K3" i="19" s="1"/>
  <c r="L3" i="19"/>
  <c r="N3" i="19"/>
  <c r="O3" i="19"/>
  <c r="P3" i="19"/>
  <c r="Q3" i="19"/>
  <c r="R3" i="19"/>
  <c r="S3" i="19"/>
  <c r="T3" i="19"/>
  <c r="U3" i="19"/>
  <c r="X3" i="19"/>
  <c r="B8" i="19"/>
  <c r="C2" i="19"/>
  <c r="D2" i="19"/>
  <c r="E2" i="19"/>
  <c r="F2" i="19"/>
  <c r="H2" i="19"/>
  <c r="M2" i="19" s="1"/>
  <c r="I2" i="19"/>
  <c r="K2" i="19" s="1"/>
  <c r="L2" i="19"/>
  <c r="N2" i="19"/>
  <c r="P2" i="19" s="1"/>
  <c r="O2" i="19"/>
  <c r="Q2" i="19"/>
  <c r="S2" i="19"/>
  <c r="T2" i="19"/>
  <c r="U2" i="19"/>
  <c r="X2" i="19"/>
  <c r="B9" i="19"/>
  <c r="B10" i="19"/>
  <c r="B11" i="19"/>
  <c r="C5" i="19"/>
  <c r="D5" i="19"/>
  <c r="E5" i="19"/>
  <c r="F5" i="19"/>
  <c r="H5" i="19"/>
  <c r="R5" i="19" s="1"/>
  <c r="I5" i="19"/>
  <c r="K5" i="19" s="1"/>
  <c r="L5" i="19"/>
  <c r="N5" i="19"/>
  <c r="P5" i="19" s="1"/>
  <c r="O5" i="19"/>
  <c r="Q5" i="19"/>
  <c r="S5" i="19"/>
  <c r="T5" i="19"/>
  <c r="U5" i="19"/>
  <c r="X5" i="19"/>
  <c r="C7" i="19"/>
  <c r="D7" i="19"/>
  <c r="E7" i="19"/>
  <c r="F7" i="19"/>
  <c r="H7" i="19"/>
  <c r="R7" i="19" s="1"/>
  <c r="I7" i="19"/>
  <c r="K7" i="19" s="1"/>
  <c r="L7" i="19"/>
  <c r="N7" i="19"/>
  <c r="Q7" i="19"/>
  <c r="S7" i="19"/>
  <c r="T7" i="19"/>
  <c r="U7" i="19"/>
  <c r="X7" i="19"/>
  <c r="C11" i="19"/>
  <c r="D11" i="19"/>
  <c r="E11" i="19"/>
  <c r="F11" i="19"/>
  <c r="H11" i="19"/>
  <c r="R11" i="19" s="1"/>
  <c r="I11" i="19"/>
  <c r="J11" i="19" s="1"/>
  <c r="L11" i="19"/>
  <c r="M11" i="19" s="1"/>
  <c r="N11" i="19"/>
  <c r="O11" i="19" s="1"/>
  <c r="Q11" i="19"/>
  <c r="S11" i="19"/>
  <c r="T11" i="19"/>
  <c r="U11" i="19"/>
  <c r="X11" i="19"/>
  <c r="C6" i="19"/>
  <c r="D6" i="19"/>
  <c r="E6" i="19"/>
  <c r="F6" i="19"/>
  <c r="H6" i="19"/>
  <c r="R6" i="19" s="1"/>
  <c r="I6" i="19"/>
  <c r="K6" i="19" s="1"/>
  <c r="L6" i="19"/>
  <c r="N6" i="19"/>
  <c r="O6" i="19" s="1"/>
  <c r="Q6" i="19"/>
  <c r="S6" i="19"/>
  <c r="T6" i="19"/>
  <c r="U6" i="19"/>
  <c r="X6" i="19"/>
  <c r="C9" i="19"/>
  <c r="D9" i="19"/>
  <c r="E9" i="19"/>
  <c r="F9" i="19"/>
  <c r="H9" i="19"/>
  <c r="R9" i="19" s="1"/>
  <c r="I9" i="19"/>
  <c r="K9" i="19" s="1"/>
  <c r="L9" i="19"/>
  <c r="N9" i="19"/>
  <c r="Q9" i="19"/>
  <c r="S9" i="19"/>
  <c r="T9" i="19"/>
  <c r="U9" i="19"/>
  <c r="X9" i="19"/>
  <c r="C4" i="19"/>
  <c r="D4" i="19"/>
  <c r="E4" i="19"/>
  <c r="F4" i="19"/>
  <c r="H4" i="19"/>
  <c r="R4" i="19" s="1"/>
  <c r="I4" i="19"/>
  <c r="K4" i="19" s="1"/>
  <c r="L4" i="19"/>
  <c r="N4" i="19"/>
  <c r="Q4" i="19"/>
  <c r="S4" i="19"/>
  <c r="T4" i="19"/>
  <c r="U4" i="19"/>
  <c r="X4" i="19"/>
  <c r="C8" i="19"/>
  <c r="D8" i="19"/>
  <c r="E8" i="19"/>
  <c r="F8" i="19"/>
  <c r="H8" i="19"/>
  <c r="R8" i="19" s="1"/>
  <c r="I8" i="19"/>
  <c r="K8" i="19" s="1"/>
  <c r="L8" i="19"/>
  <c r="N8" i="19"/>
  <c r="Q8" i="19"/>
  <c r="S8" i="19"/>
  <c r="T8" i="19"/>
  <c r="U8" i="19"/>
  <c r="X8" i="19"/>
  <c r="B4" i="17"/>
  <c r="C4" i="17"/>
  <c r="D4" i="17"/>
  <c r="E4" i="17"/>
  <c r="F4" i="17"/>
  <c r="G4" i="17"/>
  <c r="H4" i="17"/>
  <c r="I4" i="17"/>
  <c r="J4" i="17"/>
  <c r="L4" i="17"/>
  <c r="M4" i="17"/>
  <c r="N4" i="17" s="1"/>
  <c r="P4" i="17"/>
  <c r="Q4" i="17"/>
  <c r="W4" i="17"/>
  <c r="Y4" i="17"/>
  <c r="AB4" i="17"/>
  <c r="AD4" i="17"/>
  <c r="AG4" i="17"/>
  <c r="AJ4" i="17"/>
  <c r="AN4" i="17"/>
  <c r="AP4" i="17"/>
  <c r="AR4" i="17"/>
  <c r="AX4" i="17"/>
  <c r="AY4" i="17"/>
  <c r="AZ4" i="17"/>
  <c r="BA4" i="17"/>
  <c r="BF4" i="17" s="1"/>
  <c r="BG4" i="17"/>
  <c r="BI4" i="17"/>
  <c r="BK4" i="17"/>
  <c r="BL4" i="17"/>
  <c r="BM4" i="17"/>
  <c r="BO4" i="17"/>
  <c r="BR4" i="17"/>
  <c r="BT4" i="17"/>
  <c r="BU4" i="17"/>
  <c r="BW4" i="17"/>
  <c r="BY4" i="17"/>
  <c r="CB4" i="17"/>
  <c r="CC4" i="17"/>
  <c r="CE4" i="17"/>
  <c r="CF4" i="17"/>
  <c r="CG4" i="17"/>
  <c r="CH4" i="17"/>
  <c r="CK4" i="17"/>
  <c r="B9" i="17"/>
  <c r="C9" i="17"/>
  <c r="D9" i="17"/>
  <c r="E9" i="17"/>
  <c r="F9" i="17"/>
  <c r="G9" i="17"/>
  <c r="H9" i="17"/>
  <c r="I9" i="17"/>
  <c r="J9" i="17"/>
  <c r="L9" i="17"/>
  <c r="M9" i="17"/>
  <c r="N9" i="17" s="1"/>
  <c r="P9" i="17"/>
  <c r="Q9" i="17"/>
  <c r="R9" i="17" s="1"/>
  <c r="W9" i="17"/>
  <c r="X9" i="17" s="1"/>
  <c r="Y9" i="17"/>
  <c r="Z9" i="17" s="1"/>
  <c r="AB9" i="17"/>
  <c r="AC9" i="17" s="1"/>
  <c r="AD9" i="17"/>
  <c r="AE9" i="17" s="1"/>
  <c r="AG9" i="17"/>
  <c r="AJ9" i="17"/>
  <c r="AN9" i="17"/>
  <c r="AP9" i="17"/>
  <c r="AR9" i="17"/>
  <c r="AX9" i="17"/>
  <c r="AY9" i="17"/>
  <c r="AZ9" i="17"/>
  <c r="BA9" i="17"/>
  <c r="BB9" i="17" s="1"/>
  <c r="BG9" i="17"/>
  <c r="BH9" i="17" s="1"/>
  <c r="BI9" i="17"/>
  <c r="AU9" i="17" s="1"/>
  <c r="BK9" i="17"/>
  <c r="BL9" i="17"/>
  <c r="BM9" i="17"/>
  <c r="BO9" i="17"/>
  <c r="BR9" i="17"/>
  <c r="BQ9" i="17" s="1"/>
  <c r="BT9" i="17"/>
  <c r="BU9" i="17"/>
  <c r="BW9" i="17"/>
  <c r="BY9" i="17"/>
  <c r="CB9" i="17"/>
  <c r="CC9" i="17"/>
  <c r="CE9" i="17"/>
  <c r="CF9" i="17"/>
  <c r="CG9" i="17"/>
  <c r="CH9" i="17"/>
  <c r="CK9" i="17"/>
  <c r="B7" i="17"/>
  <c r="C7" i="17"/>
  <c r="D7" i="17"/>
  <c r="E7" i="17"/>
  <c r="F7" i="17"/>
  <c r="G7" i="17"/>
  <c r="H7" i="17"/>
  <c r="I7" i="17"/>
  <c r="J7" i="17"/>
  <c r="L7" i="17"/>
  <c r="M7" i="17"/>
  <c r="P7" i="17"/>
  <c r="Q7" i="17"/>
  <c r="W7" i="17"/>
  <c r="Y7" i="17"/>
  <c r="AB7" i="17"/>
  <c r="AD7" i="17"/>
  <c r="AG7" i="17"/>
  <c r="AJ7" i="17"/>
  <c r="AN7" i="17"/>
  <c r="AP7" i="17"/>
  <c r="AR7" i="17"/>
  <c r="AX7" i="17"/>
  <c r="AY7" i="17"/>
  <c r="AZ7" i="17"/>
  <c r="BA7" i="17"/>
  <c r="BG7" i="17"/>
  <c r="BI7" i="17"/>
  <c r="BK7" i="17"/>
  <c r="BL7" i="17"/>
  <c r="BM7" i="17"/>
  <c r="BN7" i="17" s="1"/>
  <c r="BO7" i="17"/>
  <c r="BR7" i="17"/>
  <c r="BT7" i="17"/>
  <c r="BU7" i="17"/>
  <c r="BW7" i="17"/>
  <c r="BY7" i="17"/>
  <c r="CB7" i="17"/>
  <c r="CC7" i="17"/>
  <c r="CE7" i="17"/>
  <c r="CF7" i="17"/>
  <c r="CG7" i="17"/>
  <c r="CH7" i="17"/>
  <c r="CK7" i="17"/>
  <c r="B8" i="17"/>
  <c r="C8" i="17"/>
  <c r="D8" i="17"/>
  <c r="E8" i="17"/>
  <c r="F8" i="17"/>
  <c r="G8" i="17"/>
  <c r="H8" i="17"/>
  <c r="I8" i="17"/>
  <c r="J8" i="17"/>
  <c r="L8" i="17"/>
  <c r="M8" i="17"/>
  <c r="N8" i="17" s="1"/>
  <c r="P8" i="17"/>
  <c r="Q8" i="17"/>
  <c r="W8" i="17"/>
  <c r="Y8" i="17"/>
  <c r="AB8" i="17"/>
  <c r="AD8" i="17"/>
  <c r="AG8" i="17"/>
  <c r="AJ8" i="17"/>
  <c r="AN8" i="17"/>
  <c r="AP8" i="17"/>
  <c r="AR8" i="17"/>
  <c r="AX8" i="17"/>
  <c r="AY8" i="17"/>
  <c r="AZ8" i="17"/>
  <c r="BA8" i="17"/>
  <c r="BG8" i="17"/>
  <c r="BI8" i="17"/>
  <c r="BK8" i="17"/>
  <c r="BL8" i="17"/>
  <c r="BM8" i="17"/>
  <c r="BO8" i="17"/>
  <c r="BR8" i="17"/>
  <c r="BT8" i="17"/>
  <c r="BU8" i="17"/>
  <c r="BW8" i="17"/>
  <c r="BY8" i="17"/>
  <c r="CB8" i="17"/>
  <c r="CC8" i="17"/>
  <c r="CE8" i="17"/>
  <c r="CF8" i="17"/>
  <c r="CG8" i="17"/>
  <c r="CH8" i="17"/>
  <c r="CK8" i="17"/>
  <c r="B3" i="17"/>
  <c r="C3" i="17"/>
  <c r="D3" i="17"/>
  <c r="E3" i="17"/>
  <c r="F3" i="17"/>
  <c r="G3" i="17"/>
  <c r="H3" i="17"/>
  <c r="I3" i="17"/>
  <c r="J3" i="17"/>
  <c r="L3" i="17"/>
  <c r="M3" i="17"/>
  <c r="N3" i="17" s="1"/>
  <c r="P3" i="17"/>
  <c r="Q3" i="17"/>
  <c r="W3" i="17"/>
  <c r="Y3" i="17"/>
  <c r="AB3" i="17"/>
  <c r="AD3" i="17"/>
  <c r="AG3" i="17"/>
  <c r="AJ3" i="17"/>
  <c r="AN3" i="17"/>
  <c r="AP3" i="17"/>
  <c r="AR3" i="17"/>
  <c r="AX3" i="17"/>
  <c r="AY3" i="17"/>
  <c r="AZ3" i="17"/>
  <c r="BA3" i="17"/>
  <c r="BG3" i="17"/>
  <c r="BI3" i="17"/>
  <c r="BK3" i="17"/>
  <c r="BL3" i="17"/>
  <c r="BM3" i="17"/>
  <c r="BO3" i="17"/>
  <c r="BR3" i="17"/>
  <c r="BT3" i="17"/>
  <c r="BU3" i="17"/>
  <c r="BW3" i="17"/>
  <c r="BY3" i="17"/>
  <c r="CB3" i="17"/>
  <c r="CC3" i="17"/>
  <c r="CE3" i="17"/>
  <c r="CF3" i="17"/>
  <c r="CG3" i="17"/>
  <c r="CH3" i="17"/>
  <c r="CK3" i="17"/>
  <c r="CG6" i="16"/>
  <c r="A6" i="16"/>
  <c r="A7" i="16"/>
  <c r="A8" i="16"/>
  <c r="B6" i="16"/>
  <c r="C6" i="16"/>
  <c r="D6" i="16"/>
  <c r="E6" i="16"/>
  <c r="F6" i="16"/>
  <c r="G6" i="16"/>
  <c r="H6" i="16"/>
  <c r="I6" i="16"/>
  <c r="J6" i="16"/>
  <c r="L6" i="16"/>
  <c r="BX6" i="16" s="1"/>
  <c r="M6" i="16"/>
  <c r="N6" i="16" s="1"/>
  <c r="O6" i="16"/>
  <c r="P6" i="16"/>
  <c r="Q6" i="16"/>
  <c r="R6" i="16"/>
  <c r="U6" i="16"/>
  <c r="V6" i="16"/>
  <c r="X6" i="16"/>
  <c r="Y6" i="16"/>
  <c r="Z6" i="16"/>
  <c r="AB6" i="16"/>
  <c r="AD6" i="16"/>
  <c r="AF6" i="16"/>
  <c r="AM6" i="16"/>
  <c r="AN6" i="16"/>
  <c r="AO6" i="16"/>
  <c r="AQ6" i="16"/>
  <c r="AT6" i="16"/>
  <c r="AU6" i="16"/>
  <c r="AV6" i="16"/>
  <c r="AW6" i="16"/>
  <c r="AY6" i="16"/>
  <c r="BB6" i="16"/>
  <c r="BD6" i="16"/>
  <c r="BF6" i="16"/>
  <c r="BH6" i="16"/>
  <c r="BK6" i="16"/>
  <c r="BM6" i="16"/>
  <c r="BO6" i="16"/>
  <c r="BR6" i="16"/>
  <c r="BT6" i="16"/>
  <c r="BW6" i="16"/>
  <c r="BY6" i="16"/>
  <c r="CB6" i="16"/>
  <c r="CD6" i="16" s="1"/>
  <c r="CE6" i="16"/>
  <c r="CH6" i="16"/>
  <c r="CJ6" i="16"/>
  <c r="CL6" i="16"/>
  <c r="CN6" i="16"/>
  <c r="CP6" i="16"/>
  <c r="CR6" i="16"/>
  <c r="CT6" i="16"/>
  <c r="CV6" i="16"/>
  <c r="CY6" i="16"/>
  <c r="DA6" i="16"/>
  <c r="DD6" i="16"/>
  <c r="DE6" i="16"/>
  <c r="DI6" i="16"/>
  <c r="DP6" i="16"/>
  <c r="DR6" i="16"/>
  <c r="DS6" i="16"/>
  <c r="DU6" i="16"/>
  <c r="DX6" i="16"/>
  <c r="DY6" i="16"/>
  <c r="A3" i="10"/>
  <c r="B6" i="10"/>
  <c r="C6" i="10"/>
  <c r="D6" i="10"/>
  <c r="E6" i="10"/>
  <c r="F6" i="10"/>
  <c r="G6" i="10"/>
  <c r="H6" i="10"/>
  <c r="I6" i="10"/>
  <c r="J6" i="10"/>
  <c r="L6" i="10"/>
  <c r="DL6" i="10" s="1"/>
  <c r="M6" i="10"/>
  <c r="N6" i="10" s="1"/>
  <c r="O6" i="10"/>
  <c r="P6" i="10"/>
  <c r="Q6" i="10"/>
  <c r="U6" i="10"/>
  <c r="V6" i="10" s="1"/>
  <c r="X6" i="10"/>
  <c r="Y6" i="10"/>
  <c r="AA6" i="10"/>
  <c r="AB6" i="10"/>
  <c r="AD6" i="10"/>
  <c r="AL6" i="10"/>
  <c r="AN6" i="10"/>
  <c r="AP6" i="10"/>
  <c r="AR6" i="10"/>
  <c r="AT6" i="10"/>
  <c r="AW6" i="10"/>
  <c r="AX6" i="10"/>
  <c r="AY6" i="10"/>
  <c r="AZ6" i="10"/>
  <c r="BC6" i="10"/>
  <c r="BD6" i="10"/>
  <c r="BG6" i="10"/>
  <c r="BJ6" i="10"/>
  <c r="BL6" i="10"/>
  <c r="BN6" i="10"/>
  <c r="BP6" i="10"/>
  <c r="BQ6" i="10"/>
  <c r="BR6" i="10"/>
  <c r="BS6" i="10"/>
  <c r="BT6" i="10"/>
  <c r="BZ6" i="10"/>
  <c r="CA6" i="10"/>
  <c r="CB6" i="10"/>
  <c r="CF6" i="10"/>
  <c r="CJ6" i="10"/>
  <c r="CQ6" i="10" s="1"/>
  <c r="CO6" i="10"/>
  <c r="CS6" i="10"/>
  <c r="CU6" i="10"/>
  <c r="CX6" i="10"/>
  <c r="DA6" i="10"/>
  <c r="EC6" i="10" s="1"/>
  <c r="DC6" i="10"/>
  <c r="DF6" i="10"/>
  <c r="DH6" i="10"/>
  <c r="DJ6" i="10"/>
  <c r="CZ6" i="10" s="1"/>
  <c r="DM6" i="10"/>
  <c r="DP6" i="10"/>
  <c r="DS6" i="10"/>
  <c r="DX6" i="10"/>
  <c r="DZ6" i="10"/>
  <c r="EE6" i="10"/>
  <c r="EG6" i="10"/>
  <c r="EI6" i="10"/>
  <c r="EJ6" i="10"/>
  <c r="A4" i="10"/>
  <c r="A2" i="10"/>
  <c r="W3" i="18"/>
  <c r="W4" i="18"/>
  <c r="W5" i="18"/>
  <c r="W6" i="18"/>
  <c r="W7" i="18"/>
  <c r="W8" i="18"/>
  <c r="W9" i="18"/>
  <c r="W10" i="18"/>
  <c r="W11" i="18"/>
  <c r="W12" i="18"/>
  <c r="W2" i="18"/>
  <c r="J11" i="18"/>
  <c r="J8" i="18"/>
  <c r="J10" i="18"/>
  <c r="J6" i="18"/>
  <c r="J9" i="18"/>
  <c r="J12" i="18"/>
  <c r="J2" i="18"/>
  <c r="J7" i="18"/>
  <c r="J5" i="18"/>
  <c r="J3" i="18"/>
  <c r="J4" i="18"/>
  <c r="R11" i="18"/>
  <c r="R10" i="18"/>
  <c r="R6" i="18"/>
  <c r="R9" i="18"/>
  <c r="R12" i="18"/>
  <c r="R2" i="18"/>
  <c r="R7" i="18"/>
  <c r="R5" i="18"/>
  <c r="R3" i="18"/>
  <c r="R4" i="18"/>
  <c r="R8" i="18"/>
  <c r="AV77" i="17" l="1"/>
  <c r="BE96" i="17"/>
  <c r="AV113" i="17"/>
  <c r="BE145" i="17"/>
  <c r="AV196" i="17"/>
  <c r="BE204" i="17"/>
  <c r="BE26" i="17"/>
  <c r="AV122" i="17"/>
  <c r="BE242" i="17"/>
  <c r="BE239" i="17"/>
  <c r="BE14" i="17"/>
  <c r="AV17" i="17"/>
  <c r="AV36" i="17"/>
  <c r="AV75" i="17"/>
  <c r="BE91" i="17"/>
  <c r="BE88" i="17"/>
  <c r="AV124" i="17"/>
  <c r="BE174" i="17"/>
  <c r="AV185" i="17"/>
  <c r="AV52" i="17"/>
  <c r="AV42" i="17"/>
  <c r="BE44" i="17"/>
  <c r="BE66" i="17"/>
  <c r="BE34" i="17"/>
  <c r="BE62" i="17"/>
  <c r="BE77" i="17"/>
  <c r="AV88" i="17"/>
  <c r="BE98" i="17"/>
  <c r="BE187" i="17"/>
  <c r="BE184" i="17"/>
  <c r="AV204" i="17"/>
  <c r="BE196" i="17"/>
  <c r="U7" i="17"/>
  <c r="CD4" i="17"/>
  <c r="BB8" i="17"/>
  <c r="AF6" i="15"/>
  <c r="BD12" i="15"/>
  <c r="BA12" i="15"/>
  <c r="Q14" i="15"/>
  <c r="AM14" i="15" s="1"/>
  <c r="CE11" i="15"/>
  <c r="BB8" i="15"/>
  <c r="R4" i="15"/>
  <c r="BU8" i="15"/>
  <c r="DC5" i="15"/>
  <c r="BS7" i="15"/>
  <c r="DQ8" i="15"/>
  <c r="CR5" i="15"/>
  <c r="AU8" i="15"/>
  <c r="DQ4" i="15"/>
  <c r="BA4" i="15"/>
  <c r="CJ12" i="15"/>
  <c r="DR8" i="15"/>
  <c r="CB11" i="15"/>
  <c r="BB15" i="15"/>
  <c r="DL4" i="15"/>
  <c r="CA4" i="15"/>
  <c r="S14" i="15"/>
  <c r="CB5" i="15"/>
  <c r="CY7" i="15"/>
  <c r="DC8" i="15"/>
  <c r="EB7" i="15"/>
  <c r="EB8" i="15"/>
  <c r="CZ8" i="15"/>
  <c r="DH4" i="15"/>
  <c r="BU4" i="15"/>
  <c r="BP11" i="15"/>
  <c r="CY8" i="15"/>
  <c r="DE4" i="15"/>
  <c r="DF4" i="15" s="1"/>
  <c r="DC6" i="15"/>
  <c r="AF3" i="15"/>
  <c r="EB4" i="15"/>
  <c r="BP4" i="15"/>
  <c r="DC12" i="15"/>
  <c r="CU8" i="15"/>
  <c r="DC4" i="15"/>
  <c r="CZ5" i="15"/>
  <c r="CY12" i="15"/>
  <c r="CY5" i="15"/>
  <c r="BA3" i="15"/>
  <c r="CW5" i="15"/>
  <c r="AE5" i="15"/>
  <c r="CZ3" i="15"/>
  <c r="BI11" i="15"/>
  <c r="BJ11" i="15" s="1"/>
  <c r="BR3" i="15"/>
  <c r="EB3" i="15"/>
  <c r="CY3" i="15"/>
  <c r="R12" i="15"/>
  <c r="CW3" i="15"/>
  <c r="BN10" i="15"/>
  <c r="AZ11" i="15"/>
  <c r="DZ3" i="15"/>
  <c r="BH3" i="15"/>
  <c r="DU8" i="15"/>
  <c r="CP8" i="15"/>
  <c r="BD8" i="15"/>
  <c r="CZ10" i="15"/>
  <c r="S11" i="15"/>
  <c r="DW3" i="15"/>
  <c r="CO3" i="15"/>
  <c r="BF3" i="15"/>
  <c r="AC3" i="15"/>
  <c r="CJ7" i="15"/>
  <c r="Q7" i="15"/>
  <c r="AM7" i="15" s="1"/>
  <c r="V8" i="15"/>
  <c r="AO8" i="15" s="1"/>
  <c r="AF10" i="15"/>
  <c r="BP3" i="15"/>
  <c r="DU3" i="15"/>
  <c r="BD3" i="15"/>
  <c r="BU10" i="15"/>
  <c r="CJ3" i="15"/>
  <c r="Y10" i="15"/>
  <c r="DL11" i="15"/>
  <c r="CG3" i="15"/>
  <c r="CH3" i="15" s="1"/>
  <c r="CO10" i="15"/>
  <c r="BD10" i="15"/>
  <c r="S3" i="15"/>
  <c r="AT7" i="15"/>
  <c r="CA8" i="15"/>
  <c r="AT8" i="15"/>
  <c r="DU10" i="15"/>
  <c r="CM10" i="15"/>
  <c r="AF5" i="15"/>
  <c r="DN3" i="15"/>
  <c r="R3" i="15"/>
  <c r="DN8" i="15"/>
  <c r="BB10" i="15"/>
  <c r="CA3" i="15"/>
  <c r="BW8" i="15"/>
  <c r="CE10" i="15"/>
  <c r="BY3" i="15"/>
  <c r="DH3" i="15"/>
  <c r="AT10" i="15"/>
  <c r="CE5" i="15"/>
  <c r="BU3" i="15"/>
  <c r="CA5" i="15"/>
  <c r="S5" i="15"/>
  <c r="DL8" i="15"/>
  <c r="DK8" i="15"/>
  <c r="AF4" i="15"/>
  <c r="DH10" i="15"/>
  <c r="BW10" i="15"/>
  <c r="AQ10" i="15"/>
  <c r="AN6" i="15"/>
  <c r="CE14" i="15"/>
  <c r="AF11" i="15"/>
  <c r="CP3" i="15"/>
  <c r="CY2" i="15"/>
  <c r="BR7" i="15"/>
  <c r="Y4" i="15"/>
  <c r="N14" i="15"/>
  <c r="CJ15" i="15"/>
  <c r="AF2" i="15"/>
  <c r="DZ7" i="15"/>
  <c r="Q8" i="15"/>
  <c r="AM8" i="15" s="1"/>
  <c r="BB11" i="15"/>
  <c r="DZ2" i="15"/>
  <c r="CW7" i="15"/>
  <c r="BY8" i="15"/>
  <c r="DN4" i="15"/>
  <c r="CY10" i="15"/>
  <c r="BU14" i="15"/>
  <c r="DU2" i="15"/>
  <c r="BB3" i="15"/>
  <c r="BB2" i="15"/>
  <c r="CM7" i="15"/>
  <c r="BH7" i="15"/>
  <c r="CU10" i="15"/>
  <c r="CW12" i="15"/>
  <c r="EB6" i="15"/>
  <c r="BH6" i="15"/>
  <c r="CY14" i="15"/>
  <c r="BP14" i="15"/>
  <c r="BU11" i="15"/>
  <c r="AQ11" i="15"/>
  <c r="DQ7" i="15"/>
  <c r="CP10" i="15"/>
  <c r="BF10" i="15"/>
  <c r="DW12" i="15"/>
  <c r="BN14" i="15"/>
  <c r="BR11" i="15"/>
  <c r="BR15" i="15"/>
  <c r="AU2" i="15"/>
  <c r="BD7" i="15"/>
  <c r="DW14" i="15"/>
  <c r="CU14" i="15"/>
  <c r="CP12" i="15"/>
  <c r="BP5" i="15"/>
  <c r="BY2" i="15"/>
  <c r="AQ2" i="15"/>
  <c r="CO14" i="15"/>
  <c r="BH14" i="15"/>
  <c r="CZ15" i="15"/>
  <c r="DQ14" i="15"/>
  <c r="DH2" i="15"/>
  <c r="AU7" i="15"/>
  <c r="DW8" i="15"/>
  <c r="CW8" i="15"/>
  <c r="AF8" i="15"/>
  <c r="DZ4" i="15"/>
  <c r="CE12" i="15"/>
  <c r="CP14" i="15"/>
  <c r="CW11" i="15"/>
  <c r="BH15" i="15"/>
  <c r="BN3" i="15"/>
  <c r="DH7" i="15"/>
  <c r="DW4" i="15"/>
  <c r="CY4" i="15"/>
  <c r="DN12" i="15"/>
  <c r="CJ14" i="15"/>
  <c r="DW11" i="15"/>
  <c r="AE11" i="15"/>
  <c r="DR5" i="15"/>
  <c r="BH5" i="15"/>
  <c r="CE8" i="15"/>
  <c r="CF3" i="15"/>
  <c r="EB2" i="15"/>
  <c r="CP7" i="15"/>
  <c r="T8" i="15"/>
  <c r="CE4" i="15"/>
  <c r="Q15" i="15"/>
  <c r="AM15" i="15" s="1"/>
  <c r="AV8" i="15"/>
  <c r="CB4" i="15"/>
  <c r="CE15" i="15"/>
  <c r="CO2" i="15"/>
  <c r="BI2" i="15"/>
  <c r="BJ2" i="15" s="1"/>
  <c r="AV4" i="15"/>
  <c r="Q4" i="15"/>
  <c r="AM4" i="15" s="1"/>
  <c r="AN7" i="15"/>
  <c r="CJ2" i="15"/>
  <c r="CE7" i="15"/>
  <c r="AT4" i="15"/>
  <c r="CJ10" i="15"/>
  <c r="DV6" i="15"/>
  <c r="DU6" i="15"/>
  <c r="V11" i="15"/>
  <c r="AO11" i="15" s="1"/>
  <c r="AN11" i="15"/>
  <c r="CG2" i="15"/>
  <c r="CH2" i="15" s="1"/>
  <c r="AZ2" i="15"/>
  <c r="Z2" i="15"/>
  <c r="CA7" i="15"/>
  <c r="BB7" i="15"/>
  <c r="N4" i="15"/>
  <c r="DN10" i="15"/>
  <c r="AT2" i="15"/>
  <c r="AV7" i="15"/>
  <c r="S8" i="15"/>
  <c r="AV6" i="15"/>
  <c r="Q2" i="15"/>
  <c r="AM2" i="15" s="1"/>
  <c r="BU7" i="15"/>
  <c r="BN4" i="15"/>
  <c r="AV10" i="15"/>
  <c r="BS10" i="15"/>
  <c r="BR10" i="15"/>
  <c r="DC2" i="15"/>
  <c r="BR2" i="15"/>
  <c r="AN2" i="15"/>
  <c r="DW7" i="15"/>
  <c r="CP4" i="15"/>
  <c r="BI4" i="15"/>
  <c r="BJ4" i="15" s="1"/>
  <c r="BN12" i="15"/>
  <c r="CW10" i="15"/>
  <c r="CU12" i="15"/>
  <c r="AF12" i="15"/>
  <c r="DE6" i="15"/>
  <c r="DF6" i="15" s="1"/>
  <c r="N6" i="15"/>
  <c r="DU11" i="15"/>
  <c r="CU11" i="15"/>
  <c r="Q11" i="15"/>
  <c r="AM11" i="15" s="1"/>
  <c r="DU5" i="15"/>
  <c r="BB5" i="15"/>
  <c r="CP11" i="15"/>
  <c r="BW15" i="15"/>
  <c r="AU15" i="15"/>
  <c r="N15" i="15"/>
  <c r="DR11" i="15"/>
  <c r="CO11" i="15"/>
  <c r="BU15" i="15"/>
  <c r="AE14" i="15"/>
  <c r="DC15" i="15"/>
  <c r="BS15" i="15"/>
  <c r="AQ15" i="15"/>
  <c r="BD14" i="15"/>
  <c r="CM11" i="15"/>
  <c r="BH11" i="15"/>
  <c r="DH14" i="15"/>
  <c r="BA14" i="15"/>
  <c r="AC14" i="15"/>
  <c r="DN11" i="15"/>
  <c r="CQ5" i="15"/>
  <c r="CS5" i="15" s="1"/>
  <c r="EB15" i="15"/>
  <c r="BP15" i="15"/>
  <c r="CF11" i="15"/>
  <c r="CP5" i="15"/>
  <c r="CY15" i="15"/>
  <c r="BY12" i="15"/>
  <c r="BF6" i="15"/>
  <c r="AE6" i="15"/>
  <c r="EB14" i="15"/>
  <c r="DZ15" i="15"/>
  <c r="CW15" i="15"/>
  <c r="DW15" i="15"/>
  <c r="BY10" i="15"/>
  <c r="AQ12" i="15"/>
  <c r="CJ6" i="15"/>
  <c r="BA6" i="15"/>
  <c r="AC6" i="15"/>
  <c r="DZ14" i="15"/>
  <c r="CZ14" i="15"/>
  <c r="V14" i="15"/>
  <c r="Z14" i="15" s="1"/>
  <c r="DH11" i="15"/>
  <c r="CA11" i="15"/>
  <c r="BA11" i="15"/>
  <c r="CK5" i="15"/>
  <c r="BI5" i="15"/>
  <c r="BJ5" i="15" s="1"/>
  <c r="BB6" i="15"/>
  <c r="DE11" i="15"/>
  <c r="DF11" i="15" s="1"/>
  <c r="CM15" i="15"/>
  <c r="BR14" i="15"/>
  <c r="EB11" i="15"/>
  <c r="BY11" i="15"/>
  <c r="BI15" i="15"/>
  <c r="BJ15" i="15" s="1"/>
  <c r="AF15" i="15"/>
  <c r="DC10" i="15"/>
  <c r="EB12" i="15"/>
  <c r="CZ12" i="15"/>
  <c r="BP12" i="15"/>
  <c r="DK6" i="15"/>
  <c r="CA6" i="15"/>
  <c r="DU14" i="15"/>
  <c r="AU11" i="15"/>
  <c r="CE3" i="15"/>
  <c r="CE2" i="15"/>
  <c r="CR7" i="15"/>
  <c r="CB3" i="15"/>
  <c r="CB2" i="15"/>
  <c r="CA2" i="15"/>
  <c r="AF7" i="15"/>
  <c r="DV3" i="15"/>
  <c r="AT3" i="15"/>
  <c r="CU3" i="15"/>
  <c r="T7" i="15"/>
  <c r="BI3" i="15"/>
  <c r="BJ3" i="15" s="1"/>
  <c r="CM2" i="15"/>
  <c r="CP2" i="15"/>
  <c r="BI8" i="15"/>
  <c r="BJ8" i="15" s="1"/>
  <c r="BR4" i="15"/>
  <c r="BS4" i="15"/>
  <c r="N7" i="15"/>
  <c r="DV8" i="15"/>
  <c r="BS8" i="15"/>
  <c r="Z7" i="15"/>
  <c r="AQ8" i="15"/>
  <c r="BP7" i="15"/>
  <c r="CR8" i="15"/>
  <c r="AU14" i="15"/>
  <c r="AV14" i="15"/>
  <c r="AQ4" i="15"/>
  <c r="CR4" i="15"/>
  <c r="CG4" i="15"/>
  <c r="CQ4" i="15" s="1"/>
  <c r="CS4" i="15" s="1"/>
  <c r="CF4" i="15"/>
  <c r="CF6" i="15"/>
  <c r="CE6" i="15"/>
  <c r="BD4" i="15"/>
  <c r="Z6" i="15"/>
  <c r="AO6" i="15"/>
  <c r="W6" i="15"/>
  <c r="DU4" i="15"/>
  <c r="CZ4" i="15"/>
  <c r="BY4" i="15"/>
  <c r="AZ4" i="15"/>
  <c r="AE4" i="15"/>
  <c r="BW4" i="15"/>
  <c r="BB4" i="15"/>
  <c r="DK12" i="15"/>
  <c r="DL12" i="15"/>
  <c r="AT14" i="15"/>
  <c r="V10" i="15"/>
  <c r="AO10" i="15" s="1"/>
  <c r="BB12" i="15"/>
  <c r="DH6" i="15"/>
  <c r="BD6" i="15"/>
  <c r="DV10" i="15"/>
  <c r="CB6" i="15"/>
  <c r="Q10" i="15"/>
  <c r="AM10" i="15" s="1"/>
  <c r="Q12" i="15"/>
  <c r="AM12" i="15" s="1"/>
  <c r="AT12" i="15"/>
  <c r="CZ6" i="15"/>
  <c r="BW6" i="15"/>
  <c r="CY6" i="15"/>
  <c r="BU6" i="15"/>
  <c r="AU6" i="15"/>
  <c r="Y6" i="15"/>
  <c r="DR6" i="15"/>
  <c r="CW6" i="15"/>
  <c r="DQ6" i="15"/>
  <c r="CU6" i="15"/>
  <c r="BR6" i="15"/>
  <c r="BS6" i="15"/>
  <c r="AQ6" i="15"/>
  <c r="CF10" i="15"/>
  <c r="BH10" i="15"/>
  <c r="BP6" i="15"/>
  <c r="AF14" i="15"/>
  <c r="BN6" i="15"/>
  <c r="CA10" i="15"/>
  <c r="CF12" i="15"/>
  <c r="AV11" i="15"/>
  <c r="DK14" i="15"/>
  <c r="CG11" i="15"/>
  <c r="CH11" i="15" s="1"/>
  <c r="BN11" i="15"/>
  <c r="R14" i="15"/>
  <c r="BI12" i="15"/>
  <c r="BJ12" i="15" s="1"/>
  <c r="DZ12" i="15"/>
  <c r="AT11" i="15"/>
  <c r="CO6" i="15"/>
  <c r="DC11" i="15"/>
  <c r="CY11" i="15"/>
  <c r="R11" i="15"/>
  <c r="BF11" i="15"/>
  <c r="DV14" i="15"/>
  <c r="BW11" i="15"/>
  <c r="N11" i="15"/>
  <c r="CO5" i="15"/>
  <c r="BS5" i="15"/>
  <c r="AV5" i="15"/>
  <c r="Y5" i="15"/>
  <c r="V15" i="15"/>
  <c r="AT5" i="15"/>
  <c r="T15" i="15"/>
  <c r="CF5" i="15"/>
  <c r="DQ5" i="15"/>
  <c r="BD5" i="15"/>
  <c r="W3" i="15"/>
  <c r="AO3" i="15"/>
  <c r="Z3" i="15"/>
  <c r="Q3" i="15"/>
  <c r="AM3" i="15" s="1"/>
  <c r="DL2" i="15"/>
  <c r="CZ7" i="15"/>
  <c r="AQ7" i="15"/>
  <c r="W7" i="15"/>
  <c r="CR3" i="15"/>
  <c r="AV3" i="15"/>
  <c r="CU2" i="15"/>
  <c r="DQ2" i="15"/>
  <c r="CQ3" i="15"/>
  <c r="AU3" i="15"/>
  <c r="AE3" i="15"/>
  <c r="CR2" i="15"/>
  <c r="BH2" i="15"/>
  <c r="CB7" i="15"/>
  <c r="N3" i="15"/>
  <c r="BI7" i="15"/>
  <c r="BJ7" i="15" s="1"/>
  <c r="BF7" i="15"/>
  <c r="BF2" i="15"/>
  <c r="DK2" i="15"/>
  <c r="Y2" i="15"/>
  <c r="W2" i="15"/>
  <c r="DN7" i="15"/>
  <c r="S7" i="15"/>
  <c r="DC3" i="15"/>
  <c r="CM3" i="15"/>
  <c r="BW3" i="15"/>
  <c r="AQ3" i="15"/>
  <c r="DW2" i="15"/>
  <c r="DE2" i="15"/>
  <c r="DF2" i="15" s="1"/>
  <c r="BD2" i="15"/>
  <c r="BW7" i="15"/>
  <c r="R7" i="15"/>
  <c r="DR3" i="15"/>
  <c r="DV2" i="15"/>
  <c r="BU2" i="15"/>
  <c r="DL7" i="15"/>
  <c r="AZ7" i="15"/>
  <c r="DQ3" i="15"/>
  <c r="CK3" i="15"/>
  <c r="Y3" i="15"/>
  <c r="BS2" i="15"/>
  <c r="BA7" i="15"/>
  <c r="AN3" i="15"/>
  <c r="BA2" i="15"/>
  <c r="S2" i="15"/>
  <c r="BS3" i="15"/>
  <c r="R2" i="15"/>
  <c r="T2" i="15"/>
  <c r="DR2" i="15"/>
  <c r="CZ2" i="15"/>
  <c r="BP2" i="15"/>
  <c r="N2" i="15"/>
  <c r="AC7" i="15"/>
  <c r="BY7" i="15"/>
  <c r="CO7" i="15"/>
  <c r="DE7" i="15"/>
  <c r="DF7" i="15" s="1"/>
  <c r="DU7" i="15"/>
  <c r="CU7" i="15"/>
  <c r="CG7" i="15"/>
  <c r="DR7" i="15"/>
  <c r="DL3" i="15"/>
  <c r="AZ3" i="15"/>
  <c r="T3" i="15"/>
  <c r="CF2" i="15"/>
  <c r="BN2" i="15"/>
  <c r="DN2" i="15"/>
  <c r="CW2" i="15"/>
  <c r="AV2" i="15"/>
  <c r="AE2" i="15"/>
  <c r="DC7" i="15"/>
  <c r="BN7" i="15"/>
  <c r="Y7" i="15"/>
  <c r="CF7" i="15"/>
  <c r="CJ8" i="15"/>
  <c r="BP8" i="15"/>
  <c r="CF8" i="15"/>
  <c r="BN8" i="15"/>
  <c r="Z8" i="15"/>
  <c r="Y8" i="15"/>
  <c r="BH8" i="15"/>
  <c r="AC8" i="15"/>
  <c r="DE8" i="15"/>
  <c r="DF8" i="15" s="1"/>
  <c r="CG8" i="15"/>
  <c r="CB8" i="15"/>
  <c r="W8" i="15"/>
  <c r="BF8" i="15"/>
  <c r="DZ8" i="15"/>
  <c r="DH8" i="15"/>
  <c r="CO8" i="15"/>
  <c r="AZ8" i="15"/>
  <c r="CM8" i="15"/>
  <c r="BA8" i="15"/>
  <c r="R8" i="15"/>
  <c r="BR8" i="15"/>
  <c r="N8" i="15"/>
  <c r="CM4" i="15"/>
  <c r="BF4" i="15"/>
  <c r="CJ4" i="15"/>
  <c r="V4" i="15"/>
  <c r="T4" i="15"/>
  <c r="S4" i="15"/>
  <c r="CA12" i="15"/>
  <c r="CB12" i="15"/>
  <c r="BF12" i="15"/>
  <c r="CA14" i="15"/>
  <c r="CB14" i="15"/>
  <c r="CP6" i="15"/>
  <c r="CG10" i="15"/>
  <c r="BA10" i="15"/>
  <c r="EB10" i="15"/>
  <c r="DL10" i="15"/>
  <c r="BP10" i="15"/>
  <c r="AZ10" i="15"/>
  <c r="T10" i="15"/>
  <c r="DK10" i="15"/>
  <c r="S10" i="15"/>
  <c r="CO12" i="15"/>
  <c r="CR12" i="15"/>
  <c r="AZ12" i="15"/>
  <c r="DZ10" i="15"/>
  <c r="R10" i="15"/>
  <c r="CM12" i="15"/>
  <c r="BS12" i="15"/>
  <c r="BR12" i="15"/>
  <c r="CR10" i="15"/>
  <c r="CB10" i="15"/>
  <c r="DW10" i="15"/>
  <c r="AU10" i="15"/>
  <c r="AE10" i="15"/>
  <c r="AC12" i="15"/>
  <c r="DE12" i="15"/>
  <c r="DF12" i="15" s="1"/>
  <c r="N12" i="15"/>
  <c r="AE12" i="15"/>
  <c r="DH12" i="15"/>
  <c r="BI6" i="15"/>
  <c r="BJ6" i="15" s="1"/>
  <c r="N10" i="15"/>
  <c r="Z12" i="15"/>
  <c r="DE10" i="15"/>
  <c r="DF10" i="15" s="1"/>
  <c r="BI10" i="15"/>
  <c r="BJ10" i="15" s="1"/>
  <c r="AC10" i="15"/>
  <c r="DU12" i="15"/>
  <c r="CG12" i="15"/>
  <c r="CH12" i="15" s="1"/>
  <c r="AU12" i="15"/>
  <c r="Y12" i="15"/>
  <c r="W12" i="15"/>
  <c r="Q6" i="15"/>
  <c r="AM6" i="15" s="1"/>
  <c r="R6" i="15"/>
  <c r="T6" i="15"/>
  <c r="DR10" i="15"/>
  <c r="DQ12" i="15"/>
  <c r="T12" i="15"/>
  <c r="CR6" i="15"/>
  <c r="BF14" i="15"/>
  <c r="BI14" i="15"/>
  <c r="BJ14" i="15" s="1"/>
  <c r="BH12" i="15"/>
  <c r="AN12" i="15"/>
  <c r="S12" i="15"/>
  <c r="T14" i="15"/>
  <c r="BS14" i="15"/>
  <c r="CG6" i="15"/>
  <c r="CQ6" i="15" s="1"/>
  <c r="AZ14" i="15"/>
  <c r="CG14" i="15"/>
  <c r="CW14" i="15"/>
  <c r="DR14" i="15"/>
  <c r="AQ14" i="15"/>
  <c r="BW14" i="15"/>
  <c r="CM14" i="15"/>
  <c r="DC14" i="15"/>
  <c r="CF14" i="15"/>
  <c r="Y14" i="15"/>
  <c r="Y11" i="15"/>
  <c r="DQ11" i="15"/>
  <c r="BN5" i="15"/>
  <c r="W5" i="15"/>
  <c r="AO5" i="15"/>
  <c r="Z5" i="15"/>
  <c r="DU15" i="15"/>
  <c r="DV15" i="15"/>
  <c r="CZ11" i="15"/>
  <c r="CJ11" i="15"/>
  <c r="BD11" i="15"/>
  <c r="CO15" i="15"/>
  <c r="CP15" i="15"/>
  <c r="CR15" i="15"/>
  <c r="BS11" i="15"/>
  <c r="Q5" i="15"/>
  <c r="AM5" i="15" s="1"/>
  <c r="R5" i="15"/>
  <c r="T5" i="15"/>
  <c r="T11" i="15"/>
  <c r="DZ11" i="15"/>
  <c r="AN5" i="15"/>
  <c r="BY15" i="15"/>
  <c r="CB15" i="15"/>
  <c r="DL5" i="15"/>
  <c r="W15" i="15"/>
  <c r="AO15" i="15"/>
  <c r="Z15" i="15"/>
  <c r="AT15" i="15"/>
  <c r="AV15" i="15"/>
  <c r="DR15" i="15"/>
  <c r="BF15" i="15"/>
  <c r="DQ15" i="15"/>
  <c r="Y15" i="15"/>
  <c r="CG15" i="15"/>
  <c r="CH15" i="15" s="1"/>
  <c r="DL15" i="15"/>
  <c r="CF15" i="15"/>
  <c r="AZ15" i="15"/>
  <c r="CU15" i="15"/>
  <c r="S15" i="15"/>
  <c r="R15" i="15"/>
  <c r="DH15" i="15"/>
  <c r="AE15" i="15"/>
  <c r="DE15" i="15"/>
  <c r="DF15" i="15" s="1"/>
  <c r="DD11" i="10"/>
  <c r="ED11" i="10"/>
  <c r="Z10" i="10"/>
  <c r="CC10" i="10" s="1"/>
  <c r="EH7" i="10"/>
  <c r="CY11" i="10"/>
  <c r="BO11" i="10"/>
  <c r="AO11" i="10"/>
  <c r="AQ11" i="10" s="1"/>
  <c r="EH11" i="10"/>
  <c r="BM11" i="10"/>
  <c r="CT7" i="10"/>
  <c r="BK7" i="10"/>
  <c r="AK7" i="10"/>
  <c r="CV11" i="10"/>
  <c r="BK11" i="10"/>
  <c r="AM11" i="10"/>
  <c r="DU10" i="10"/>
  <c r="DV10" i="10" s="1"/>
  <c r="W5" i="10"/>
  <c r="AJ9" i="10"/>
  <c r="CP7" i="10"/>
  <c r="EA11" i="10"/>
  <c r="CT11" i="10"/>
  <c r="AK11" i="10"/>
  <c r="EB7" i="10"/>
  <c r="CK7" i="10"/>
  <c r="CP11" i="10"/>
  <c r="DY7" i="10"/>
  <c r="AV8" i="10"/>
  <c r="DY11" i="10"/>
  <c r="DV11" i="10"/>
  <c r="AM4" i="10"/>
  <c r="DR5" i="10"/>
  <c r="DR7" i="10"/>
  <c r="AI7" i="10"/>
  <c r="DW11" i="10"/>
  <c r="Z11" i="10"/>
  <c r="EH9" i="10"/>
  <c r="AI9" i="10"/>
  <c r="DQ7" i="10"/>
  <c r="AH7" i="10"/>
  <c r="DR11" i="10"/>
  <c r="BE11" i="10"/>
  <c r="S9" i="10"/>
  <c r="W7" i="10"/>
  <c r="DQ11" i="10"/>
  <c r="EA9" i="10"/>
  <c r="W9" i="10"/>
  <c r="DL7" i="10"/>
  <c r="BW7" i="10"/>
  <c r="R7" i="10"/>
  <c r="BA11" i="10"/>
  <c r="DL11" i="10"/>
  <c r="CT4" i="10"/>
  <c r="ED10" i="10"/>
  <c r="DG5" i="10"/>
  <c r="AU7" i="10"/>
  <c r="AS7" i="10"/>
  <c r="CT2" i="10"/>
  <c r="DI11" i="10"/>
  <c r="BM10" i="10"/>
  <c r="DB5" i="10"/>
  <c r="AM5" i="10"/>
  <c r="BW9" i="10"/>
  <c r="DG7" i="10"/>
  <c r="Z2" i="10"/>
  <c r="AF2" i="10" s="1"/>
  <c r="BF7" i="10"/>
  <c r="DL4" i="10"/>
  <c r="BV4" i="10"/>
  <c r="DK4" i="10"/>
  <c r="EA5" i="10"/>
  <c r="AS5" i="10"/>
  <c r="R5" i="10"/>
  <c r="DD9" i="10"/>
  <c r="AV2" i="10"/>
  <c r="BE4" i="10"/>
  <c r="CY5" i="10"/>
  <c r="ED9" i="10"/>
  <c r="AV9" i="10"/>
  <c r="CG8" i="10"/>
  <c r="AI4" i="10"/>
  <c r="CV10" i="10"/>
  <c r="CY9" i="10"/>
  <c r="BW4" i="10"/>
  <c r="S4" i="10"/>
  <c r="DE7" i="10"/>
  <c r="BM2" i="10"/>
  <c r="AM2" i="10"/>
  <c r="EH4" i="10"/>
  <c r="W4" i="10"/>
  <c r="AV10" i="10"/>
  <c r="DW5" i="10"/>
  <c r="CT5" i="10"/>
  <c r="CV9" i="10"/>
  <c r="BO9" i="10"/>
  <c r="AM9" i="10"/>
  <c r="EH2" i="10"/>
  <c r="BK2" i="10"/>
  <c r="EF4" i="10"/>
  <c r="ED4" i="10"/>
  <c r="AU4" i="10"/>
  <c r="T4" i="10"/>
  <c r="AQ10" i="10"/>
  <c r="BK5" i="10"/>
  <c r="AK5" i="10"/>
  <c r="DY9" i="10"/>
  <c r="EA4" i="10"/>
  <c r="DD4" i="10"/>
  <c r="R4" i="10"/>
  <c r="CT10" i="10"/>
  <c r="DN5" i="10"/>
  <c r="DO5" i="10" s="1"/>
  <c r="CH5" i="10"/>
  <c r="BY5" i="10" s="1"/>
  <c r="AJ5" i="10"/>
  <c r="DW9" i="10"/>
  <c r="CQ9" i="10"/>
  <c r="AH9" i="10"/>
  <c r="CW7" i="10"/>
  <c r="CP2" i="10"/>
  <c r="CW11" i="10"/>
  <c r="AS4" i="10"/>
  <c r="EH10" i="10"/>
  <c r="CR10" i="10"/>
  <c r="DR9" i="10"/>
  <c r="CP9" i="10"/>
  <c r="AK9" i="10"/>
  <c r="DR2" i="10"/>
  <c r="CK2" i="10"/>
  <c r="CY4" i="10"/>
  <c r="BV5" i="10"/>
  <c r="BX5" i="10" s="1"/>
  <c r="DQ9" i="10"/>
  <c r="BF9" i="10"/>
  <c r="DQ2" i="10"/>
  <c r="DU4" i="10"/>
  <c r="DV4" i="10" s="1"/>
  <c r="AO4" i="10"/>
  <c r="AQ4" i="10" s="1"/>
  <c r="EA10" i="10"/>
  <c r="BE5" i="10"/>
  <c r="DE8" i="10"/>
  <c r="DR4" i="10"/>
  <c r="AI5" i="10"/>
  <c r="BE9" i="10"/>
  <c r="Z9" i="10"/>
  <c r="CC9" i="10" s="1"/>
  <c r="DL2" i="10"/>
  <c r="DI8" i="10"/>
  <c r="BE8" i="10"/>
  <c r="DB11" i="10"/>
  <c r="DL10" i="10"/>
  <c r="W10" i="10"/>
  <c r="DB9" i="10"/>
  <c r="CV7" i="10"/>
  <c r="DG8" i="10"/>
  <c r="AM8" i="10"/>
  <c r="DI10" i="10"/>
  <c r="CP10" i="10"/>
  <c r="T10" i="10"/>
  <c r="EB5" i="10"/>
  <c r="V7" i="10"/>
  <c r="CN2" i="10"/>
  <c r="EH8" i="10"/>
  <c r="AI8" i="10"/>
  <c r="CK10" i="10"/>
  <c r="BK10" i="10"/>
  <c r="S10" i="10"/>
  <c r="AU5" i="10"/>
  <c r="EF8" i="10"/>
  <c r="DD8" i="10"/>
  <c r="BW8" i="10"/>
  <c r="BA8" i="10"/>
  <c r="DG10" i="10"/>
  <c r="R10" i="10"/>
  <c r="DK7" i="10"/>
  <c r="T7" i="10"/>
  <c r="AO8" i="10"/>
  <c r="AQ8" i="10" s="1"/>
  <c r="DB8" i="10"/>
  <c r="EF10" i="10"/>
  <c r="AM10" i="10"/>
  <c r="S7" i="10"/>
  <c r="EC8" i="10"/>
  <c r="ED8" i="10" s="1"/>
  <c r="CZ8" i="10"/>
  <c r="DE10" i="10"/>
  <c r="BF10" i="10"/>
  <c r="T5" i="10"/>
  <c r="CT9" i="10"/>
  <c r="AU9" i="10"/>
  <c r="AK2" i="10"/>
  <c r="EA8" i="10"/>
  <c r="CY8" i="10"/>
  <c r="T8" i="10"/>
  <c r="EB10" i="10"/>
  <c r="DD10" i="10"/>
  <c r="AJ10" i="10"/>
  <c r="DL9" i="10"/>
  <c r="AF9" i="10"/>
  <c r="CC7" i="10"/>
  <c r="AQ7" i="10"/>
  <c r="BB2" i="10"/>
  <c r="EB8" i="10"/>
  <c r="DB10" i="10"/>
  <c r="BE10" i="10"/>
  <c r="AI10" i="10"/>
  <c r="DK9" i="10"/>
  <c r="CR9" i="10"/>
  <c r="AS9" i="10"/>
  <c r="AM7" i="10"/>
  <c r="DD2" i="10"/>
  <c r="BW2" i="10"/>
  <c r="DY8" i="10"/>
  <c r="CV8" i="10"/>
  <c r="AH10" i="10"/>
  <c r="DW8" i="10"/>
  <c r="CT8" i="10"/>
  <c r="BO8" i="10"/>
  <c r="W8" i="10"/>
  <c r="CG11" i="10"/>
  <c r="BH11" i="10"/>
  <c r="BI11" i="10" s="1"/>
  <c r="DW10" i="10"/>
  <c r="CY10" i="10"/>
  <c r="AK10" i="10"/>
  <c r="EF2" i="10"/>
  <c r="ED2" i="10"/>
  <c r="DR8" i="10"/>
  <c r="CP8" i="10"/>
  <c r="CK9" i="10"/>
  <c r="CZ2" i="10"/>
  <c r="AI2" i="10"/>
  <c r="BM8" i="10"/>
  <c r="AS8" i="10"/>
  <c r="DR10" i="10"/>
  <c r="EF9" i="10"/>
  <c r="DG9" i="10"/>
  <c r="DV9" i="10"/>
  <c r="BK9" i="10"/>
  <c r="AO9" i="10"/>
  <c r="AQ9" i="10" s="1"/>
  <c r="T9" i="10"/>
  <c r="EA2" i="10"/>
  <c r="AH2" i="10"/>
  <c r="BK8" i="10"/>
  <c r="EF11" i="10"/>
  <c r="EB4" i="10"/>
  <c r="DB4" i="10"/>
  <c r="AV4" i="10"/>
  <c r="CW10" i="10"/>
  <c r="EB9" i="10"/>
  <c r="DW7" i="10"/>
  <c r="DB7" i="10"/>
  <c r="CW2" i="10"/>
  <c r="AU2" i="10"/>
  <c r="CH8" i="10"/>
  <c r="CI8" i="10" s="1"/>
  <c r="AF10" i="10"/>
  <c r="EC5" i="10"/>
  <c r="ED5" i="10" s="1"/>
  <c r="BB5" i="10"/>
  <c r="DE9" i="10"/>
  <c r="DU7" i="10"/>
  <c r="DV7" i="10" s="1"/>
  <c r="ED7" i="10"/>
  <c r="AE7" i="10"/>
  <c r="DW2" i="10"/>
  <c r="BO2" i="10"/>
  <c r="CH2" i="10"/>
  <c r="CR8" i="10"/>
  <c r="DN8" i="10"/>
  <c r="DO8" i="10" s="1"/>
  <c r="DU2" i="10"/>
  <c r="DV2" i="10" s="1"/>
  <c r="CQ11" i="10"/>
  <c r="CR7" i="10"/>
  <c r="CN8" i="10"/>
  <c r="CH4" i="10"/>
  <c r="BY4" i="10" s="1"/>
  <c r="CQ7" i="10"/>
  <c r="DN2" i="10"/>
  <c r="DO2" i="10" s="1"/>
  <c r="CR2" i="10"/>
  <c r="CK11" i="10"/>
  <c r="CG4" i="10"/>
  <c r="CQ2" i="10"/>
  <c r="CC11" i="10"/>
  <c r="AG11" i="10"/>
  <c r="AH8" i="10"/>
  <c r="Z8" i="10"/>
  <c r="AG8" i="10" s="1"/>
  <c r="DQ8" i="10"/>
  <c r="CW8" i="10"/>
  <c r="DE11" i="10"/>
  <c r="BF5" i="10"/>
  <c r="BH5" i="10"/>
  <c r="BI5" i="10" s="1"/>
  <c r="AC11" i="10"/>
  <c r="AE11" i="10" s="1"/>
  <c r="BB11" i="10"/>
  <c r="BA10" i="10"/>
  <c r="BB10" i="10"/>
  <c r="AG10" i="10"/>
  <c r="BF8" i="10"/>
  <c r="BH8" i="10"/>
  <c r="BI8" i="10" s="1"/>
  <c r="S8" i="10"/>
  <c r="CH11" i="10"/>
  <c r="BU11" i="10" s="1"/>
  <c r="DN11" i="10"/>
  <c r="DK10" i="10"/>
  <c r="CG9" i="10"/>
  <c r="CH9" i="10"/>
  <c r="DN9" i="10"/>
  <c r="BV9" i="10"/>
  <c r="CN9" i="10"/>
  <c r="CD9" i="10"/>
  <c r="BF4" i="10"/>
  <c r="BH4" i="10"/>
  <c r="BI4" i="10" s="1"/>
  <c r="AC10" i="10"/>
  <c r="AE10" i="10" s="1"/>
  <c r="BU8" i="10"/>
  <c r="AF11" i="10"/>
  <c r="T11" i="10"/>
  <c r="AS11" i="10"/>
  <c r="AV11" i="10"/>
  <c r="BB4" i="10"/>
  <c r="BA7" i="10"/>
  <c r="BB7" i="10"/>
  <c r="AG7" i="10"/>
  <c r="DY2" i="10"/>
  <c r="EB2" i="10"/>
  <c r="W11" i="10"/>
  <c r="BX4" i="10"/>
  <c r="DQ5" i="10"/>
  <c r="DT5" i="10"/>
  <c r="Z5" i="10"/>
  <c r="AE5" i="10"/>
  <c r="AH5" i="10"/>
  <c r="S5" i="10"/>
  <c r="DQ4" i="10"/>
  <c r="DT4" i="10"/>
  <c r="AC4" i="10"/>
  <c r="AE4" i="10" s="1"/>
  <c r="BA4" i="10"/>
  <c r="CG10" i="10"/>
  <c r="CH10" i="10"/>
  <c r="DN10" i="10"/>
  <c r="BV10" i="10"/>
  <c r="BX10" i="10" s="1"/>
  <c r="CN10" i="10"/>
  <c r="CK8" i="10"/>
  <c r="DK11" i="10"/>
  <c r="S11" i="10"/>
  <c r="CV4" i="10"/>
  <c r="CW4" i="10"/>
  <c r="CD10" i="10"/>
  <c r="CK5" i="10"/>
  <c r="DU5" i="10"/>
  <c r="DV5" i="10" s="1"/>
  <c r="CQ5" i="10"/>
  <c r="CR5" i="10"/>
  <c r="AC8" i="10"/>
  <c r="AE8" i="10" s="1"/>
  <c r="CN11" i="10"/>
  <c r="BV11" i="10"/>
  <c r="BX11" i="10" s="1"/>
  <c r="Z4" i="10"/>
  <c r="AH4" i="10"/>
  <c r="BA9" i="10"/>
  <c r="BB9" i="10"/>
  <c r="AG9" i="10"/>
  <c r="CG7" i="10"/>
  <c r="CH7" i="10"/>
  <c r="BU7" i="10" s="1"/>
  <c r="DN7" i="10"/>
  <c r="BV7" i="10"/>
  <c r="CN7" i="10"/>
  <c r="CD7" i="10"/>
  <c r="CK4" i="10"/>
  <c r="CR4" i="10"/>
  <c r="AC9" i="10"/>
  <c r="AE9" i="10" s="1"/>
  <c r="DU8" i="10"/>
  <c r="DV8" i="10" s="1"/>
  <c r="AI11" i="10"/>
  <c r="R11" i="10"/>
  <c r="AH11" i="10"/>
  <c r="AJ11" i="10"/>
  <c r="CW5" i="10"/>
  <c r="BA5" i="10"/>
  <c r="DT2" i="10"/>
  <c r="BV8" i="10"/>
  <c r="BX8" i="10" s="1"/>
  <c r="CD4" i="10"/>
  <c r="CD5" i="10"/>
  <c r="CL2" i="10"/>
  <c r="CM2" i="10" s="1"/>
  <c r="BV2" i="10"/>
  <c r="BF2" i="10"/>
  <c r="BU2" i="10"/>
  <c r="BE2" i="10"/>
  <c r="AO2" i="10"/>
  <c r="AQ2" i="10" s="1"/>
  <c r="BH10" i="10"/>
  <c r="BI10" i="10" s="1"/>
  <c r="BH9" i="10"/>
  <c r="BI9" i="10" s="1"/>
  <c r="CY2" i="10"/>
  <c r="CI2" i="10"/>
  <c r="W2" i="10"/>
  <c r="DE5" i="10"/>
  <c r="BE7" i="10"/>
  <c r="CG2" i="10"/>
  <c r="BA2" i="10"/>
  <c r="DL8" i="10"/>
  <c r="AJ8" i="10"/>
  <c r="CR11" i="10"/>
  <c r="CN4" i="10"/>
  <c r="CN5" i="10"/>
  <c r="CV2" i="10"/>
  <c r="AJ2" i="10"/>
  <c r="T2" i="10"/>
  <c r="S2" i="10"/>
  <c r="EF6" i="10"/>
  <c r="EB6" i="10"/>
  <c r="BA4" i="2"/>
  <c r="BA8" i="2"/>
  <c r="AK4" i="2"/>
  <c r="BU8" i="2"/>
  <c r="BA11" i="2"/>
  <c r="AH9" i="2"/>
  <c r="CK2" i="2"/>
  <c r="CS10" i="2"/>
  <c r="BA2" i="2"/>
  <c r="CK9" i="2"/>
  <c r="CS5" i="2"/>
  <c r="CH6" i="2"/>
  <c r="CP3" i="2"/>
  <c r="CJ3" i="2"/>
  <c r="CY10" i="2"/>
  <c r="DC6" i="2"/>
  <c r="DB6" i="2"/>
  <c r="CK8" i="2"/>
  <c r="BK2" i="2"/>
  <c r="CW5" i="2"/>
  <c r="R2" i="2"/>
  <c r="CW2" i="2"/>
  <c r="AH2" i="2"/>
  <c r="CW10" i="2"/>
  <c r="BR4" i="2"/>
  <c r="BS4" i="2" s="1"/>
  <c r="CJ10" i="2"/>
  <c r="AL8" i="2"/>
  <c r="CY4" i="2"/>
  <c r="CH10" i="2"/>
  <c r="CF10" i="2"/>
  <c r="CU4" i="2"/>
  <c r="BD10" i="2"/>
  <c r="Z10" i="2"/>
  <c r="W2" i="2"/>
  <c r="CH9" i="2"/>
  <c r="AX2" i="2"/>
  <c r="CY8" i="2"/>
  <c r="AL10" i="2"/>
  <c r="AM2" i="2"/>
  <c r="CF4" i="2"/>
  <c r="CU8" i="2"/>
  <c r="DC10" i="2"/>
  <c r="BU5" i="2"/>
  <c r="BR2" i="2"/>
  <c r="BS2" i="2" s="1"/>
  <c r="CS8" i="2"/>
  <c r="DB10" i="2"/>
  <c r="BV10" i="2"/>
  <c r="BZ3" i="2"/>
  <c r="Y6" i="2"/>
  <c r="DC5" i="2"/>
  <c r="AQ9" i="2"/>
  <c r="AR9" i="2" s="1"/>
  <c r="CQ8" i="2"/>
  <c r="BK8" i="2"/>
  <c r="W4" i="2"/>
  <c r="CF6" i="2"/>
  <c r="BA6" i="2"/>
  <c r="U6" i="2"/>
  <c r="BR5" i="2"/>
  <c r="BS5" i="2" s="1"/>
  <c r="AL4" i="2"/>
  <c r="AW6" i="2"/>
  <c r="Z9" i="2"/>
  <c r="BV4" i="2"/>
  <c r="BU4" i="2"/>
  <c r="BZ8" i="2"/>
  <c r="CY6" i="2"/>
  <c r="BO2" i="2"/>
  <c r="CS4" i="2"/>
  <c r="CQ4" i="2"/>
  <c r="AH3" i="2"/>
  <c r="CP11" i="2"/>
  <c r="CH4" i="2"/>
  <c r="CU10" i="2"/>
  <c r="CS6" i="2"/>
  <c r="BA5" i="2"/>
  <c r="R5" i="2"/>
  <c r="CQ6" i="2"/>
  <c r="R10" i="2"/>
  <c r="DC3" i="2"/>
  <c r="AQ3" i="2"/>
  <c r="AR3" i="2" s="1"/>
  <c r="CD6" i="2"/>
  <c r="BA9" i="2"/>
  <c r="R8" i="2"/>
  <c r="W6" i="2"/>
  <c r="BO8" i="2"/>
  <c r="BZ4" i="2"/>
  <c r="R9" i="2"/>
  <c r="BK4" i="2"/>
  <c r="BK10" i="2"/>
  <c r="BV6" i="2"/>
  <c r="R6" i="2"/>
  <c r="CY2" i="2"/>
  <c r="BU6" i="2"/>
  <c r="BZ9" i="2"/>
  <c r="BK11" i="2"/>
  <c r="AQ5" i="2"/>
  <c r="AU5" i="2" s="1"/>
  <c r="AV5" i="2" s="1"/>
  <c r="CJ11" i="2"/>
  <c r="CH11" i="2"/>
  <c r="Y10" i="2"/>
  <c r="CP6" i="2"/>
  <c r="BO6" i="2"/>
  <c r="CJ2" i="2"/>
  <c r="DC8" i="2"/>
  <c r="DC4" i="2"/>
  <c r="Y4" i="2"/>
  <c r="CL6" i="2"/>
  <c r="CM6" i="2" s="1"/>
  <c r="DB8" i="2"/>
  <c r="Y8" i="2"/>
  <c r="DB4" i="2"/>
  <c r="BA10" i="2"/>
  <c r="AX8" i="2"/>
  <c r="Z2" i="2"/>
  <c r="R4" i="2"/>
  <c r="AT3" i="2"/>
  <c r="Y3" i="2"/>
  <c r="BZ5" i="2"/>
  <c r="CK11" i="2"/>
  <c r="AQ11" i="2"/>
  <c r="R11" i="2"/>
  <c r="CQ5" i="2"/>
  <c r="CF9" i="2"/>
  <c r="AL2" i="2"/>
  <c r="U2" i="2"/>
  <c r="AW8" i="2"/>
  <c r="AH4" i="2"/>
  <c r="AH10" i="2"/>
  <c r="BU3" i="2"/>
  <c r="AU3" i="2"/>
  <c r="AV3" i="2" s="1"/>
  <c r="Z6" i="2"/>
  <c r="CP5" i="2"/>
  <c r="AK2" i="2"/>
  <c r="CD10" i="2"/>
  <c r="R3" i="2"/>
  <c r="CK6" i="2"/>
  <c r="AT6" i="2"/>
  <c r="CN5" i="2"/>
  <c r="CO5" i="2" s="1"/>
  <c r="CU2" i="2"/>
  <c r="BV2" i="2"/>
  <c r="BE2" i="2"/>
  <c r="BN8" i="2"/>
  <c r="CW4" i="2"/>
  <c r="BX4" i="2"/>
  <c r="CW3" i="2"/>
  <c r="AO3" i="2"/>
  <c r="CJ6" i="2"/>
  <c r="CO6" i="2"/>
  <c r="AW5" i="2"/>
  <c r="CS2" i="2"/>
  <c r="BU2" i="2"/>
  <c r="BD2" i="2"/>
  <c r="AI2" i="2"/>
  <c r="BZ2" i="2" s="1"/>
  <c r="AH11" i="2"/>
  <c r="BE10" i="2"/>
  <c r="BN6" i="2"/>
  <c r="AQ6" i="2"/>
  <c r="AR6" i="2" s="1"/>
  <c r="CL5" i="2"/>
  <c r="CM5" i="2" s="1"/>
  <c r="BN5" i="2"/>
  <c r="Y5" i="2"/>
  <c r="DC9" i="2"/>
  <c r="CQ2" i="2"/>
  <c r="DC11" i="2"/>
  <c r="CJ5" i="2"/>
  <c r="W5" i="2"/>
  <c r="CP2" i="2"/>
  <c r="AK8" i="2"/>
  <c r="AT5" i="2"/>
  <c r="DB5" i="2"/>
  <c r="CH5" i="2"/>
  <c r="BK5" i="2"/>
  <c r="U5" i="2"/>
  <c r="CY9" i="2"/>
  <c r="AT9" i="2"/>
  <c r="CH3" i="2"/>
  <c r="AM6" i="2"/>
  <c r="CF5" i="2"/>
  <c r="W9" i="2"/>
  <c r="CY11" i="2"/>
  <c r="CL4" i="2"/>
  <c r="CM4" i="2" s="1"/>
  <c r="Z4" i="2"/>
  <c r="CY5" i="2"/>
  <c r="CD5" i="2"/>
  <c r="CU9" i="2"/>
  <c r="CH2" i="2"/>
  <c r="BV11" i="2"/>
  <c r="CJ4" i="2"/>
  <c r="AO4" i="2"/>
  <c r="U4" i="2"/>
  <c r="AW10" i="2"/>
  <c r="CW6" i="2"/>
  <c r="AH6" i="2"/>
  <c r="AK6" i="2"/>
  <c r="AO5" i="2"/>
  <c r="AL5" i="2"/>
  <c r="BO9" i="2"/>
  <c r="BN2" i="2"/>
  <c r="AT2" i="2"/>
  <c r="CW8" i="2"/>
  <c r="BE8" i="2"/>
  <c r="CU11" i="2"/>
  <c r="W11" i="2"/>
  <c r="BO4" i="2"/>
  <c r="AM4" i="2"/>
  <c r="CQ10" i="2"/>
  <c r="AT10" i="2"/>
  <c r="U10" i="2"/>
  <c r="CU6" i="2"/>
  <c r="BE6" i="2"/>
  <c r="BF6" i="2" s="1"/>
  <c r="BZ6" i="2"/>
  <c r="BE5" i="2"/>
  <c r="AK5" i="2"/>
  <c r="CN9" i="2"/>
  <c r="CO9" i="2" s="1"/>
  <c r="BN9" i="2"/>
  <c r="AM9" i="2"/>
  <c r="DC2" i="2"/>
  <c r="CF2" i="2"/>
  <c r="CM2" i="2"/>
  <c r="CS11" i="2"/>
  <c r="BR11" i="2"/>
  <c r="BS11" i="2" s="1"/>
  <c r="BA3" i="2"/>
  <c r="BD5" i="2"/>
  <c r="AH5" i="2"/>
  <c r="CL9" i="2"/>
  <c r="CM9" i="2" s="1"/>
  <c r="DB2" i="2"/>
  <c r="Y2" i="2"/>
  <c r="BV8" i="2"/>
  <c r="CQ11" i="2"/>
  <c r="AT11" i="2"/>
  <c r="AR4" i="2"/>
  <c r="AU4" i="2"/>
  <c r="AV4" i="2" s="1"/>
  <c r="AR2" i="2"/>
  <c r="AU2" i="2"/>
  <c r="AV2" i="2" s="1"/>
  <c r="CN3" i="2"/>
  <c r="CO3" i="2" s="1"/>
  <c r="BV9" i="2"/>
  <c r="BU9" i="2"/>
  <c r="BE9" i="2"/>
  <c r="AO9" i="2"/>
  <c r="Y9" i="2"/>
  <c r="DB3" i="2"/>
  <c r="CL3" i="2"/>
  <c r="CM3" i="2" s="1"/>
  <c r="BV3" i="2"/>
  <c r="CJ9" i="2"/>
  <c r="BD9" i="2"/>
  <c r="CN11" i="2"/>
  <c r="CO11" i="2" s="1"/>
  <c r="CD4" i="2"/>
  <c r="BN4" i="2"/>
  <c r="AX4" i="2"/>
  <c r="CN10" i="2"/>
  <c r="CO10" i="2" s="1"/>
  <c r="BX10" i="2"/>
  <c r="CK3" i="2"/>
  <c r="BE3" i="2"/>
  <c r="BR6" i="2"/>
  <c r="BS6" i="2" s="1"/>
  <c r="AL6" i="2"/>
  <c r="AT8" i="2"/>
  <c r="DB9" i="2"/>
  <c r="AW4" i="2"/>
  <c r="AQ10" i="2"/>
  <c r="BD3" i="2"/>
  <c r="BX5" i="2"/>
  <c r="BR9" i="2"/>
  <c r="BS9" i="2" s="1"/>
  <c r="AL9" i="2"/>
  <c r="CL11" i="2"/>
  <c r="CM11" i="2" s="1"/>
  <c r="Z11" i="2"/>
  <c r="CL10" i="2"/>
  <c r="CM10" i="2" s="1"/>
  <c r="CY3" i="2"/>
  <c r="AM3" i="2"/>
  <c r="W3" i="2"/>
  <c r="CW9" i="2"/>
  <c r="AK9" i="2"/>
  <c r="U9" i="2"/>
  <c r="CN8" i="2"/>
  <c r="CO8" i="2" s="1"/>
  <c r="BU11" i="2"/>
  <c r="BE11" i="2"/>
  <c r="AO11" i="2"/>
  <c r="Y11" i="2"/>
  <c r="CK10" i="2"/>
  <c r="BR3" i="2"/>
  <c r="BS3" i="2" s="1"/>
  <c r="AL3" i="2"/>
  <c r="Z5" i="2"/>
  <c r="AW2" i="2"/>
  <c r="AQ8" i="2"/>
  <c r="BD11" i="2"/>
  <c r="CP4" i="2"/>
  <c r="AT4" i="2"/>
  <c r="AK3" i="2"/>
  <c r="U3" i="2"/>
  <c r="CK5" i="2"/>
  <c r="Z8" i="2"/>
  <c r="AM11" i="2"/>
  <c r="AM10" i="2"/>
  <c r="CF3" i="2"/>
  <c r="CD9" i="2"/>
  <c r="AL11" i="2"/>
  <c r="BR10" i="2"/>
  <c r="BS10" i="2" s="1"/>
  <c r="CU3" i="2"/>
  <c r="BO3" i="2"/>
  <c r="AM5" i="2"/>
  <c r="CS9" i="2"/>
  <c r="CJ8" i="2"/>
  <c r="BD8" i="2"/>
  <c r="CW11" i="2"/>
  <c r="AK11" i="2"/>
  <c r="U11" i="2"/>
  <c r="AK10" i="2"/>
  <c r="CD3" i="2"/>
  <c r="BN3" i="2"/>
  <c r="AM8" i="2"/>
  <c r="CF11" i="2"/>
  <c r="CS3" i="2"/>
  <c r="CQ9" i="2"/>
  <c r="BK9" i="2"/>
  <c r="CN2" i="2"/>
  <c r="CO2" i="2" s="1"/>
  <c r="CH8" i="2"/>
  <c r="BO11" i="2"/>
  <c r="AI11" i="2"/>
  <c r="BZ11" i="2" s="1"/>
  <c r="CK4" i="2"/>
  <c r="BE4" i="2"/>
  <c r="BF4" i="2" s="1"/>
  <c r="BO10" i="2"/>
  <c r="AI10" i="2"/>
  <c r="BZ10" i="2" s="1"/>
  <c r="CP9" i="2"/>
  <c r="U8" i="2"/>
  <c r="BN11" i="2"/>
  <c r="BE3" i="16"/>
  <c r="CO5" i="16"/>
  <c r="BI3" i="16"/>
  <c r="AC3" i="16"/>
  <c r="DB5" i="16"/>
  <c r="AL5" i="16"/>
  <c r="DK5" i="16" s="1"/>
  <c r="CQ3" i="16"/>
  <c r="CX11" i="16"/>
  <c r="AX7" i="16"/>
  <c r="CW5" i="16"/>
  <c r="CM3" i="16"/>
  <c r="BL5" i="16"/>
  <c r="AC5" i="16"/>
  <c r="DV10" i="16"/>
  <c r="DW3" i="16"/>
  <c r="BI5" i="16"/>
  <c r="AZ3" i="16"/>
  <c r="CQ5" i="16"/>
  <c r="AX3" i="16"/>
  <c r="T3" i="16"/>
  <c r="CF3" i="16"/>
  <c r="AP4" i="16"/>
  <c r="CZ8" i="16"/>
  <c r="BU7" i="16"/>
  <c r="AR10" i="16"/>
  <c r="DQ3" i="16"/>
  <c r="S3" i="16"/>
  <c r="CI11" i="16"/>
  <c r="BZ3" i="16"/>
  <c r="DV5" i="16"/>
  <c r="AX5" i="16"/>
  <c r="DT5" i="16"/>
  <c r="DN11" i="16"/>
  <c r="BJ8" i="16"/>
  <c r="DC2" i="16"/>
  <c r="AA5" i="16"/>
  <c r="CU9" i="16"/>
  <c r="AG9" i="16"/>
  <c r="CS2" i="16"/>
  <c r="DC4" i="16"/>
  <c r="CS9" i="16"/>
  <c r="BU9" i="16"/>
  <c r="AL9" i="16"/>
  <c r="DK9" i="16" s="1"/>
  <c r="DL9" i="16" s="1"/>
  <c r="BJ7" i="16"/>
  <c r="DB11" i="16"/>
  <c r="CQ9" i="16"/>
  <c r="BL9" i="16"/>
  <c r="DT8" i="16"/>
  <c r="BI4" i="16"/>
  <c r="DW9" i="16"/>
  <c r="CK2" i="16"/>
  <c r="DV9" i="16"/>
  <c r="CM9" i="16"/>
  <c r="BE9" i="16"/>
  <c r="CS10" i="16"/>
  <c r="DT9" i="16"/>
  <c r="W9" i="16"/>
  <c r="BE10" i="16"/>
  <c r="DQ2" i="16"/>
  <c r="CM11" i="16"/>
  <c r="BC11" i="16"/>
  <c r="DQ9" i="16"/>
  <c r="BS8" i="16"/>
  <c r="DJ2" i="16"/>
  <c r="DO3" i="16"/>
  <c r="CK11" i="16"/>
  <c r="CC9" i="16"/>
  <c r="S9" i="16"/>
  <c r="CA9" i="16"/>
  <c r="CX8" i="16"/>
  <c r="DT11" i="16"/>
  <c r="AR9" i="16"/>
  <c r="AH8" i="16"/>
  <c r="AS7" i="16"/>
  <c r="DJ3" i="16"/>
  <c r="CC3" i="16"/>
  <c r="AA11" i="16"/>
  <c r="BL10" i="16"/>
  <c r="AL10" i="16"/>
  <c r="DK10" i="16" s="1"/>
  <c r="DL10" i="16" s="1"/>
  <c r="CQ10" i="16"/>
  <c r="BI10" i="16"/>
  <c r="DW10" i="16"/>
  <c r="BG10" i="16"/>
  <c r="AE10" i="16"/>
  <c r="DB3" i="16"/>
  <c r="BU3" i="16"/>
  <c r="W3" i="16"/>
  <c r="CA4" i="16"/>
  <c r="AL4" i="16"/>
  <c r="DK4" i="16" s="1"/>
  <c r="DO4" i="16" s="1"/>
  <c r="AA8" i="16"/>
  <c r="CM10" i="16"/>
  <c r="AC10" i="16"/>
  <c r="DT10" i="16"/>
  <c r="CI10" i="16"/>
  <c r="BC10" i="16"/>
  <c r="AR3" i="16"/>
  <c r="BA10" i="16"/>
  <c r="CU3" i="16"/>
  <c r="AS3" i="16"/>
  <c r="AR11" i="16"/>
  <c r="BV5" i="16"/>
  <c r="DQ10" i="16"/>
  <c r="CF10" i="16"/>
  <c r="AZ10" i="16"/>
  <c r="BL3" i="16"/>
  <c r="DJ10" i="16"/>
  <c r="AX10" i="16"/>
  <c r="BZ10" i="16"/>
  <c r="BG3" i="16"/>
  <c r="AI3" i="16"/>
  <c r="AK3" i="16" s="1"/>
  <c r="BJ4" i="16"/>
  <c r="BZ9" i="16"/>
  <c r="DG10" i="16"/>
  <c r="DB10" i="16"/>
  <c r="S10" i="16"/>
  <c r="DV3" i="16"/>
  <c r="CK3" i="16"/>
  <c r="AE3" i="16"/>
  <c r="BC4" i="16"/>
  <c r="AE11" i="16"/>
  <c r="S7" i="16"/>
  <c r="CZ10" i="16"/>
  <c r="DT3" i="16"/>
  <c r="BC3" i="16"/>
  <c r="BI11" i="16"/>
  <c r="AC11" i="16"/>
  <c r="AC9" i="16"/>
  <c r="CC7" i="16"/>
  <c r="CW10" i="16"/>
  <c r="BS10" i="16"/>
  <c r="BA3" i="16"/>
  <c r="CQ11" i="16"/>
  <c r="BG11" i="16"/>
  <c r="DN2" i="16"/>
  <c r="AA4" i="16"/>
  <c r="DG3" i="16"/>
  <c r="CS8" i="16"/>
  <c r="DF2" i="16"/>
  <c r="BZ2" i="16"/>
  <c r="BJ10" i="16"/>
  <c r="AC8" i="16"/>
  <c r="DG7" i="16"/>
  <c r="DB2" i="16"/>
  <c r="BX2" i="16"/>
  <c r="DT4" i="16"/>
  <c r="DC9" i="16"/>
  <c r="CQ8" i="16"/>
  <c r="BI8" i="16"/>
  <c r="CZ2" i="16"/>
  <c r="CK10" i="16"/>
  <c r="AH10" i="16"/>
  <c r="BV3" i="16"/>
  <c r="CI4" i="16"/>
  <c r="CS11" i="16"/>
  <c r="CX9" i="16"/>
  <c r="BV9" i="16"/>
  <c r="DW8" i="16"/>
  <c r="CW2" i="16"/>
  <c r="BU2" i="16"/>
  <c r="DM4" i="16"/>
  <c r="DN4" i="16" s="1"/>
  <c r="BC8" i="16"/>
  <c r="AL7" i="16"/>
  <c r="DK7" i="16" s="1"/>
  <c r="DL7" i="16" s="1"/>
  <c r="BP2" i="16"/>
  <c r="BV11" i="16"/>
  <c r="CI8" i="16"/>
  <c r="CU7" i="16"/>
  <c r="AG2" i="16"/>
  <c r="DF10" i="16"/>
  <c r="AR4" i="16"/>
  <c r="DG5" i="16"/>
  <c r="CS7" i="16"/>
  <c r="BL7" i="16"/>
  <c r="AI7" i="16"/>
  <c r="AK7" i="16" s="1"/>
  <c r="CQ2" i="16"/>
  <c r="AS5" i="16"/>
  <c r="AI9" i="16"/>
  <c r="AJ9" i="16" s="1"/>
  <c r="CQ7" i="16"/>
  <c r="AC7" i="16"/>
  <c r="AC2" i="16"/>
  <c r="BI9" i="16"/>
  <c r="DJ8" i="16"/>
  <c r="DW7" i="16"/>
  <c r="CK9" i="16"/>
  <c r="S8" i="16"/>
  <c r="DV7" i="16"/>
  <c r="CO7" i="16"/>
  <c r="DV2" i="16"/>
  <c r="CC11" i="16"/>
  <c r="DC5" i="16"/>
  <c r="BG9" i="16"/>
  <c r="BX8" i="16"/>
  <c r="AR8" i="16"/>
  <c r="DT7" i="16"/>
  <c r="CK7" i="16"/>
  <c r="BE2" i="16"/>
  <c r="CX10" i="16"/>
  <c r="W10" i="16"/>
  <c r="CW4" i="16"/>
  <c r="BZ11" i="16"/>
  <c r="W11" i="16"/>
  <c r="BC2" i="16"/>
  <c r="DH3" i="16"/>
  <c r="AC4" i="16"/>
  <c r="DM9" i="16"/>
  <c r="DN9" i="16" s="1"/>
  <c r="AH7" i="16"/>
  <c r="AZ7" i="16"/>
  <c r="AX2" i="16"/>
  <c r="CO10" i="16"/>
  <c r="AS10" i="16"/>
  <c r="BS11" i="16"/>
  <c r="CA8" i="16"/>
  <c r="DF7" i="16"/>
  <c r="CD7" i="16"/>
  <c r="BE7" i="16"/>
  <c r="DH2" i="16"/>
  <c r="BS2" i="16"/>
  <c r="AI4" i="16"/>
  <c r="AK4" i="16" s="1"/>
  <c r="AS11" i="16"/>
  <c r="DH9" i="16"/>
  <c r="W8" i="16"/>
  <c r="BC7" i="16"/>
  <c r="AE7" i="16"/>
  <c r="CM2" i="16"/>
  <c r="AA2" i="16"/>
  <c r="CD3" i="16"/>
  <c r="AP3" i="16"/>
  <c r="DQ11" i="16"/>
  <c r="CO11" i="16"/>
  <c r="AS8" i="16"/>
  <c r="BZ7" i="16"/>
  <c r="AR2" i="16"/>
  <c r="CA3" i="16"/>
  <c r="DJ4" i="16"/>
  <c r="BA4" i="16"/>
  <c r="CI2" i="16"/>
  <c r="BN2" i="16"/>
  <c r="AP2" i="16"/>
  <c r="W2" i="16"/>
  <c r="T2" i="16"/>
  <c r="DH10" i="16"/>
  <c r="CS3" i="16"/>
  <c r="BX3" i="16"/>
  <c r="DF4" i="16"/>
  <c r="AL11" i="16"/>
  <c r="DK11" i="16" s="1"/>
  <c r="DW2" i="16"/>
  <c r="CF2" i="16"/>
  <c r="BL2" i="16"/>
  <c r="BS7" i="16"/>
  <c r="AA7" i="16"/>
  <c r="CX2" i="16"/>
  <c r="CD2" i="16"/>
  <c r="S2" i="16"/>
  <c r="AI10" i="16"/>
  <c r="AJ10" i="16" s="1"/>
  <c r="AH3" i="16"/>
  <c r="DB4" i="16"/>
  <c r="BZ4" i="16"/>
  <c r="DF11" i="16"/>
  <c r="BE11" i="16"/>
  <c r="AI11" i="16"/>
  <c r="AK11" i="16" s="1"/>
  <c r="DM5" i="16"/>
  <c r="DN5" i="16" s="1"/>
  <c r="DW5" i="16"/>
  <c r="AS9" i="16"/>
  <c r="AG8" i="16"/>
  <c r="CC2" i="16"/>
  <c r="BI2" i="16"/>
  <c r="AL2" i="16"/>
  <c r="DK2" i="16" s="1"/>
  <c r="DO2" i="16" s="1"/>
  <c r="CC10" i="16"/>
  <c r="DM3" i="16"/>
  <c r="DN3" i="16" s="1"/>
  <c r="CZ4" i="16"/>
  <c r="BX4" i="16"/>
  <c r="AP11" i="16"/>
  <c r="BN7" i="16"/>
  <c r="AR7" i="16"/>
  <c r="DT2" i="16"/>
  <c r="BG2" i="16"/>
  <c r="AI2" i="16"/>
  <c r="AJ2" i="16" s="1"/>
  <c r="CX4" i="16"/>
  <c r="CD11" i="16"/>
  <c r="AG11" i="16"/>
  <c r="DF5" i="16"/>
  <c r="CO9" i="16"/>
  <c r="DM8" i="16"/>
  <c r="DN8" i="16" s="1"/>
  <c r="AI8" i="16"/>
  <c r="AK8" i="16" s="1"/>
  <c r="DQ7" i="16"/>
  <c r="T7" i="16"/>
  <c r="CU2" i="16"/>
  <c r="AH2" i="16"/>
  <c r="AS4" i="16"/>
  <c r="W4" i="16"/>
  <c r="CI3" i="16"/>
  <c r="BP3" i="16"/>
  <c r="BQ3" i="16" s="1"/>
  <c r="DV4" i="16"/>
  <c r="DW11" i="16"/>
  <c r="CW11" i="16"/>
  <c r="BX11" i="16"/>
  <c r="BJ9" i="16"/>
  <c r="DF8" i="16"/>
  <c r="DJ7" i="16"/>
  <c r="CI7" i="16"/>
  <c r="BI7" i="16"/>
  <c r="CA2" i="16"/>
  <c r="AE2" i="16"/>
  <c r="BU10" i="16"/>
  <c r="DF3" i="16"/>
  <c r="DV11" i="16"/>
  <c r="CA5" i="16"/>
  <c r="DG9" i="16"/>
  <c r="DC8" i="16"/>
  <c r="CC8" i="16"/>
  <c r="AX8" i="16"/>
  <c r="AZ2" i="16"/>
  <c r="AA3" i="16"/>
  <c r="BL4" i="16"/>
  <c r="BU11" i="16"/>
  <c r="CZ5" i="16"/>
  <c r="BX5" i="16"/>
  <c r="DF9" i="16"/>
  <c r="AE9" i="16"/>
  <c r="AX9" i="16"/>
  <c r="AJ7" i="16"/>
  <c r="DH8" i="16"/>
  <c r="BL8" i="16"/>
  <c r="AG7" i="16"/>
  <c r="DG8" i="16"/>
  <c r="AE8" i="16"/>
  <c r="DH7" i="16"/>
  <c r="CA10" i="16"/>
  <c r="CW3" i="16"/>
  <c r="CX3" i="16"/>
  <c r="DV8" i="16"/>
  <c r="BZ8" i="16"/>
  <c r="CA7" i="16"/>
  <c r="CM8" i="16"/>
  <c r="DB8" i="16"/>
  <c r="BV8" i="16"/>
  <c r="AP8" i="16"/>
  <c r="DC7" i="16"/>
  <c r="CM7" i="16"/>
  <c r="BG7" i="16"/>
  <c r="DG2" i="16"/>
  <c r="DC10" i="16"/>
  <c r="BV10" i="16"/>
  <c r="DL5" i="16"/>
  <c r="DO5" i="16"/>
  <c r="DQ8" i="16"/>
  <c r="CK8" i="16"/>
  <c r="BU8" i="16"/>
  <c r="BE8" i="16"/>
  <c r="DB7" i="16"/>
  <c r="BV7" i="16"/>
  <c r="AP7" i="16"/>
  <c r="BJ2" i="16"/>
  <c r="DL3" i="16"/>
  <c r="BG8" i="16"/>
  <c r="CO2" i="16"/>
  <c r="AS2" i="16"/>
  <c r="AE5" i="16"/>
  <c r="AH5" i="16"/>
  <c r="AI5" i="16"/>
  <c r="AG10" i="16"/>
  <c r="CZ11" i="16"/>
  <c r="DC11" i="16"/>
  <c r="AL8" i="16"/>
  <c r="DK8" i="16" s="1"/>
  <c r="W7" i="16"/>
  <c r="BS4" i="16"/>
  <c r="BV4" i="16"/>
  <c r="CW8" i="16"/>
  <c r="BA8" i="16"/>
  <c r="CX7" i="16"/>
  <c r="BV2" i="16"/>
  <c r="CF8" i="16"/>
  <c r="BP8" i="16"/>
  <c r="BQ8" i="16" s="1"/>
  <c r="AZ8" i="16"/>
  <c r="T8" i="16"/>
  <c r="CW7" i="16"/>
  <c r="BA7" i="16"/>
  <c r="CU8" i="16"/>
  <c r="CF7" i="16"/>
  <c r="BP7" i="16"/>
  <c r="DM10" i="16"/>
  <c r="DN10" i="16" s="1"/>
  <c r="BN10" i="16"/>
  <c r="T10" i="16"/>
  <c r="BP10" i="16"/>
  <c r="CU10" i="16"/>
  <c r="CF4" i="16"/>
  <c r="BP4" i="16"/>
  <c r="AZ4" i="16"/>
  <c r="AJ4" i="16"/>
  <c r="T4" i="16"/>
  <c r="CU4" i="16"/>
  <c r="S4" i="16"/>
  <c r="CF11" i="16"/>
  <c r="BP11" i="16"/>
  <c r="AZ11" i="16"/>
  <c r="T11" i="16"/>
  <c r="CM5" i="16"/>
  <c r="BG5" i="16"/>
  <c r="BN4" i="16"/>
  <c r="AX4" i="16"/>
  <c r="CU11" i="16"/>
  <c r="S11" i="16"/>
  <c r="CS4" i="16"/>
  <c r="CC4" i="16"/>
  <c r="AG4" i="16"/>
  <c r="DJ11" i="16"/>
  <c r="BN11" i="16"/>
  <c r="AX11" i="16"/>
  <c r="DQ5" i="16"/>
  <c r="CK5" i="16"/>
  <c r="BU5" i="16"/>
  <c r="BE5" i="16"/>
  <c r="DB9" i="16"/>
  <c r="AP9" i="16"/>
  <c r="BJ3" i="16"/>
  <c r="DH4" i="16"/>
  <c r="CO3" i="16"/>
  <c r="DW4" i="16"/>
  <c r="DG4" i="16"/>
  <c r="CQ4" i="16"/>
  <c r="AE4" i="16"/>
  <c r="DH11" i="16"/>
  <c r="BL11" i="16"/>
  <c r="CI5" i="16"/>
  <c r="BS5" i="16"/>
  <c r="BC5" i="16"/>
  <c r="W5" i="16"/>
  <c r="CZ9" i="16"/>
  <c r="DG11" i="16"/>
  <c r="CA11" i="16"/>
  <c r="CX5" i="16"/>
  <c r="CI9" i="16"/>
  <c r="BS9" i="16"/>
  <c r="BC9" i="16"/>
  <c r="DC3" i="16"/>
  <c r="BJ11" i="16"/>
  <c r="BA5" i="16"/>
  <c r="CF5" i="16"/>
  <c r="BP5" i="16"/>
  <c r="AZ5" i="16"/>
  <c r="T5" i="16"/>
  <c r="CW9" i="16"/>
  <c r="BA9" i="16"/>
  <c r="CM4" i="16"/>
  <c r="BG4" i="16"/>
  <c r="CU5" i="16"/>
  <c r="S5" i="16"/>
  <c r="CF9" i="16"/>
  <c r="BP9" i="16"/>
  <c r="AZ9" i="16"/>
  <c r="T9" i="16"/>
  <c r="DJ5" i="16"/>
  <c r="BN5" i="16"/>
  <c r="DQ4" i="16"/>
  <c r="CK4" i="16"/>
  <c r="BU4" i="16"/>
  <c r="BE4" i="16"/>
  <c r="CS5" i="16"/>
  <c r="CC5" i="16"/>
  <c r="AG5" i="16"/>
  <c r="DJ9" i="16"/>
  <c r="CD9" i="16"/>
  <c r="BN9" i="16"/>
  <c r="AH9" i="16"/>
  <c r="DH5" i="16"/>
  <c r="CD7" i="17"/>
  <c r="CI9" i="17"/>
  <c r="AL4" i="17"/>
  <c r="AS9" i="17"/>
  <c r="BS4" i="17"/>
  <c r="AE4" i="17"/>
  <c r="CI4" i="17"/>
  <c r="CI3" i="17"/>
  <c r="AH9" i="17"/>
  <c r="BS8" i="17"/>
  <c r="AQ7" i="17"/>
  <c r="BZ9" i="17"/>
  <c r="BX9" i="17"/>
  <c r="M5" i="19"/>
  <c r="O9" i="19"/>
  <c r="M9" i="19"/>
  <c r="V8" i="19"/>
  <c r="O4" i="19"/>
  <c r="M4" i="19"/>
  <c r="M8" i="19"/>
  <c r="M6" i="19"/>
  <c r="J9" i="19"/>
  <c r="W9" i="19" s="1"/>
  <c r="K11" i="19"/>
  <c r="M7" i="19"/>
  <c r="O7" i="19"/>
  <c r="W11" i="19"/>
  <c r="J7" i="19"/>
  <c r="W7" i="19" s="1"/>
  <c r="M3" i="19"/>
  <c r="V4" i="19"/>
  <c r="J5" i="19"/>
  <c r="W5" i="19" s="1"/>
  <c r="V2" i="19"/>
  <c r="V9" i="19"/>
  <c r="R2" i="19"/>
  <c r="V3" i="19"/>
  <c r="O8" i="19"/>
  <c r="V6" i="19"/>
  <c r="V11" i="19"/>
  <c r="V7" i="19"/>
  <c r="P4" i="19"/>
  <c r="J4" i="19"/>
  <c r="W4" i="19" s="1"/>
  <c r="J3" i="19"/>
  <c r="W3" i="19" s="1"/>
  <c r="P9" i="19"/>
  <c r="P8" i="19"/>
  <c r="J6" i="19"/>
  <c r="W6" i="19" s="1"/>
  <c r="V5" i="19"/>
  <c r="P11" i="19"/>
  <c r="J8" i="19"/>
  <c r="W8" i="19" s="1"/>
  <c r="J2" i="19"/>
  <c r="P7" i="19"/>
  <c r="P6" i="19"/>
  <c r="AM8" i="17"/>
  <c r="S4" i="17"/>
  <c r="T4" i="17" s="1"/>
  <c r="CD8" i="17"/>
  <c r="O9" i="17"/>
  <c r="CI7" i="17"/>
  <c r="AU3" i="17"/>
  <c r="AC8" i="17"/>
  <c r="BV9" i="17"/>
  <c r="AO9" i="17"/>
  <c r="BE9" i="17" s="1"/>
  <c r="AI7" i="17"/>
  <c r="BS9" i="17"/>
  <c r="CD3" i="17"/>
  <c r="R7" i="17"/>
  <c r="AK7" i="17" s="1"/>
  <c r="BV3" i="17"/>
  <c r="AM3" i="17"/>
  <c r="BS3" i="17"/>
  <c r="AT9" i="17"/>
  <c r="R4" i="17"/>
  <c r="BX3" i="17"/>
  <c r="AA7" i="17"/>
  <c r="BZ3" i="17"/>
  <c r="BH8" i="17"/>
  <c r="AS4" i="17"/>
  <c r="AM9" i="17"/>
  <c r="BZ4" i="17"/>
  <c r="BQ3" i="17"/>
  <c r="O3" i="17"/>
  <c r="BP9" i="17"/>
  <c r="BX4" i="17"/>
  <c r="AS3" i="17"/>
  <c r="BN9" i="17"/>
  <c r="O7" i="17"/>
  <c r="BV4" i="17"/>
  <c r="AF8" i="17"/>
  <c r="AO4" i="17"/>
  <c r="AQ3" i="17"/>
  <c r="BZ7" i="17"/>
  <c r="AS7" i="17"/>
  <c r="AV7" i="17" s="1"/>
  <c r="AK9" i="17"/>
  <c r="AM4" i="17"/>
  <c r="AO3" i="17"/>
  <c r="Z8" i="17"/>
  <c r="V9" i="17"/>
  <c r="BQ4" i="17"/>
  <c r="BV7" i="17"/>
  <c r="BP4" i="17"/>
  <c r="BP3" i="17"/>
  <c r="R8" i="17"/>
  <c r="AK8" i="17" s="1"/>
  <c r="BS7" i="17"/>
  <c r="BN4" i="17"/>
  <c r="AI4" i="17"/>
  <c r="BN3" i="17"/>
  <c r="AL3" i="17"/>
  <c r="AM7" i="17"/>
  <c r="BF8" i="17"/>
  <c r="AQ9" i="17"/>
  <c r="AF4" i="17"/>
  <c r="AF3" i="17"/>
  <c r="AC4" i="17"/>
  <c r="BJ3" i="17"/>
  <c r="AC3" i="17"/>
  <c r="BH4" i="17"/>
  <c r="Z4" i="17"/>
  <c r="BH3" i="17"/>
  <c r="Z3" i="17"/>
  <c r="BB4" i="17"/>
  <c r="X4" i="17"/>
  <c r="BC3" i="17"/>
  <c r="BD3" i="17" s="1"/>
  <c r="X3" i="17"/>
  <c r="R3" i="17"/>
  <c r="AK3" i="17" s="1"/>
  <c r="CA8" i="17"/>
  <c r="AS8" i="17"/>
  <c r="BC7" i="17"/>
  <c r="BD7" i="17" s="1"/>
  <c r="AI9" i="17"/>
  <c r="CA4" i="17"/>
  <c r="CI8" i="17"/>
  <c r="AA8" i="17"/>
  <c r="BX7" i="17"/>
  <c r="AT7" i="17"/>
  <c r="S7" i="17"/>
  <c r="T7" i="17" s="1"/>
  <c r="BC4" i="17"/>
  <c r="BD4" i="17" s="1"/>
  <c r="AF9" i="17"/>
  <c r="AT3" i="17"/>
  <c r="U3" i="17"/>
  <c r="S8" i="17"/>
  <c r="T8" i="17" s="1"/>
  <c r="BP7" i="17"/>
  <c r="N7" i="17"/>
  <c r="BQ7" i="17"/>
  <c r="AW4" i="17"/>
  <c r="BX8" i="17"/>
  <c r="BQ8" i="17"/>
  <c r="AA9" i="17"/>
  <c r="AU4" i="17"/>
  <c r="AH7" i="17"/>
  <c r="BV8" i="17"/>
  <c r="AL8" i="17"/>
  <c r="BJ7" i="17"/>
  <c r="O4" i="17"/>
  <c r="AE7" i="17"/>
  <c r="AW3" i="17"/>
  <c r="BH7" i="17"/>
  <c r="AC7" i="17"/>
  <c r="CA3" i="17"/>
  <c r="BB3" i="17"/>
  <c r="BP8" i="17"/>
  <c r="AH8" i="17"/>
  <c r="BB7" i="17"/>
  <c r="AE3" i="17"/>
  <c r="BN8" i="17"/>
  <c r="CD9" i="17"/>
  <c r="BJ9" i="17"/>
  <c r="AL9" i="17"/>
  <c r="BJ4" i="17"/>
  <c r="AK4" i="17"/>
  <c r="AE8" i="17"/>
  <c r="Z7" i="17"/>
  <c r="CA9" i="17"/>
  <c r="AH4" i="17"/>
  <c r="U9" i="17"/>
  <c r="V4" i="17"/>
  <c r="V3" i="17"/>
  <c r="AU8" i="17"/>
  <c r="O8" i="17"/>
  <c r="AW7" i="17"/>
  <c r="S9" i="17"/>
  <c r="T9" i="17" s="1"/>
  <c r="U4" i="17"/>
  <c r="AI3" i="17"/>
  <c r="S3" i="17"/>
  <c r="T3" i="17" s="1"/>
  <c r="BZ8" i="17"/>
  <c r="BJ8" i="17"/>
  <c r="AT8" i="17"/>
  <c r="AF7" i="17"/>
  <c r="AW8" i="17"/>
  <c r="AH3" i="17"/>
  <c r="CA7" i="17"/>
  <c r="AU7" i="17"/>
  <c r="AW9" i="17"/>
  <c r="AO8" i="17"/>
  <c r="BE8" i="17" s="1"/>
  <c r="X8" i="17"/>
  <c r="BF7" i="17"/>
  <c r="AT4" i="17"/>
  <c r="AQ8" i="17"/>
  <c r="BC8" i="17"/>
  <c r="BD8" i="17" s="1"/>
  <c r="AO7" i="17"/>
  <c r="AA3" i="17"/>
  <c r="V8" i="17"/>
  <c r="X7" i="17"/>
  <c r="BF9" i="17"/>
  <c r="BF3" i="17"/>
  <c r="U8" i="17"/>
  <c r="AQ4" i="17"/>
  <c r="AA4" i="17"/>
  <c r="AL7" i="17"/>
  <c r="V7" i="17"/>
  <c r="AI8" i="17"/>
  <c r="BC9" i="17"/>
  <c r="BD9" i="17" s="1"/>
  <c r="DM6" i="16"/>
  <c r="DN6" i="16" s="1"/>
  <c r="DT6" i="16"/>
  <c r="CI6" i="16"/>
  <c r="AR6" i="16"/>
  <c r="BS6" i="16"/>
  <c r="AE6" i="16"/>
  <c r="CQ6" i="16"/>
  <c r="BL6" i="16"/>
  <c r="BI6" i="16"/>
  <c r="BC6" i="16"/>
  <c r="W6" i="16"/>
  <c r="AA6" i="16"/>
  <c r="CC6" i="16"/>
  <c r="DB6" i="16"/>
  <c r="AP6" i="16"/>
  <c r="CU6" i="16"/>
  <c r="CS6" i="16"/>
  <c r="DC6" i="16"/>
  <c r="CA6" i="16"/>
  <c r="T6" i="16"/>
  <c r="BV6" i="16"/>
  <c r="AS6" i="16"/>
  <c r="DF6" i="16"/>
  <c r="DG6" i="16"/>
  <c r="DH6" i="16"/>
  <c r="BZ6" i="16"/>
  <c r="DV6" i="16"/>
  <c r="DW6" i="16"/>
  <c r="AG6" i="16"/>
  <c r="AX6" i="16"/>
  <c r="BN6" i="16"/>
  <c r="DJ6" i="16"/>
  <c r="S6" i="16"/>
  <c r="AZ6" i="16"/>
  <c r="BP6" i="16"/>
  <c r="CF6" i="16"/>
  <c r="BA6" i="16"/>
  <c r="CW6" i="16"/>
  <c r="AL6" i="16"/>
  <c r="DK6" i="16" s="1"/>
  <c r="CZ6" i="16"/>
  <c r="BE6" i="16"/>
  <c r="BU6" i="16"/>
  <c r="CK6" i="16"/>
  <c r="DQ6" i="16"/>
  <c r="CO6" i="16"/>
  <c r="CM6" i="16"/>
  <c r="BJ6" i="16"/>
  <c r="BG6" i="16"/>
  <c r="AC6" i="16"/>
  <c r="CX6" i="16"/>
  <c r="AI6" i="16"/>
  <c r="AH6" i="16"/>
  <c r="AU6" i="10"/>
  <c r="BW6" i="10"/>
  <c r="DI6" i="10"/>
  <c r="CT6" i="10"/>
  <c r="DG6" i="10"/>
  <c r="DD6" i="10"/>
  <c r="AM6" i="10"/>
  <c r="ED6" i="10"/>
  <c r="BO6" i="10"/>
  <c r="EH6" i="10"/>
  <c r="CW6" i="10"/>
  <c r="T6" i="10"/>
  <c r="EA6" i="10"/>
  <c r="R6" i="10"/>
  <c r="DY6" i="10"/>
  <c r="DR6" i="10"/>
  <c r="Z6" i="10"/>
  <c r="AF6" i="10" s="1"/>
  <c r="S6" i="10"/>
  <c r="DB6" i="10"/>
  <c r="AS6" i="10"/>
  <c r="AO6" i="10"/>
  <c r="AQ6" i="10" s="1"/>
  <c r="DW6" i="10"/>
  <c r="AJ6" i="10"/>
  <c r="CR6" i="10"/>
  <c r="BM6" i="10"/>
  <c r="AI6" i="10"/>
  <c r="BK6" i="10"/>
  <c r="AK6" i="10"/>
  <c r="CP6" i="10"/>
  <c r="CK6" i="10"/>
  <c r="BH6" i="10"/>
  <c r="BI6" i="10" s="1"/>
  <c r="BE6" i="10"/>
  <c r="DK6" i="10"/>
  <c r="BF6" i="10"/>
  <c r="AH6" i="10"/>
  <c r="W6" i="10"/>
  <c r="CV6" i="10"/>
  <c r="AV6" i="10"/>
  <c r="DQ6" i="10"/>
  <c r="CG6" i="10"/>
  <c r="CH6" i="10"/>
  <c r="BU6" i="10" s="1"/>
  <c r="DN6" i="10"/>
  <c r="DO6" i="10" s="1"/>
  <c r="BV6" i="10"/>
  <c r="CN6" i="10"/>
  <c r="CD6" i="10"/>
  <c r="BA6" i="10"/>
  <c r="BB6" i="10"/>
  <c r="AC6" i="10"/>
  <c r="AE6" i="10" s="1"/>
  <c r="DU6" i="10"/>
  <c r="DV6" i="10" s="1"/>
  <c r="DE6" i="10"/>
  <c r="CY6" i="10"/>
  <c r="B2" i="19"/>
  <c r="B3" i="19"/>
  <c r="B4" i="19"/>
  <c r="C10" i="19"/>
  <c r="D10" i="19"/>
  <c r="E10" i="19"/>
  <c r="F10" i="19"/>
  <c r="H10" i="19"/>
  <c r="G3" i="19" s="1"/>
  <c r="I10" i="19"/>
  <c r="K10" i="19" s="1"/>
  <c r="L10" i="19"/>
  <c r="N10" i="19"/>
  <c r="Q10" i="19"/>
  <c r="S10" i="19"/>
  <c r="T10" i="19"/>
  <c r="U10" i="19"/>
  <c r="X10" i="19"/>
  <c r="B5" i="19"/>
  <c r="A2" i="16"/>
  <c r="A3" i="16"/>
  <c r="A4" i="16"/>
  <c r="A5" i="16"/>
  <c r="A2" i="2"/>
  <c r="A3" i="2"/>
  <c r="B7" i="2"/>
  <c r="C7" i="2"/>
  <c r="D7" i="2"/>
  <c r="E7" i="2"/>
  <c r="F7" i="2"/>
  <c r="G7" i="2"/>
  <c r="H7" i="2"/>
  <c r="I7" i="2"/>
  <c r="J7" i="2"/>
  <c r="L7" i="2"/>
  <c r="M7" i="2"/>
  <c r="N7" i="2" s="1"/>
  <c r="O7" i="2"/>
  <c r="P7" i="2"/>
  <c r="Q7" i="2"/>
  <c r="S7" i="2"/>
  <c r="T7" i="2" s="1"/>
  <c r="V7" i="2"/>
  <c r="X7" i="2"/>
  <c r="AA7" i="2"/>
  <c r="AB7" i="2"/>
  <c r="AC7" i="2"/>
  <c r="AD7" i="2"/>
  <c r="AE7" i="2"/>
  <c r="AF7" i="2"/>
  <c r="AI7" i="2" s="1"/>
  <c r="AG7" i="2"/>
  <c r="AJ7" i="2"/>
  <c r="AN7" i="2"/>
  <c r="AP7" i="2"/>
  <c r="AQ7" i="2" s="1"/>
  <c r="AS7" i="2"/>
  <c r="CL7" i="2" s="1"/>
  <c r="AY7" i="2"/>
  <c r="AZ7" i="2"/>
  <c r="BB7" i="2"/>
  <c r="BC7" i="2"/>
  <c r="BG7" i="2"/>
  <c r="BI7" i="2" s="1"/>
  <c r="BH7" i="2"/>
  <c r="BJ7" i="2"/>
  <c r="BL7" i="2"/>
  <c r="BM7" i="2"/>
  <c r="BP7" i="2"/>
  <c r="BQ7" i="2"/>
  <c r="BT7" i="2"/>
  <c r="BX7" i="2" s="1"/>
  <c r="BW7" i="2"/>
  <c r="BY7" i="2"/>
  <c r="CA7" i="2"/>
  <c r="CB7" i="2"/>
  <c r="CC7" i="2"/>
  <c r="CE7" i="2"/>
  <c r="CG7" i="2"/>
  <c r="CI7" i="2"/>
  <c r="CR7" i="2"/>
  <c r="CT7" i="2"/>
  <c r="CV7" i="2"/>
  <c r="CX7" i="2"/>
  <c r="CZ7" i="2"/>
  <c r="DA7" i="2"/>
  <c r="DD7" i="2"/>
  <c r="DE7" i="2"/>
  <c r="AB3" i="10"/>
  <c r="AA3" i="10"/>
  <c r="B3" i="10"/>
  <c r="C3" i="10"/>
  <c r="D3" i="10"/>
  <c r="E3" i="10"/>
  <c r="F3" i="10"/>
  <c r="G3" i="10"/>
  <c r="H3" i="10"/>
  <c r="I3" i="10"/>
  <c r="J3" i="10"/>
  <c r="L3" i="10"/>
  <c r="K10" i="10" s="1"/>
  <c r="M3" i="10"/>
  <c r="N3" i="10" s="1"/>
  <c r="O3" i="10"/>
  <c r="P3" i="10"/>
  <c r="Q3" i="10"/>
  <c r="U3" i="10"/>
  <c r="V3" i="10" s="1"/>
  <c r="X3" i="10"/>
  <c r="Y3" i="10"/>
  <c r="AD3" i="10"/>
  <c r="AL3" i="10"/>
  <c r="AN3" i="10"/>
  <c r="AP3" i="10"/>
  <c r="AR3" i="10"/>
  <c r="AT3" i="10"/>
  <c r="AW3" i="10"/>
  <c r="AX3" i="10"/>
  <c r="AY3" i="10"/>
  <c r="AC3" i="10" s="1"/>
  <c r="AZ3" i="10"/>
  <c r="BC3" i="10"/>
  <c r="BD3" i="10"/>
  <c r="BG3" i="10"/>
  <c r="BJ3" i="10"/>
  <c r="BL3" i="10"/>
  <c r="BN3" i="10"/>
  <c r="BP3" i="10"/>
  <c r="BQ3" i="10"/>
  <c r="BR3" i="10"/>
  <c r="BS3" i="10"/>
  <c r="BT3" i="10"/>
  <c r="BZ3" i="10"/>
  <c r="CA3" i="10"/>
  <c r="CB3" i="10"/>
  <c r="CF3" i="10"/>
  <c r="CD3" i="10" s="1"/>
  <c r="CJ3" i="10"/>
  <c r="CO3" i="10"/>
  <c r="CS3" i="10"/>
  <c r="CU3" i="10"/>
  <c r="CX3" i="10"/>
  <c r="DA3" i="10"/>
  <c r="EC3" i="10" s="1"/>
  <c r="DC3" i="10"/>
  <c r="DF3" i="10"/>
  <c r="DH3" i="10"/>
  <c r="DJ3" i="10"/>
  <c r="CZ3" i="10" s="1"/>
  <c r="DM3" i="10"/>
  <c r="DP3" i="10"/>
  <c r="DS3" i="10"/>
  <c r="DX3" i="10"/>
  <c r="DZ3" i="10"/>
  <c r="EE3" i="10"/>
  <c r="EG3" i="10"/>
  <c r="EI3" i="10"/>
  <c r="EJ3" i="10"/>
  <c r="AB3" i="11"/>
  <c r="AB4" i="11"/>
  <c r="AB5" i="11"/>
  <c r="AB6" i="11"/>
  <c r="AB7" i="11"/>
  <c r="AB8" i="11"/>
  <c r="AB9" i="11"/>
  <c r="AB10" i="11"/>
  <c r="AB11" i="11"/>
  <c r="A4" i="11"/>
  <c r="A5" i="11"/>
  <c r="B4" i="11"/>
  <c r="C4" i="11"/>
  <c r="D4" i="11"/>
  <c r="E4" i="11"/>
  <c r="F4" i="11"/>
  <c r="G4" i="11"/>
  <c r="H4" i="11"/>
  <c r="I4" i="11"/>
  <c r="J4" i="11"/>
  <c r="L4" i="11"/>
  <c r="CA4" i="11" s="1"/>
  <c r="M4" i="11"/>
  <c r="N4" i="11" s="1"/>
  <c r="O4" i="11"/>
  <c r="P4" i="11"/>
  <c r="Q4" i="11"/>
  <c r="S4" i="11"/>
  <c r="U4" i="11"/>
  <c r="V4" i="11"/>
  <c r="X4" i="11" s="1"/>
  <c r="Y4" i="11"/>
  <c r="Z4" i="11"/>
  <c r="AA4" i="11"/>
  <c r="AF4" i="11"/>
  <c r="AH4" i="11"/>
  <c r="AK4" i="11"/>
  <c r="AM4" i="11"/>
  <c r="AP4" i="11"/>
  <c r="AQ4" i="11" s="1"/>
  <c r="AR4" i="11"/>
  <c r="AS4" i="11"/>
  <c r="AX4" i="11"/>
  <c r="AY4" i="11"/>
  <c r="BA4" i="11"/>
  <c r="BC4" i="11" s="1"/>
  <c r="BD4" i="11"/>
  <c r="BF4" i="11"/>
  <c r="BH4" i="11"/>
  <c r="BK4" i="11"/>
  <c r="BM4" i="11"/>
  <c r="BO4" i="11"/>
  <c r="BV4" i="11" s="1"/>
  <c r="BQ4" i="11"/>
  <c r="BR4" i="11"/>
  <c r="BU4" i="11"/>
  <c r="BW4" i="11"/>
  <c r="BY4" i="11"/>
  <c r="CB4" i="11"/>
  <c r="CC4" i="11" s="1"/>
  <c r="CD4" i="11"/>
  <c r="CF4" i="11"/>
  <c r="CH4" i="11"/>
  <c r="CI4" i="11"/>
  <c r="CM4" i="11"/>
  <c r="CP4" i="11"/>
  <c r="CQ4" i="11" s="1"/>
  <c r="CR4" i="11"/>
  <c r="CT4" i="11"/>
  <c r="CU4" i="11" s="1"/>
  <c r="CW4" i="11"/>
  <c r="CX4" i="11" s="1"/>
  <c r="CY4" i="11"/>
  <c r="CZ4" i="11"/>
  <c r="A6" i="11"/>
  <c r="A7" i="11"/>
  <c r="A8" i="11"/>
  <c r="A9" i="11"/>
  <c r="A10" i="11"/>
  <c r="A11" i="11"/>
  <c r="B7" i="11"/>
  <c r="C7" i="11"/>
  <c r="D7" i="11"/>
  <c r="E7" i="11"/>
  <c r="F7" i="11"/>
  <c r="G7" i="11"/>
  <c r="H7" i="11"/>
  <c r="I7" i="11"/>
  <c r="J7" i="11"/>
  <c r="L7" i="11"/>
  <c r="M7" i="11"/>
  <c r="N7" i="11" s="1"/>
  <c r="O7" i="11"/>
  <c r="P7" i="11"/>
  <c r="Q7" i="11"/>
  <c r="S7" i="11"/>
  <c r="U7" i="11"/>
  <c r="V7" i="11"/>
  <c r="Y7" i="11"/>
  <c r="Z7" i="11"/>
  <c r="AA7" i="11"/>
  <c r="AD7" i="11"/>
  <c r="AF7" i="11"/>
  <c r="AH7" i="11"/>
  <c r="AJ7" i="11" s="1"/>
  <c r="AK7" i="11"/>
  <c r="AL7" i="11" s="1"/>
  <c r="AM7" i="11"/>
  <c r="AP7" i="11"/>
  <c r="AQ7" i="11" s="1"/>
  <c r="AR7" i="11"/>
  <c r="AS7" i="11"/>
  <c r="AX7" i="11"/>
  <c r="AY7" i="11"/>
  <c r="BA7" i="11"/>
  <c r="BD7" i="11"/>
  <c r="BF7" i="11"/>
  <c r="BH7" i="11"/>
  <c r="BK7" i="11"/>
  <c r="BM7" i="11"/>
  <c r="BN7" i="11" s="1"/>
  <c r="BO7" i="11"/>
  <c r="BQ7" i="11"/>
  <c r="BR7" i="11"/>
  <c r="BU7" i="11"/>
  <c r="BW7" i="11"/>
  <c r="BY7" i="11"/>
  <c r="CB7" i="11"/>
  <c r="CC7" i="11" s="1"/>
  <c r="CD7" i="11"/>
  <c r="CF7" i="11"/>
  <c r="CH7" i="11"/>
  <c r="CI7" i="11"/>
  <c r="CM7" i="11"/>
  <c r="CP7" i="11"/>
  <c r="CQ7" i="11" s="1"/>
  <c r="CR7" i="11"/>
  <c r="CT7" i="11"/>
  <c r="CV7" i="11" s="1"/>
  <c r="CW7" i="11"/>
  <c r="CX7" i="11" s="1"/>
  <c r="CY7" i="11"/>
  <c r="CZ7" i="11"/>
  <c r="B9" i="11"/>
  <c r="C9" i="11"/>
  <c r="D9" i="11"/>
  <c r="E9" i="11"/>
  <c r="F9" i="11"/>
  <c r="G9" i="11"/>
  <c r="H9" i="11"/>
  <c r="I9" i="11"/>
  <c r="J9" i="11"/>
  <c r="L9" i="11"/>
  <c r="CA9" i="11" s="1"/>
  <c r="M9" i="11"/>
  <c r="N9" i="11" s="1"/>
  <c r="O9" i="11"/>
  <c r="P9" i="11"/>
  <c r="Q9" i="11"/>
  <c r="S9" i="11"/>
  <c r="U9" i="11"/>
  <c r="V9" i="11"/>
  <c r="Y9" i="11"/>
  <c r="Z9" i="11"/>
  <c r="AA9" i="11"/>
  <c r="AE9" i="11" s="1"/>
  <c r="AF9" i="11"/>
  <c r="AH9" i="11"/>
  <c r="AK9" i="11"/>
  <c r="AM9" i="11"/>
  <c r="AP9" i="11"/>
  <c r="AQ9" i="11" s="1"/>
  <c r="AR9" i="11"/>
  <c r="AS9" i="11"/>
  <c r="AX9" i="11"/>
  <c r="AY9" i="11"/>
  <c r="BA9" i="11"/>
  <c r="BC9" i="11"/>
  <c r="BD9" i="11"/>
  <c r="BF9" i="11"/>
  <c r="BH9" i="11"/>
  <c r="BK9" i="11"/>
  <c r="BM9" i="11"/>
  <c r="BO9" i="11"/>
  <c r="BQ9" i="11"/>
  <c r="BR9" i="11"/>
  <c r="BU9" i="11"/>
  <c r="BW9" i="11"/>
  <c r="BY9" i="11"/>
  <c r="CB9" i="11"/>
  <c r="CC9" i="11" s="1"/>
  <c r="CD9" i="11"/>
  <c r="CF9" i="11"/>
  <c r="CH9" i="11"/>
  <c r="CI9" i="11"/>
  <c r="CM9" i="11"/>
  <c r="CP9" i="11"/>
  <c r="CQ9" i="11" s="1"/>
  <c r="CR9" i="11"/>
  <c r="CT9" i="11"/>
  <c r="CV9" i="11" s="1"/>
  <c r="CW9" i="11"/>
  <c r="CY9" i="11"/>
  <c r="CZ9" i="11"/>
  <c r="B8" i="11"/>
  <c r="C8" i="11"/>
  <c r="D8" i="11"/>
  <c r="E8" i="11"/>
  <c r="F8" i="11"/>
  <c r="G8" i="11"/>
  <c r="H8" i="11"/>
  <c r="I8" i="11"/>
  <c r="J8" i="11"/>
  <c r="L8" i="11"/>
  <c r="BS8" i="11" s="1"/>
  <c r="M8" i="11"/>
  <c r="N8" i="11" s="1"/>
  <c r="O8" i="11"/>
  <c r="P8" i="11"/>
  <c r="Q8" i="11"/>
  <c r="S8" i="11"/>
  <c r="U8" i="11"/>
  <c r="V8" i="11"/>
  <c r="Y8" i="11"/>
  <c r="Z8" i="11"/>
  <c r="AA8" i="11"/>
  <c r="AF8" i="11"/>
  <c r="AH8" i="11"/>
  <c r="AK8" i="11"/>
  <c r="AM8" i="11"/>
  <c r="AP8" i="11"/>
  <c r="AQ8" i="11" s="1"/>
  <c r="AR8" i="11"/>
  <c r="AS8" i="11"/>
  <c r="AV8" i="11" s="1"/>
  <c r="AX8" i="11"/>
  <c r="AY8" i="11"/>
  <c r="BA8" i="11"/>
  <c r="BD8" i="11"/>
  <c r="BF8" i="11"/>
  <c r="BH8" i="11"/>
  <c r="BK8" i="11"/>
  <c r="BM8" i="11"/>
  <c r="BN8" i="11" s="1"/>
  <c r="BO8" i="11"/>
  <c r="BQ8" i="11"/>
  <c r="BR8" i="11"/>
  <c r="BU8" i="11"/>
  <c r="BW8" i="11"/>
  <c r="BY8" i="11"/>
  <c r="CB8" i="11"/>
  <c r="CC8" i="11" s="1"/>
  <c r="CD8" i="11"/>
  <c r="CF8" i="11"/>
  <c r="CH8" i="11"/>
  <c r="CI8" i="11"/>
  <c r="CM8" i="11"/>
  <c r="CP8" i="11"/>
  <c r="CQ8" i="11" s="1"/>
  <c r="CR8" i="11"/>
  <c r="CT8" i="11"/>
  <c r="CW8" i="11"/>
  <c r="CY8" i="11"/>
  <c r="CZ8" i="11"/>
  <c r="B5" i="11"/>
  <c r="C5" i="11"/>
  <c r="D5" i="11"/>
  <c r="E5" i="11"/>
  <c r="F5" i="11"/>
  <c r="G5" i="11"/>
  <c r="H5" i="11"/>
  <c r="I5" i="11"/>
  <c r="J5" i="11"/>
  <c r="L5" i="11"/>
  <c r="AC5" i="11" s="1"/>
  <c r="M5" i="11"/>
  <c r="N5" i="11" s="1"/>
  <c r="O5" i="11"/>
  <c r="P5" i="11"/>
  <c r="Q5" i="11"/>
  <c r="S5" i="11"/>
  <c r="U5" i="11"/>
  <c r="V5" i="11"/>
  <c r="Y5" i="11"/>
  <c r="Z5" i="11"/>
  <c r="AA5" i="11"/>
  <c r="AF5" i="11"/>
  <c r="AH5" i="11"/>
  <c r="AK5" i="11"/>
  <c r="AM5" i="11"/>
  <c r="AP5" i="11"/>
  <c r="AQ5" i="11" s="1"/>
  <c r="AR5" i="11"/>
  <c r="AS5" i="11"/>
  <c r="AX5" i="11"/>
  <c r="AY5" i="11"/>
  <c r="BA5" i="11"/>
  <c r="BD5" i="11"/>
  <c r="BF5" i="11"/>
  <c r="BJ5" i="11" s="1"/>
  <c r="BH5" i="11"/>
  <c r="BK5" i="11"/>
  <c r="BM5" i="11"/>
  <c r="BO5" i="11"/>
  <c r="BQ5" i="11"/>
  <c r="BR5" i="11"/>
  <c r="BU5" i="11"/>
  <c r="BW5" i="11"/>
  <c r="BY5" i="11"/>
  <c r="CB5" i="11"/>
  <c r="CC5" i="11" s="1"/>
  <c r="CD5" i="11"/>
  <c r="CF5" i="11"/>
  <c r="CH5" i="11"/>
  <c r="CI5" i="11"/>
  <c r="CM5" i="11"/>
  <c r="CP5" i="11"/>
  <c r="CQ5" i="11" s="1"/>
  <c r="CR5" i="11"/>
  <c r="CT5" i="11"/>
  <c r="CW5" i="11"/>
  <c r="CY5" i="11"/>
  <c r="CZ5" i="11"/>
  <c r="B6" i="11"/>
  <c r="C6" i="11"/>
  <c r="D6" i="11"/>
  <c r="E6" i="11"/>
  <c r="F6" i="11"/>
  <c r="G6" i="11"/>
  <c r="H6" i="11"/>
  <c r="I6" i="11"/>
  <c r="J6" i="11"/>
  <c r="L6" i="11"/>
  <c r="CA6" i="11" s="1"/>
  <c r="M6" i="11"/>
  <c r="N6" i="11" s="1"/>
  <c r="O6" i="11"/>
  <c r="P6" i="11"/>
  <c r="Q6" i="11"/>
  <c r="S6" i="11"/>
  <c r="U6" i="11"/>
  <c r="W6" i="11" s="1"/>
  <c r="V6" i="11"/>
  <c r="Y6" i="11"/>
  <c r="Z6" i="11"/>
  <c r="AA6" i="11"/>
  <c r="AF6" i="11"/>
  <c r="AH6" i="11"/>
  <c r="AK6" i="11"/>
  <c r="AL6" i="11" s="1"/>
  <c r="AM6" i="11"/>
  <c r="AP6" i="11"/>
  <c r="AQ6" i="11" s="1"/>
  <c r="AR6" i="11"/>
  <c r="AS6" i="11"/>
  <c r="AX6" i="11"/>
  <c r="AY6" i="11"/>
  <c r="BA6" i="11"/>
  <c r="BD6" i="11"/>
  <c r="BF6" i="11"/>
  <c r="BH6" i="11"/>
  <c r="BK6" i="11"/>
  <c r="BM6" i="11"/>
  <c r="BO6" i="11"/>
  <c r="BQ6" i="11"/>
  <c r="BR6" i="11"/>
  <c r="BU6" i="11"/>
  <c r="BT6" i="11" s="1"/>
  <c r="CK6" i="11" s="1"/>
  <c r="CL6" i="11" s="1"/>
  <c r="BW6" i="11"/>
  <c r="BY6" i="11"/>
  <c r="CB6" i="11"/>
  <c r="CC6" i="11" s="1"/>
  <c r="CD6" i="11"/>
  <c r="CF6" i="11"/>
  <c r="CH6" i="11"/>
  <c r="CI6" i="11"/>
  <c r="CM6" i="11"/>
  <c r="CP6" i="11"/>
  <c r="CQ6" i="11" s="1"/>
  <c r="CR6" i="11"/>
  <c r="CT6" i="11"/>
  <c r="CV6" i="11" s="1"/>
  <c r="CW6" i="11"/>
  <c r="CY6" i="11"/>
  <c r="CZ6" i="11"/>
  <c r="B2" i="11"/>
  <c r="C2" i="11"/>
  <c r="D2" i="11"/>
  <c r="E2" i="11"/>
  <c r="F2" i="11"/>
  <c r="G2" i="11"/>
  <c r="H2" i="11"/>
  <c r="I2" i="11"/>
  <c r="J2" i="11"/>
  <c r="L2" i="11"/>
  <c r="M2" i="11"/>
  <c r="N2" i="11" s="1"/>
  <c r="O2" i="11"/>
  <c r="P2" i="11"/>
  <c r="Q2" i="11"/>
  <c r="S2" i="11"/>
  <c r="U2" i="11"/>
  <c r="W2" i="11" s="1"/>
  <c r="V2" i="11"/>
  <c r="Y2" i="11"/>
  <c r="Z2" i="11"/>
  <c r="AA2" i="11"/>
  <c r="AE2" i="11" s="1"/>
  <c r="AB2" i="11"/>
  <c r="AF2" i="11"/>
  <c r="AH2" i="11"/>
  <c r="AK2" i="11"/>
  <c r="AM2" i="11"/>
  <c r="AO2" i="11" s="1"/>
  <c r="AP2" i="11"/>
  <c r="AQ2" i="11" s="1"/>
  <c r="AR2" i="11"/>
  <c r="AS2" i="11"/>
  <c r="AX2" i="11"/>
  <c r="AY2" i="11"/>
  <c r="BA2" i="11"/>
  <c r="BD2" i="11"/>
  <c r="BF2" i="11"/>
  <c r="BH2" i="11"/>
  <c r="BI2" i="11" s="1"/>
  <c r="BK2" i="11"/>
  <c r="BM2" i="11"/>
  <c r="BO2" i="11"/>
  <c r="BQ2" i="11"/>
  <c r="BR2" i="11"/>
  <c r="BU2" i="11"/>
  <c r="BW2" i="11"/>
  <c r="BY2" i="11"/>
  <c r="BZ2" i="11" s="1"/>
  <c r="CB2" i="11"/>
  <c r="CC2" i="11" s="1"/>
  <c r="CD2" i="11"/>
  <c r="CF2" i="11"/>
  <c r="CH2" i="11"/>
  <c r="CI2" i="11"/>
  <c r="CM2" i="11"/>
  <c r="CP2" i="11"/>
  <c r="CQ2" i="11" s="1"/>
  <c r="CR2" i="11"/>
  <c r="CT2" i="11"/>
  <c r="CV2" i="11" s="1"/>
  <c r="CW2" i="11"/>
  <c r="CY2" i="11"/>
  <c r="CZ2" i="11"/>
  <c r="B11" i="11"/>
  <c r="C11" i="11"/>
  <c r="D11" i="11"/>
  <c r="E11" i="11"/>
  <c r="F11" i="11"/>
  <c r="G11" i="11"/>
  <c r="H11" i="11"/>
  <c r="I11" i="11"/>
  <c r="J11" i="11"/>
  <c r="L11" i="11"/>
  <c r="AC11" i="11" s="1"/>
  <c r="M11" i="11"/>
  <c r="N11" i="11" s="1"/>
  <c r="O11" i="11"/>
  <c r="P11" i="11"/>
  <c r="Q11" i="11"/>
  <c r="S11" i="11"/>
  <c r="T11" i="11" s="1"/>
  <c r="U11" i="11"/>
  <c r="V11" i="11"/>
  <c r="Y11" i="11"/>
  <c r="Z11" i="11"/>
  <c r="AA11" i="11"/>
  <c r="AF11" i="11"/>
  <c r="AH11" i="11"/>
  <c r="AK11" i="11"/>
  <c r="AM11" i="11"/>
  <c r="AP11" i="11"/>
  <c r="AQ11" i="11" s="1"/>
  <c r="AR11" i="11"/>
  <c r="AS11" i="11"/>
  <c r="AV11" i="11"/>
  <c r="AU11" i="11" s="1"/>
  <c r="AX11" i="11"/>
  <c r="AY11" i="11"/>
  <c r="BA11" i="11"/>
  <c r="BD11" i="11"/>
  <c r="BF11" i="11"/>
  <c r="BH11" i="11"/>
  <c r="BI11" i="11"/>
  <c r="BK11" i="11"/>
  <c r="BM11" i="11"/>
  <c r="BO11" i="11"/>
  <c r="BQ11" i="11"/>
  <c r="BR11" i="11"/>
  <c r="BU11" i="11"/>
  <c r="BT11" i="11" s="1"/>
  <c r="CK11" i="11" s="1"/>
  <c r="CL11" i="11" s="1"/>
  <c r="BW11" i="11"/>
  <c r="BX11" i="11" s="1"/>
  <c r="BY11" i="11"/>
  <c r="CA11" i="11"/>
  <c r="CB11" i="11"/>
  <c r="CC11" i="11" s="1"/>
  <c r="CD11" i="11"/>
  <c r="CF11" i="11"/>
  <c r="CH11" i="11"/>
  <c r="CI11" i="11"/>
  <c r="CM11" i="11"/>
  <c r="CP11" i="11"/>
  <c r="CQ11" i="11" s="1"/>
  <c r="CR11" i="11"/>
  <c r="CT11" i="11"/>
  <c r="CV11" i="11" s="1"/>
  <c r="CW11" i="11"/>
  <c r="CY11" i="11"/>
  <c r="CZ11" i="11"/>
  <c r="F9" i="15"/>
  <c r="F13" i="15"/>
  <c r="F16" i="15"/>
  <c r="BX13" i="15"/>
  <c r="BZ13" i="15"/>
  <c r="BX16" i="15"/>
  <c r="BZ16" i="15"/>
  <c r="BX9" i="15"/>
  <c r="BZ9" i="15"/>
  <c r="CC13" i="15"/>
  <c r="CD13" i="15"/>
  <c r="CC16" i="15"/>
  <c r="CD16" i="15"/>
  <c r="CC9" i="15"/>
  <c r="CD9" i="15"/>
  <c r="U13" i="15"/>
  <c r="AN13" i="15" s="1"/>
  <c r="U16" i="15"/>
  <c r="AN16" i="15" s="1"/>
  <c r="U9" i="15"/>
  <c r="V9" i="15" s="1"/>
  <c r="X13" i="15"/>
  <c r="DL13" i="15" s="1"/>
  <c r="X16" i="15"/>
  <c r="DL16" i="15" s="1"/>
  <c r="X9" i="15"/>
  <c r="DL9" i="15" s="1"/>
  <c r="B16" i="15"/>
  <c r="C16" i="15"/>
  <c r="D16" i="15"/>
  <c r="E16" i="15"/>
  <c r="H16" i="15"/>
  <c r="I16" i="15"/>
  <c r="J16" i="15" s="1"/>
  <c r="K16" i="15"/>
  <c r="L16" i="15"/>
  <c r="M16" i="15"/>
  <c r="O16" i="15"/>
  <c r="P16" i="15"/>
  <c r="AB16" i="15"/>
  <c r="AD16" i="15"/>
  <c r="AG16" i="15"/>
  <c r="AH16" i="15"/>
  <c r="AI16" i="15"/>
  <c r="AJ16" i="15"/>
  <c r="AK16" i="15"/>
  <c r="AL16" i="15"/>
  <c r="AP16" i="15"/>
  <c r="AR16" i="15"/>
  <c r="AS16" i="15"/>
  <c r="AW16" i="15"/>
  <c r="AX16" i="15"/>
  <c r="AY16" i="15"/>
  <c r="BC16" i="15"/>
  <c r="BE16" i="15"/>
  <c r="BG16" i="15"/>
  <c r="BK16" i="15"/>
  <c r="BL16" i="15"/>
  <c r="BM16" i="15"/>
  <c r="BO16" i="15"/>
  <c r="BQ16" i="15"/>
  <c r="BT16" i="15"/>
  <c r="BV16" i="15"/>
  <c r="CI16" i="15"/>
  <c r="CL16" i="15"/>
  <c r="CN16" i="15"/>
  <c r="CT16" i="15"/>
  <c r="CV16" i="15"/>
  <c r="CX16" i="15"/>
  <c r="DA16" i="15"/>
  <c r="DB16" i="15"/>
  <c r="DD16" i="15"/>
  <c r="DG16" i="15"/>
  <c r="DI16" i="15"/>
  <c r="DJ16" i="15"/>
  <c r="DM16" i="15"/>
  <c r="DO16" i="15"/>
  <c r="DP16" i="15"/>
  <c r="DS16" i="15"/>
  <c r="DT16" i="15"/>
  <c r="DV16" i="15" s="1"/>
  <c r="DX16" i="15"/>
  <c r="DY16" i="15"/>
  <c r="EA16" i="15"/>
  <c r="EC16" i="15"/>
  <c r="B9" i="15"/>
  <c r="C9" i="15"/>
  <c r="D9" i="15"/>
  <c r="E9" i="15"/>
  <c r="H9" i="15"/>
  <c r="DE9" i="15" s="1"/>
  <c r="DF9" i="15" s="1"/>
  <c r="I9" i="15"/>
  <c r="J9" i="15" s="1"/>
  <c r="K9" i="15"/>
  <c r="L9" i="15"/>
  <c r="M9" i="15"/>
  <c r="O9" i="15"/>
  <c r="P9" i="15"/>
  <c r="AB9" i="15"/>
  <c r="AD9" i="15"/>
  <c r="AG9" i="15"/>
  <c r="AH9" i="15"/>
  <c r="AI9" i="15"/>
  <c r="AJ9" i="15"/>
  <c r="AK9" i="15"/>
  <c r="AL9" i="15"/>
  <c r="AP9" i="15"/>
  <c r="AR9" i="15"/>
  <c r="AS9" i="15"/>
  <c r="AW9" i="15"/>
  <c r="AX9" i="15"/>
  <c r="AY9" i="15"/>
  <c r="BC9" i="15"/>
  <c r="BE9" i="15"/>
  <c r="BG9" i="15"/>
  <c r="BK9" i="15"/>
  <c r="BL9" i="15"/>
  <c r="BM9" i="15"/>
  <c r="BO9" i="15"/>
  <c r="BQ9" i="15"/>
  <c r="BT9" i="15"/>
  <c r="BV9" i="15"/>
  <c r="CI9" i="15"/>
  <c r="CL9" i="15"/>
  <c r="CN9" i="15"/>
  <c r="CT9" i="15"/>
  <c r="CV9" i="15"/>
  <c r="CX9" i="15"/>
  <c r="DA9" i="15"/>
  <c r="DB9" i="15"/>
  <c r="DD9" i="15"/>
  <c r="DG9" i="15"/>
  <c r="DI9" i="15"/>
  <c r="DJ9" i="15"/>
  <c r="DM9" i="15"/>
  <c r="DO9" i="15"/>
  <c r="DP9" i="15"/>
  <c r="DS9" i="15"/>
  <c r="DT9" i="15"/>
  <c r="DX9" i="15"/>
  <c r="DY9" i="15"/>
  <c r="EA9" i="15"/>
  <c r="EC9" i="15"/>
  <c r="CX13" i="15"/>
  <c r="CV13" i="15"/>
  <c r="CI13" i="15"/>
  <c r="DG13" i="15"/>
  <c r="DD13" i="15"/>
  <c r="DS13" i="15"/>
  <c r="DT13" i="15"/>
  <c r="DV13" i="15" s="1"/>
  <c r="DM13" i="15"/>
  <c r="BA2" i="18"/>
  <c r="BA9" i="18"/>
  <c r="BA11" i="18"/>
  <c r="BA8" i="18"/>
  <c r="BA6" i="18"/>
  <c r="BA10" i="18"/>
  <c r="BA3" i="18"/>
  <c r="BA5" i="18"/>
  <c r="BA7" i="18"/>
  <c r="BA4" i="18"/>
  <c r="BA12" i="18"/>
  <c r="AZ2" i="18"/>
  <c r="AZ9" i="18"/>
  <c r="AZ11" i="18"/>
  <c r="AZ8" i="18"/>
  <c r="AZ6" i="18"/>
  <c r="AZ10" i="18"/>
  <c r="AZ3" i="18"/>
  <c r="AZ5" i="18"/>
  <c r="AZ7" i="18"/>
  <c r="AZ4" i="18"/>
  <c r="AZ12" i="18"/>
  <c r="Y2" i="18"/>
  <c r="Y9" i="18"/>
  <c r="Y11" i="18"/>
  <c r="Y8" i="18"/>
  <c r="Y6" i="18"/>
  <c r="Y10" i="18"/>
  <c r="Y3" i="18"/>
  <c r="Y5" i="18"/>
  <c r="Y7" i="18"/>
  <c r="Y4" i="18"/>
  <c r="Y12" i="18"/>
  <c r="BC2" i="18"/>
  <c r="BC9" i="18"/>
  <c r="BC11" i="18"/>
  <c r="BC8" i="18"/>
  <c r="BC6" i="18"/>
  <c r="BC10" i="18"/>
  <c r="BC3" i="18"/>
  <c r="BC5" i="18"/>
  <c r="BC7" i="18"/>
  <c r="BC4" i="18"/>
  <c r="BC12" i="18"/>
  <c r="AX12" i="18"/>
  <c r="AU2" i="18"/>
  <c r="AU9" i="18"/>
  <c r="AU11" i="18"/>
  <c r="AU8" i="18"/>
  <c r="AU6" i="18"/>
  <c r="AU10" i="18"/>
  <c r="AU3" i="18"/>
  <c r="AU5" i="18"/>
  <c r="AU7" i="18"/>
  <c r="AU4" i="18"/>
  <c r="AU12" i="18"/>
  <c r="AS2" i="18"/>
  <c r="AS9" i="18"/>
  <c r="AS11" i="18"/>
  <c r="AS8" i="18"/>
  <c r="AS6" i="18"/>
  <c r="AS10" i="18"/>
  <c r="AS3" i="18"/>
  <c r="AS5" i="18"/>
  <c r="AS7" i="18"/>
  <c r="AS4" i="18"/>
  <c r="AS12" i="18"/>
  <c r="C2" i="18"/>
  <c r="D2" i="18" s="1"/>
  <c r="AC12" i="18"/>
  <c r="DB4" i="14"/>
  <c r="B9" i="14"/>
  <c r="C9" i="14"/>
  <c r="D9" i="14"/>
  <c r="E9" i="14"/>
  <c r="F9" i="14"/>
  <c r="G9" i="14"/>
  <c r="H9" i="14"/>
  <c r="I9" i="14"/>
  <c r="J9" i="14"/>
  <c r="L9" i="14"/>
  <c r="AQ9" i="14" s="1"/>
  <c r="M9" i="14"/>
  <c r="N9" i="14" s="1"/>
  <c r="O9" i="14"/>
  <c r="P9" i="14"/>
  <c r="Y9" i="14" s="1"/>
  <c r="Q9" i="14"/>
  <c r="AA9" i="14" s="1"/>
  <c r="T9" i="14"/>
  <c r="U9" i="14"/>
  <c r="W9" i="14"/>
  <c r="AD9" i="14"/>
  <c r="AE9" i="14"/>
  <c r="AI9" i="14"/>
  <c r="AM9" i="14"/>
  <c r="AN9" i="14" s="1"/>
  <c r="AP9" i="14"/>
  <c r="AR9" i="14"/>
  <c r="AT9" i="14"/>
  <c r="AY9" i="14"/>
  <c r="BC9" i="14"/>
  <c r="BE9" i="14"/>
  <c r="BH9" i="14"/>
  <c r="BI9" i="14"/>
  <c r="BJ9" i="14"/>
  <c r="BO9" i="14"/>
  <c r="BQ9" i="14"/>
  <c r="BR9" i="14"/>
  <c r="BT9" i="14"/>
  <c r="BU9" i="14"/>
  <c r="BY9" i="14"/>
  <c r="CA9" i="14"/>
  <c r="CB9" i="14"/>
  <c r="CC9" i="14"/>
  <c r="CL9" i="14"/>
  <c r="CN9" i="14"/>
  <c r="CO9" i="14"/>
  <c r="CR9" i="14"/>
  <c r="CT9" i="14"/>
  <c r="CV9" i="14"/>
  <c r="CX9" i="14"/>
  <c r="CZ9" i="14"/>
  <c r="DB9" i="14"/>
  <c r="DC9" i="14"/>
  <c r="B11" i="14"/>
  <c r="C11" i="14"/>
  <c r="D11" i="14"/>
  <c r="E11" i="14"/>
  <c r="F11" i="14"/>
  <c r="G11" i="14"/>
  <c r="H11" i="14"/>
  <c r="I11" i="14"/>
  <c r="J11" i="14"/>
  <c r="L11" i="14"/>
  <c r="M11" i="14"/>
  <c r="N11" i="14" s="1"/>
  <c r="O11" i="14"/>
  <c r="P11" i="14"/>
  <c r="Y11" i="14" s="1"/>
  <c r="Q11" i="14"/>
  <c r="T11" i="14"/>
  <c r="U11" i="14"/>
  <c r="W11" i="14"/>
  <c r="AD11" i="14"/>
  <c r="AE11" i="14"/>
  <c r="AI11" i="14"/>
  <c r="AM11" i="14"/>
  <c r="AN11" i="14" s="1"/>
  <c r="AP11" i="14"/>
  <c r="AR11" i="14"/>
  <c r="AT11" i="14"/>
  <c r="AY11" i="14"/>
  <c r="BC11" i="14"/>
  <c r="BE11" i="14"/>
  <c r="BH11" i="14"/>
  <c r="BI11" i="14"/>
  <c r="BJ11" i="14"/>
  <c r="BO11" i="14"/>
  <c r="BQ11" i="14"/>
  <c r="BR11" i="14"/>
  <c r="BT11" i="14"/>
  <c r="BU11" i="14"/>
  <c r="BY11" i="14"/>
  <c r="CA11" i="14"/>
  <c r="CB11" i="14"/>
  <c r="CC11" i="14"/>
  <c r="CL11" i="14"/>
  <c r="CN11" i="14"/>
  <c r="CO11" i="14"/>
  <c r="CR11" i="14"/>
  <c r="CT11" i="14"/>
  <c r="CV11" i="14"/>
  <c r="CX11" i="14"/>
  <c r="CZ11" i="14"/>
  <c r="DB11" i="14"/>
  <c r="DC11" i="14"/>
  <c r="B2" i="14"/>
  <c r="C2" i="14"/>
  <c r="D2" i="14"/>
  <c r="E2" i="14"/>
  <c r="F2" i="14"/>
  <c r="G2" i="14"/>
  <c r="H2" i="14"/>
  <c r="I2" i="14"/>
  <c r="J2" i="14"/>
  <c r="L2" i="14"/>
  <c r="M2" i="14"/>
  <c r="N2" i="14" s="1"/>
  <c r="O2" i="14"/>
  <c r="P2" i="14"/>
  <c r="Q2" i="14"/>
  <c r="T2" i="14"/>
  <c r="U2" i="14"/>
  <c r="W2" i="14"/>
  <c r="AD2" i="14"/>
  <c r="AE2" i="14"/>
  <c r="AI2" i="14"/>
  <c r="CP2" i="14" s="1"/>
  <c r="AM2" i="14"/>
  <c r="AN2" i="14" s="1"/>
  <c r="AP2" i="14"/>
  <c r="AR2" i="14"/>
  <c r="AT2" i="14"/>
  <c r="AY2" i="14"/>
  <c r="BK2" i="14" s="1"/>
  <c r="BL2" i="14" s="1"/>
  <c r="BM2" i="14" s="1"/>
  <c r="BC2" i="14"/>
  <c r="BE2" i="14"/>
  <c r="BH2" i="14"/>
  <c r="BI2" i="14"/>
  <c r="BJ2" i="14"/>
  <c r="BO2" i="14"/>
  <c r="BQ2" i="14"/>
  <c r="BR2" i="14"/>
  <c r="BT2" i="14"/>
  <c r="BU2" i="14"/>
  <c r="BY2" i="14"/>
  <c r="CA2" i="14"/>
  <c r="CB2" i="14"/>
  <c r="CC2" i="14"/>
  <c r="CL2" i="14"/>
  <c r="CN2" i="14"/>
  <c r="CO2" i="14"/>
  <c r="CR2" i="14"/>
  <c r="CT2" i="14"/>
  <c r="CV2" i="14"/>
  <c r="CX2" i="14"/>
  <c r="CZ2" i="14"/>
  <c r="DB2" i="14"/>
  <c r="DC2" i="14"/>
  <c r="AD5" i="14"/>
  <c r="AD3" i="14"/>
  <c r="AD4" i="14"/>
  <c r="AD10" i="14"/>
  <c r="AD8" i="14"/>
  <c r="AD6" i="14"/>
  <c r="AD7" i="14"/>
  <c r="BR8" i="14"/>
  <c r="BR3" i="14"/>
  <c r="BR10" i="14"/>
  <c r="BR5" i="14"/>
  <c r="BR7" i="14"/>
  <c r="BR6" i="14"/>
  <c r="BR4" i="14"/>
  <c r="BQ8" i="14"/>
  <c r="BQ3" i="14"/>
  <c r="BQ10" i="14"/>
  <c r="BQ5" i="14"/>
  <c r="BQ7" i="14"/>
  <c r="BQ6" i="14"/>
  <c r="BQ4" i="14"/>
  <c r="AI4" i="14"/>
  <c r="CQ4" i="14" s="1"/>
  <c r="AI7" i="14"/>
  <c r="CP7" i="14" s="1"/>
  <c r="AI6" i="14"/>
  <c r="CQ6" i="14" s="1"/>
  <c r="AI8" i="14"/>
  <c r="CP8" i="14" s="1"/>
  <c r="AI5" i="14"/>
  <c r="CP5" i="14" s="1"/>
  <c r="AI3" i="14"/>
  <c r="CP3" i="14" s="1"/>
  <c r="AI10" i="14"/>
  <c r="CP10" i="14" s="1"/>
  <c r="AE4" i="14"/>
  <c r="AG4" i="14" s="1"/>
  <c r="AE7" i="14"/>
  <c r="AG7" i="14" s="1"/>
  <c r="AE6" i="14"/>
  <c r="AG6" i="14" s="1"/>
  <c r="AE8" i="14"/>
  <c r="AG8" i="14" s="1"/>
  <c r="AE5" i="14"/>
  <c r="AG5" i="14" s="1"/>
  <c r="AE3" i="14"/>
  <c r="AG3" i="14" s="1"/>
  <c r="AE10" i="14"/>
  <c r="AG10" i="14" s="1"/>
  <c r="A10" i="14"/>
  <c r="A11" i="14"/>
  <c r="B7" i="14"/>
  <c r="C7" i="14"/>
  <c r="D7" i="14"/>
  <c r="E7" i="14"/>
  <c r="F7" i="14"/>
  <c r="G7" i="14"/>
  <c r="H7" i="14"/>
  <c r="I7" i="14"/>
  <c r="J7" i="14"/>
  <c r="L7" i="14"/>
  <c r="AQ7" i="14" s="1"/>
  <c r="M7" i="14"/>
  <c r="N7" i="14" s="1"/>
  <c r="O7" i="14"/>
  <c r="P7" i="14"/>
  <c r="Q7" i="14"/>
  <c r="AA7" i="14" s="1"/>
  <c r="T7" i="14"/>
  <c r="U7" i="14"/>
  <c r="W7" i="14"/>
  <c r="AM7" i="14"/>
  <c r="AN7" i="14" s="1"/>
  <c r="AP7" i="14"/>
  <c r="AR7" i="14"/>
  <c r="AT7" i="14"/>
  <c r="AY7" i="14"/>
  <c r="BK7" i="14" s="1"/>
  <c r="BL7" i="14" s="1"/>
  <c r="BM7" i="14" s="1"/>
  <c r="BC7" i="14"/>
  <c r="BE7" i="14"/>
  <c r="BH7" i="14"/>
  <c r="BI7" i="14"/>
  <c r="BJ7" i="14"/>
  <c r="BO7" i="14"/>
  <c r="BT7" i="14"/>
  <c r="BU7" i="14"/>
  <c r="BY7" i="14"/>
  <c r="CA7" i="14"/>
  <c r="CB7" i="14"/>
  <c r="CC7" i="14"/>
  <c r="CL7" i="14"/>
  <c r="CN7" i="14"/>
  <c r="CO7" i="14"/>
  <c r="CR7" i="14"/>
  <c r="CT7" i="14"/>
  <c r="CV7" i="14"/>
  <c r="CX7" i="14"/>
  <c r="CZ7" i="14"/>
  <c r="DB7" i="14"/>
  <c r="DC7" i="14"/>
  <c r="B6" i="14"/>
  <c r="C6" i="14"/>
  <c r="D6" i="14"/>
  <c r="E6" i="14"/>
  <c r="F6" i="14"/>
  <c r="G6" i="14"/>
  <c r="H6" i="14"/>
  <c r="I6" i="14"/>
  <c r="J6" i="14"/>
  <c r="L6" i="14"/>
  <c r="CD6" i="14" s="1"/>
  <c r="M6" i="14"/>
  <c r="N6" i="14" s="1"/>
  <c r="O6" i="14"/>
  <c r="P6" i="14"/>
  <c r="Q6" i="14"/>
  <c r="AA6" i="14" s="1"/>
  <c r="T6" i="14"/>
  <c r="U6" i="14"/>
  <c r="W6" i="14"/>
  <c r="AM6" i="14"/>
  <c r="AN6" i="14" s="1"/>
  <c r="AP6" i="14"/>
  <c r="AR6" i="14"/>
  <c r="AT6" i="14"/>
  <c r="AY6" i="14"/>
  <c r="BK6" i="14" s="1"/>
  <c r="BL6" i="14" s="1"/>
  <c r="BM6" i="14" s="1"/>
  <c r="BC6" i="14"/>
  <c r="BE6" i="14"/>
  <c r="BH6" i="14"/>
  <c r="BI6" i="14"/>
  <c r="BJ6" i="14"/>
  <c r="BO6" i="14"/>
  <c r="BT6" i="14"/>
  <c r="BU6" i="14"/>
  <c r="BY6" i="14"/>
  <c r="CA6" i="14"/>
  <c r="CB6" i="14"/>
  <c r="CC6" i="14"/>
  <c r="CL6" i="14"/>
  <c r="CN6" i="14"/>
  <c r="CO6" i="14"/>
  <c r="CR6" i="14"/>
  <c r="CT6" i="14"/>
  <c r="CV6" i="14"/>
  <c r="CX6" i="14"/>
  <c r="CZ6" i="14"/>
  <c r="DB6" i="14"/>
  <c r="DC6" i="14"/>
  <c r="B8" i="14"/>
  <c r="C8" i="14"/>
  <c r="D8" i="14"/>
  <c r="E8" i="14"/>
  <c r="F8" i="14"/>
  <c r="G8" i="14"/>
  <c r="H8" i="14"/>
  <c r="I8" i="14"/>
  <c r="J8" i="14"/>
  <c r="L8" i="14"/>
  <c r="CD8" i="14" s="1"/>
  <c r="M8" i="14"/>
  <c r="N8" i="14" s="1"/>
  <c r="O8" i="14"/>
  <c r="P8" i="14"/>
  <c r="Q8" i="14"/>
  <c r="AA8" i="14" s="1"/>
  <c r="T8" i="14"/>
  <c r="U8" i="14"/>
  <c r="W8" i="14"/>
  <c r="AM8" i="14"/>
  <c r="AN8" i="14" s="1"/>
  <c r="AP8" i="14"/>
  <c r="AR8" i="14"/>
  <c r="AT8" i="14"/>
  <c r="AY8" i="14"/>
  <c r="BC8" i="14"/>
  <c r="BE8" i="14"/>
  <c r="BH8" i="14"/>
  <c r="BI8" i="14"/>
  <c r="BJ8" i="14"/>
  <c r="BO8" i="14"/>
  <c r="BT8" i="14"/>
  <c r="BU8" i="14"/>
  <c r="BY8" i="14"/>
  <c r="CA8" i="14"/>
  <c r="CB8" i="14"/>
  <c r="CC8" i="14"/>
  <c r="CL8" i="14"/>
  <c r="CN8" i="14"/>
  <c r="CO8" i="14"/>
  <c r="CR8" i="14"/>
  <c r="CT8" i="14"/>
  <c r="CV8" i="14"/>
  <c r="CX8" i="14"/>
  <c r="CZ8" i="14"/>
  <c r="DB8" i="14"/>
  <c r="DC8" i="14"/>
  <c r="B5" i="14"/>
  <c r="C5" i="14"/>
  <c r="D5" i="14"/>
  <c r="E5" i="14"/>
  <c r="F5" i="14"/>
  <c r="G5" i="14"/>
  <c r="H5" i="14"/>
  <c r="I5" i="14"/>
  <c r="J5" i="14"/>
  <c r="L5" i="14"/>
  <c r="AQ5" i="14" s="1"/>
  <c r="M5" i="14"/>
  <c r="N5" i="14" s="1"/>
  <c r="O5" i="14"/>
  <c r="P5" i="14"/>
  <c r="Q5" i="14"/>
  <c r="AA5" i="14" s="1"/>
  <c r="T5" i="14"/>
  <c r="U5" i="14"/>
  <c r="W5" i="14"/>
  <c r="AM5" i="14"/>
  <c r="AN5" i="14" s="1"/>
  <c r="AP5" i="14"/>
  <c r="AR5" i="14"/>
  <c r="AT5" i="14"/>
  <c r="AY5" i="14"/>
  <c r="BK5" i="14" s="1"/>
  <c r="BL5" i="14" s="1"/>
  <c r="BC5" i="14"/>
  <c r="BE5" i="14"/>
  <c r="BH5" i="14"/>
  <c r="BI5" i="14"/>
  <c r="BJ5" i="14"/>
  <c r="BO5" i="14"/>
  <c r="BT5" i="14"/>
  <c r="BU5" i="14"/>
  <c r="BY5" i="14"/>
  <c r="CA5" i="14"/>
  <c r="CB5" i="14"/>
  <c r="CC5" i="14"/>
  <c r="CL5" i="14"/>
  <c r="CN5" i="14"/>
  <c r="CO5" i="14"/>
  <c r="CR5" i="14"/>
  <c r="CT5" i="14"/>
  <c r="CV5" i="14"/>
  <c r="CX5" i="14"/>
  <c r="CZ5" i="14"/>
  <c r="DB5" i="14"/>
  <c r="DC5" i="14"/>
  <c r="B3" i="14"/>
  <c r="C3" i="14"/>
  <c r="D3" i="14"/>
  <c r="E3" i="14"/>
  <c r="F3" i="14"/>
  <c r="G3" i="14"/>
  <c r="H3" i="14"/>
  <c r="I3" i="14"/>
  <c r="J3" i="14"/>
  <c r="L3" i="14"/>
  <c r="M3" i="14"/>
  <c r="N3" i="14" s="1"/>
  <c r="O3" i="14"/>
  <c r="P3" i="14"/>
  <c r="Q3" i="14"/>
  <c r="AA3" i="14" s="1"/>
  <c r="T3" i="14"/>
  <c r="U3" i="14"/>
  <c r="W3" i="14"/>
  <c r="AM3" i="14"/>
  <c r="AN3" i="14" s="1"/>
  <c r="AP3" i="14"/>
  <c r="AR3" i="14"/>
  <c r="AT3" i="14"/>
  <c r="AY3" i="14"/>
  <c r="BK3" i="14" s="1"/>
  <c r="BL3" i="14" s="1"/>
  <c r="BM3" i="14" s="1"/>
  <c r="BC3" i="14"/>
  <c r="BE3" i="14"/>
  <c r="BH3" i="14"/>
  <c r="BI3" i="14"/>
  <c r="BJ3" i="14"/>
  <c r="BO3" i="14"/>
  <c r="BT3" i="14"/>
  <c r="BU3" i="14"/>
  <c r="BY3" i="14"/>
  <c r="CA3" i="14"/>
  <c r="CB3" i="14"/>
  <c r="CC3" i="14"/>
  <c r="CL3" i="14"/>
  <c r="CN3" i="14"/>
  <c r="CO3" i="14"/>
  <c r="CR3" i="14"/>
  <c r="CT3" i="14"/>
  <c r="CV3" i="14"/>
  <c r="CX3" i="14"/>
  <c r="CZ3" i="14"/>
  <c r="DB3" i="14"/>
  <c r="DC3" i="14"/>
  <c r="B10" i="14"/>
  <c r="C10" i="14"/>
  <c r="D10" i="14"/>
  <c r="E10" i="14"/>
  <c r="F10" i="14"/>
  <c r="G10" i="14"/>
  <c r="H10" i="14"/>
  <c r="I10" i="14"/>
  <c r="J10" i="14"/>
  <c r="L10" i="14"/>
  <c r="M10" i="14"/>
  <c r="N10" i="14" s="1"/>
  <c r="O10" i="14"/>
  <c r="P10" i="14"/>
  <c r="Y10" i="14" s="1"/>
  <c r="Q10" i="14"/>
  <c r="AA10" i="14" s="1"/>
  <c r="T10" i="14"/>
  <c r="U10" i="14"/>
  <c r="W10" i="14"/>
  <c r="AM10" i="14"/>
  <c r="AN10" i="14" s="1"/>
  <c r="AP10" i="14"/>
  <c r="AR10" i="14"/>
  <c r="AT10" i="14"/>
  <c r="AY10" i="14"/>
  <c r="BK10" i="14" s="1"/>
  <c r="BL10" i="14" s="1"/>
  <c r="BM10" i="14" s="1"/>
  <c r="BC10" i="14"/>
  <c r="BE10" i="14"/>
  <c r="BH10" i="14"/>
  <c r="BI10" i="14"/>
  <c r="BJ10" i="14"/>
  <c r="BO10" i="14"/>
  <c r="BT10" i="14"/>
  <c r="BU10" i="14"/>
  <c r="BY10" i="14"/>
  <c r="CA10" i="14"/>
  <c r="CB10" i="14"/>
  <c r="CC10" i="14"/>
  <c r="CL10" i="14"/>
  <c r="CN10" i="14"/>
  <c r="CO10" i="14"/>
  <c r="CR10" i="14"/>
  <c r="CT10" i="14"/>
  <c r="CV10" i="14"/>
  <c r="CX10" i="14"/>
  <c r="CZ10" i="14"/>
  <c r="DB10" i="14"/>
  <c r="DC10" i="14"/>
  <c r="M3" i="11"/>
  <c r="N3" i="11" s="1"/>
  <c r="M10" i="11"/>
  <c r="N10" i="11" s="1"/>
  <c r="M4" i="14"/>
  <c r="N4" i="14" s="1"/>
  <c r="O4" i="14"/>
  <c r="H4" i="14"/>
  <c r="F4" i="14"/>
  <c r="D3" i="11"/>
  <c r="D10" i="11"/>
  <c r="B3" i="11"/>
  <c r="C3" i="11"/>
  <c r="E3" i="11"/>
  <c r="F3" i="11"/>
  <c r="G3" i="11"/>
  <c r="H3" i="11"/>
  <c r="I3" i="11"/>
  <c r="J3" i="11"/>
  <c r="L3" i="11"/>
  <c r="AC3" i="11" s="1"/>
  <c r="O3" i="11"/>
  <c r="P3" i="11"/>
  <c r="Q3" i="11"/>
  <c r="S3" i="11"/>
  <c r="U3" i="11"/>
  <c r="V3" i="11"/>
  <c r="Y3" i="11"/>
  <c r="Z3" i="11"/>
  <c r="AA3" i="11"/>
  <c r="AF3" i="11"/>
  <c r="AH3" i="11"/>
  <c r="AK3" i="11"/>
  <c r="AM3" i="11"/>
  <c r="AP3" i="11"/>
  <c r="AQ3" i="11" s="1"/>
  <c r="AR3" i="11"/>
  <c r="AS3" i="11"/>
  <c r="AX3" i="11"/>
  <c r="AY3" i="11"/>
  <c r="BA3" i="11"/>
  <c r="BD3" i="11"/>
  <c r="BF3" i="11"/>
  <c r="BH3" i="11"/>
  <c r="BK3" i="11"/>
  <c r="BM3" i="11"/>
  <c r="BO3" i="11"/>
  <c r="BQ3" i="11"/>
  <c r="BR3" i="11"/>
  <c r="BU3" i="11"/>
  <c r="BW3" i="11"/>
  <c r="BY3" i="11"/>
  <c r="CB3" i="11"/>
  <c r="CC3" i="11" s="1"/>
  <c r="CD3" i="11"/>
  <c r="CF3" i="11"/>
  <c r="CH3" i="11"/>
  <c r="CI3" i="11"/>
  <c r="CM3" i="11"/>
  <c r="CP3" i="11"/>
  <c r="CQ3" i="11" s="1"/>
  <c r="CR3" i="11"/>
  <c r="CT3" i="11"/>
  <c r="CW3" i="11"/>
  <c r="CY3" i="11"/>
  <c r="CZ3" i="11"/>
  <c r="BO10" i="11"/>
  <c r="BQ10" i="11"/>
  <c r="BR10" i="11"/>
  <c r="B10" i="11"/>
  <c r="C10" i="11"/>
  <c r="E10" i="11"/>
  <c r="F10" i="11"/>
  <c r="G10" i="11"/>
  <c r="H10" i="11"/>
  <c r="I10" i="11"/>
  <c r="J10" i="11"/>
  <c r="L10" i="11"/>
  <c r="O10" i="11"/>
  <c r="P10" i="11"/>
  <c r="Q10" i="11"/>
  <c r="S10" i="11"/>
  <c r="U10" i="11"/>
  <c r="V10" i="11"/>
  <c r="Y10" i="11"/>
  <c r="Z10" i="11"/>
  <c r="AA10" i="11"/>
  <c r="AF10" i="11"/>
  <c r="AH10" i="11"/>
  <c r="AK10" i="11"/>
  <c r="AM10" i="11"/>
  <c r="AP10" i="11"/>
  <c r="AQ10" i="11" s="1"/>
  <c r="AR10" i="11"/>
  <c r="AS10" i="11"/>
  <c r="AX10" i="11"/>
  <c r="AY10" i="11"/>
  <c r="BA10" i="11"/>
  <c r="BD10" i="11"/>
  <c r="BF10" i="11"/>
  <c r="BH10" i="11"/>
  <c r="BK10" i="11"/>
  <c r="BM10" i="11"/>
  <c r="BU10" i="11"/>
  <c r="BW10" i="11"/>
  <c r="BY10" i="11"/>
  <c r="CB10" i="11"/>
  <c r="CC10" i="11" s="1"/>
  <c r="CD10" i="11"/>
  <c r="CF10" i="11"/>
  <c r="CH10" i="11"/>
  <c r="CI10" i="11"/>
  <c r="CM10" i="11"/>
  <c r="CP10" i="11"/>
  <c r="CQ10" i="11" s="1"/>
  <c r="CR10" i="11"/>
  <c r="CT10" i="11"/>
  <c r="CV10" i="11" s="1"/>
  <c r="CW10" i="11"/>
  <c r="CY10" i="11"/>
  <c r="CZ10" i="11"/>
  <c r="A2" i="11"/>
  <c r="A3" i="11"/>
  <c r="B11" i="17"/>
  <c r="C11" i="17"/>
  <c r="D11" i="17"/>
  <c r="E11" i="17"/>
  <c r="F11" i="17"/>
  <c r="G11" i="17"/>
  <c r="H11" i="17"/>
  <c r="I11" i="17"/>
  <c r="J11" i="17"/>
  <c r="L11" i="17"/>
  <c r="M11" i="17"/>
  <c r="N11" i="17" s="1"/>
  <c r="P11" i="17"/>
  <c r="Q11" i="17"/>
  <c r="W11" i="17"/>
  <c r="Y11" i="17"/>
  <c r="AB11" i="17"/>
  <c r="AD11" i="17"/>
  <c r="AG11" i="17"/>
  <c r="AJ11" i="17"/>
  <c r="AN11" i="17"/>
  <c r="AP11" i="17"/>
  <c r="AR11" i="17"/>
  <c r="AX11" i="17"/>
  <c r="AY11" i="17"/>
  <c r="AZ11" i="17"/>
  <c r="BA11" i="17"/>
  <c r="BG11" i="17"/>
  <c r="BI11" i="17"/>
  <c r="BK11" i="17"/>
  <c r="BL11" i="17"/>
  <c r="BM11" i="17"/>
  <c r="BO11" i="17"/>
  <c r="BR11" i="17"/>
  <c r="BT11" i="17"/>
  <c r="BU11" i="17"/>
  <c r="BW11" i="17"/>
  <c r="BY11" i="17"/>
  <c r="CB11" i="17"/>
  <c r="CC11" i="17"/>
  <c r="CE11" i="17"/>
  <c r="CF11" i="17"/>
  <c r="CG11" i="17"/>
  <c r="CH11" i="17"/>
  <c r="CK11" i="17"/>
  <c r="B5" i="17"/>
  <c r="C5" i="17"/>
  <c r="D5" i="17"/>
  <c r="E5" i="17"/>
  <c r="F5" i="17"/>
  <c r="G5" i="17"/>
  <c r="H5" i="17"/>
  <c r="I5" i="17"/>
  <c r="J5" i="17"/>
  <c r="L5" i="17"/>
  <c r="M5" i="17"/>
  <c r="N5" i="17" s="1"/>
  <c r="P5" i="17"/>
  <c r="Q5" i="17"/>
  <c r="W5" i="17"/>
  <c r="Y5" i="17"/>
  <c r="AB5" i="17"/>
  <c r="AD5" i="17"/>
  <c r="AG5" i="17"/>
  <c r="AJ5" i="17"/>
  <c r="AN5" i="17"/>
  <c r="AP5" i="17"/>
  <c r="AR5" i="17"/>
  <c r="AX5" i="17"/>
  <c r="AY5" i="17"/>
  <c r="AZ5" i="17"/>
  <c r="BA5" i="17"/>
  <c r="BG5" i="17"/>
  <c r="BI5" i="17"/>
  <c r="BK5" i="17"/>
  <c r="BL5" i="17"/>
  <c r="BM5" i="17"/>
  <c r="BO5" i="17"/>
  <c r="BR5" i="17"/>
  <c r="BT5" i="17"/>
  <c r="BU5" i="17"/>
  <c r="BW5" i="17"/>
  <c r="BY5" i="17"/>
  <c r="CB5" i="17"/>
  <c r="CC5" i="17"/>
  <c r="CE5" i="17"/>
  <c r="CF5" i="17"/>
  <c r="CG5" i="17"/>
  <c r="CH5" i="17"/>
  <c r="CK5" i="17"/>
  <c r="B6" i="17"/>
  <c r="C6" i="17"/>
  <c r="D6" i="17"/>
  <c r="E6" i="17"/>
  <c r="F6" i="17"/>
  <c r="G6" i="17"/>
  <c r="H6" i="17"/>
  <c r="I6" i="17"/>
  <c r="J6" i="17"/>
  <c r="L6" i="17"/>
  <c r="M6" i="17"/>
  <c r="N6" i="17" s="1"/>
  <c r="P6" i="17"/>
  <c r="Q6" i="17"/>
  <c r="W6" i="17"/>
  <c r="Y6" i="17"/>
  <c r="AB6" i="17"/>
  <c r="AD6" i="17"/>
  <c r="AG6" i="17"/>
  <c r="AJ6" i="17"/>
  <c r="AN6" i="17"/>
  <c r="AP6" i="17"/>
  <c r="AR6" i="17"/>
  <c r="AX6" i="17"/>
  <c r="AY6" i="17"/>
  <c r="AZ6" i="17"/>
  <c r="BA6" i="17"/>
  <c r="BF6" i="17" s="1"/>
  <c r="BG6" i="17"/>
  <c r="BI6" i="17"/>
  <c r="BK6" i="17"/>
  <c r="BL6" i="17"/>
  <c r="BM6" i="17"/>
  <c r="BO6" i="17"/>
  <c r="BR6" i="17"/>
  <c r="BT6" i="17"/>
  <c r="BU6" i="17"/>
  <c r="BW6" i="17"/>
  <c r="BY6" i="17"/>
  <c r="CB6" i="17"/>
  <c r="CC6" i="17"/>
  <c r="CE6" i="17"/>
  <c r="CF6" i="17"/>
  <c r="CG6" i="17"/>
  <c r="CH6" i="17"/>
  <c r="CK6" i="17"/>
  <c r="B2" i="17"/>
  <c r="C2" i="17"/>
  <c r="D2" i="17"/>
  <c r="E2" i="17"/>
  <c r="F2" i="17"/>
  <c r="G2" i="17"/>
  <c r="H2" i="17"/>
  <c r="I2" i="17"/>
  <c r="J2" i="17"/>
  <c r="L2" i="17"/>
  <c r="M2" i="17"/>
  <c r="N2" i="17" s="1"/>
  <c r="P2" i="17"/>
  <c r="Q2" i="17"/>
  <c r="W2" i="17"/>
  <c r="Y2" i="17"/>
  <c r="AB2" i="17"/>
  <c r="AD2" i="17"/>
  <c r="AG2" i="17"/>
  <c r="AJ2" i="17"/>
  <c r="AN2" i="17"/>
  <c r="AP2" i="17"/>
  <c r="AR2" i="17"/>
  <c r="AX2" i="17"/>
  <c r="AY2" i="17"/>
  <c r="AZ2" i="17"/>
  <c r="BA2" i="17"/>
  <c r="BG2" i="17"/>
  <c r="BI2" i="17"/>
  <c r="BK2" i="17"/>
  <c r="BL2" i="17"/>
  <c r="BM2" i="17"/>
  <c r="BO2" i="17"/>
  <c r="BR2" i="17"/>
  <c r="BT2" i="17"/>
  <c r="BU2" i="17"/>
  <c r="BW2" i="17"/>
  <c r="BY2" i="17"/>
  <c r="CB2" i="17"/>
  <c r="CC2" i="17"/>
  <c r="CE2" i="17"/>
  <c r="CF2" i="17"/>
  <c r="CG2" i="17"/>
  <c r="CH2" i="17"/>
  <c r="CK2" i="17"/>
  <c r="A2" i="17"/>
  <c r="A3" i="17"/>
  <c r="A4" i="17"/>
  <c r="A5" i="17"/>
  <c r="A6" i="17"/>
  <c r="A7" i="17"/>
  <c r="A8" i="17"/>
  <c r="A9" i="17"/>
  <c r="A10" i="17"/>
  <c r="A11" i="17"/>
  <c r="B10" i="17"/>
  <c r="C10" i="17"/>
  <c r="D10" i="17"/>
  <c r="E10" i="17"/>
  <c r="F10" i="17"/>
  <c r="G10" i="17"/>
  <c r="H10" i="17"/>
  <c r="I10" i="17"/>
  <c r="J10" i="17"/>
  <c r="L10" i="17"/>
  <c r="M10" i="17"/>
  <c r="P10" i="17"/>
  <c r="Q10" i="17"/>
  <c r="W10" i="17"/>
  <c r="Y10" i="17"/>
  <c r="AB10" i="17"/>
  <c r="AD10" i="17"/>
  <c r="AG10" i="17"/>
  <c r="AJ10" i="17"/>
  <c r="AN10" i="17"/>
  <c r="AP10" i="17"/>
  <c r="AR10" i="17"/>
  <c r="AX10" i="17"/>
  <c r="AY10" i="17"/>
  <c r="AZ10" i="17"/>
  <c r="BA10" i="17"/>
  <c r="BF10" i="17" s="1"/>
  <c r="BG10" i="17"/>
  <c r="BI10" i="17"/>
  <c r="BK10" i="17"/>
  <c r="BL10" i="17"/>
  <c r="BM10" i="17"/>
  <c r="BO10" i="17"/>
  <c r="BR10" i="17"/>
  <c r="BT10" i="17"/>
  <c r="BU10" i="17"/>
  <c r="BW10" i="17"/>
  <c r="BY10" i="17"/>
  <c r="CB10" i="17"/>
  <c r="CC10" i="17"/>
  <c r="CE10" i="17"/>
  <c r="CF10" i="17"/>
  <c r="CG10" i="17"/>
  <c r="CH10" i="17"/>
  <c r="CK10" i="17"/>
  <c r="B5" i="6"/>
  <c r="C5" i="6"/>
  <c r="D5" i="6"/>
  <c r="E5" i="6"/>
  <c r="F5" i="6"/>
  <c r="G5" i="6"/>
  <c r="H5" i="6"/>
  <c r="I5" i="6"/>
  <c r="K5" i="6"/>
  <c r="L5" i="6"/>
  <c r="M5" i="6" s="1"/>
  <c r="N5" i="6"/>
  <c r="O5" i="6"/>
  <c r="P5" i="6"/>
  <c r="S5" i="6"/>
  <c r="U5" i="6"/>
  <c r="W5" i="6"/>
  <c r="Y5" i="6"/>
  <c r="AC5" i="6"/>
  <c r="AD5" i="6"/>
  <c r="AG5" i="6"/>
  <c r="AI5" i="6"/>
  <c r="AM5" i="6" s="1"/>
  <c r="AK5" i="6"/>
  <c r="AN5" i="6"/>
  <c r="AP5" i="6"/>
  <c r="AR5" i="6"/>
  <c r="AU5" i="6"/>
  <c r="AW5" i="6"/>
  <c r="AZ5" i="6"/>
  <c r="BB5" i="6"/>
  <c r="BC5" i="6"/>
  <c r="BG5" i="6" s="1"/>
  <c r="BE5" i="6"/>
  <c r="BH5" i="6"/>
  <c r="BJ5" i="6"/>
  <c r="BM5" i="6"/>
  <c r="BO5" i="6"/>
  <c r="BP5" i="6"/>
  <c r="BQ5" i="6"/>
  <c r="BS5" i="6" s="1"/>
  <c r="BU5" i="6"/>
  <c r="BW5" i="6"/>
  <c r="BY5" i="6"/>
  <c r="CC5" i="6"/>
  <c r="CE5" i="6"/>
  <c r="CG5" i="6"/>
  <c r="CI5" i="6"/>
  <c r="CL5" i="6"/>
  <c r="CM5" i="6"/>
  <c r="CO5" i="6" s="1"/>
  <c r="CP5" i="6"/>
  <c r="CT5" i="6"/>
  <c r="CX5" i="6"/>
  <c r="DA5" i="6"/>
  <c r="DB5" i="6"/>
  <c r="DD5" i="6"/>
  <c r="DE5" i="6"/>
  <c r="B2" i="6"/>
  <c r="C2" i="6"/>
  <c r="D2" i="6"/>
  <c r="E2" i="6"/>
  <c r="F2" i="6"/>
  <c r="G2" i="6"/>
  <c r="H2" i="6"/>
  <c r="I2" i="6"/>
  <c r="K2" i="6"/>
  <c r="L2" i="6"/>
  <c r="M2" i="6" s="1"/>
  <c r="N2" i="6"/>
  <c r="O2" i="6"/>
  <c r="P2" i="6"/>
  <c r="S2" i="6"/>
  <c r="U2" i="6"/>
  <c r="W2" i="6"/>
  <c r="Y2" i="6"/>
  <c r="AC2" i="6"/>
  <c r="AD2" i="6"/>
  <c r="AG2" i="6"/>
  <c r="CA2" i="6" s="1"/>
  <c r="AI2" i="6"/>
  <c r="AK2" i="6"/>
  <c r="AN2" i="6"/>
  <c r="AP2" i="6"/>
  <c r="AR2" i="6"/>
  <c r="AU2" i="6"/>
  <c r="AW2" i="6"/>
  <c r="AZ2" i="6"/>
  <c r="BB2" i="6"/>
  <c r="BC2" i="6"/>
  <c r="BG2" i="6" s="1"/>
  <c r="BE2" i="6"/>
  <c r="BH2" i="6"/>
  <c r="BJ2" i="6"/>
  <c r="BM2" i="6"/>
  <c r="BO2" i="6"/>
  <c r="BP2" i="6"/>
  <c r="BQ2" i="6"/>
  <c r="BR2" i="6" s="1"/>
  <c r="BU2" i="6"/>
  <c r="BW2" i="6"/>
  <c r="BY2" i="6"/>
  <c r="CC2" i="6"/>
  <c r="CE2" i="6"/>
  <c r="CG2" i="6"/>
  <c r="CI2" i="6"/>
  <c r="CL2" i="6"/>
  <c r="CM2" i="6"/>
  <c r="CP2" i="6"/>
  <c r="CT2" i="6"/>
  <c r="CX2" i="6"/>
  <c r="DA2" i="6"/>
  <c r="DB2" i="6"/>
  <c r="DD2" i="6"/>
  <c r="DE2" i="6"/>
  <c r="B4" i="6"/>
  <c r="C4" i="6"/>
  <c r="D4" i="6"/>
  <c r="E4" i="6"/>
  <c r="F4" i="6"/>
  <c r="G4" i="6"/>
  <c r="H4" i="6"/>
  <c r="I4" i="6"/>
  <c r="K4" i="6"/>
  <c r="L4" i="6"/>
  <c r="M4" i="6" s="1"/>
  <c r="N4" i="6"/>
  <c r="O4" i="6"/>
  <c r="P4" i="6"/>
  <c r="S4" i="6"/>
  <c r="U4" i="6"/>
  <c r="W4" i="6"/>
  <c r="Y4" i="6"/>
  <c r="AC4" i="6"/>
  <c r="AD4" i="6"/>
  <c r="AG4" i="6"/>
  <c r="CA4" i="6" s="1"/>
  <c r="AI4" i="6"/>
  <c r="AK4" i="6"/>
  <c r="AN4" i="6"/>
  <c r="AP4" i="6"/>
  <c r="AR4" i="6"/>
  <c r="AU4" i="6"/>
  <c r="AW4" i="6"/>
  <c r="AZ4" i="6"/>
  <c r="BB4" i="6"/>
  <c r="BC4" i="6"/>
  <c r="BG4" i="6" s="1"/>
  <c r="BE4" i="6"/>
  <c r="BH4" i="6"/>
  <c r="BJ4" i="6"/>
  <c r="BM4" i="6"/>
  <c r="BO4" i="6"/>
  <c r="BP4" i="6"/>
  <c r="BQ4" i="6"/>
  <c r="BS4" i="6" s="1"/>
  <c r="BU4" i="6"/>
  <c r="BW4" i="6"/>
  <c r="BY4" i="6"/>
  <c r="CC4" i="6"/>
  <c r="CE4" i="6"/>
  <c r="CG4" i="6"/>
  <c r="CI4" i="6"/>
  <c r="CL4" i="6"/>
  <c r="CM4" i="6"/>
  <c r="CP4" i="6"/>
  <c r="CT4" i="6"/>
  <c r="CX4" i="6"/>
  <c r="DA4" i="6"/>
  <c r="DB4" i="6"/>
  <c r="DD4" i="6"/>
  <c r="DE4" i="6"/>
  <c r="B10" i="6"/>
  <c r="C10" i="6"/>
  <c r="D10" i="6"/>
  <c r="E10" i="6"/>
  <c r="F10" i="6"/>
  <c r="G10" i="6"/>
  <c r="H10" i="6"/>
  <c r="I10" i="6"/>
  <c r="K10" i="6"/>
  <c r="BI10" i="6" s="1"/>
  <c r="L10" i="6"/>
  <c r="M10" i="6" s="1"/>
  <c r="N10" i="6"/>
  <c r="O10" i="6"/>
  <c r="P10" i="6"/>
  <c r="S10" i="6"/>
  <c r="U10" i="6"/>
  <c r="W10" i="6"/>
  <c r="Y10" i="6"/>
  <c r="AC10" i="6"/>
  <c r="AD10" i="6"/>
  <c r="AG10" i="6"/>
  <c r="AI10" i="6"/>
  <c r="AK10" i="6"/>
  <c r="AN10" i="6"/>
  <c r="AP10" i="6"/>
  <c r="AR10" i="6"/>
  <c r="AU10" i="6"/>
  <c r="AW10" i="6"/>
  <c r="AZ10" i="6"/>
  <c r="BB10" i="6"/>
  <c r="BC10" i="6"/>
  <c r="BE10" i="6"/>
  <c r="BH10" i="6"/>
  <c r="BJ10" i="6"/>
  <c r="BM10" i="6"/>
  <c r="BO10" i="6"/>
  <c r="BP10" i="6"/>
  <c r="BQ10" i="6"/>
  <c r="BS10" i="6" s="1"/>
  <c r="BU10" i="6"/>
  <c r="BW10" i="6"/>
  <c r="BY10" i="6"/>
  <c r="CC10" i="6"/>
  <c r="CE10" i="6"/>
  <c r="CG10" i="6"/>
  <c r="CI10" i="6"/>
  <c r="CL10" i="6"/>
  <c r="CM10" i="6"/>
  <c r="CP10" i="6"/>
  <c r="CT10" i="6"/>
  <c r="CX10" i="6"/>
  <c r="DA10" i="6"/>
  <c r="DB10" i="6"/>
  <c r="DD10" i="6"/>
  <c r="DE10" i="6"/>
  <c r="B6" i="6"/>
  <c r="C6" i="6"/>
  <c r="D6" i="6"/>
  <c r="E6" i="6"/>
  <c r="F6" i="6"/>
  <c r="G6" i="6"/>
  <c r="H6" i="6"/>
  <c r="I6" i="6"/>
  <c r="K6" i="6"/>
  <c r="BI6" i="6" s="1"/>
  <c r="L6" i="6"/>
  <c r="M6" i="6" s="1"/>
  <c r="N6" i="6"/>
  <c r="O6" i="6"/>
  <c r="P6" i="6"/>
  <c r="S6" i="6"/>
  <c r="U6" i="6"/>
  <c r="W6" i="6"/>
  <c r="Y6" i="6"/>
  <c r="AC6" i="6"/>
  <c r="AD6" i="6"/>
  <c r="AG6" i="6"/>
  <c r="AI6" i="6"/>
  <c r="AK6" i="6"/>
  <c r="AN6" i="6"/>
  <c r="AP6" i="6"/>
  <c r="AR6" i="6"/>
  <c r="AU6" i="6"/>
  <c r="AW6" i="6"/>
  <c r="AZ6" i="6"/>
  <c r="BB6" i="6"/>
  <c r="BC6" i="6"/>
  <c r="BG6" i="6" s="1"/>
  <c r="BE6" i="6"/>
  <c r="BH6" i="6"/>
  <c r="BJ6" i="6"/>
  <c r="BM6" i="6"/>
  <c r="BO6" i="6"/>
  <c r="BP6" i="6"/>
  <c r="BQ6" i="6"/>
  <c r="BR6" i="6" s="1"/>
  <c r="BU6" i="6"/>
  <c r="BW6" i="6"/>
  <c r="BY6" i="6"/>
  <c r="CC6" i="6"/>
  <c r="CE6" i="6"/>
  <c r="CG6" i="6"/>
  <c r="CI6" i="6"/>
  <c r="CL6" i="6"/>
  <c r="CM6" i="6"/>
  <c r="CP6" i="6"/>
  <c r="CT6" i="6"/>
  <c r="CX6" i="6"/>
  <c r="DA6" i="6"/>
  <c r="DB6" i="6"/>
  <c r="DD6" i="6"/>
  <c r="DE6" i="6"/>
  <c r="B11" i="6"/>
  <c r="C11" i="6"/>
  <c r="D11" i="6"/>
  <c r="E11" i="6"/>
  <c r="F11" i="6"/>
  <c r="G11" i="6"/>
  <c r="H11" i="6"/>
  <c r="I11" i="6"/>
  <c r="K11" i="6"/>
  <c r="L11" i="6"/>
  <c r="M11" i="6" s="1"/>
  <c r="N11" i="6"/>
  <c r="O11" i="6"/>
  <c r="P11" i="6"/>
  <c r="S11" i="6"/>
  <c r="T11" i="6" s="1"/>
  <c r="U11" i="6"/>
  <c r="W11" i="6"/>
  <c r="Y11" i="6"/>
  <c r="AC11" i="6"/>
  <c r="AD11" i="6"/>
  <c r="AG11" i="6"/>
  <c r="AI11" i="6"/>
  <c r="AK11" i="6"/>
  <c r="AN11" i="6"/>
  <c r="AP11" i="6"/>
  <c r="AR11" i="6"/>
  <c r="AU11" i="6"/>
  <c r="AW11" i="6"/>
  <c r="AZ11" i="6"/>
  <c r="BA11" i="6" s="1"/>
  <c r="BB11" i="6"/>
  <c r="BC11" i="6"/>
  <c r="BD11" i="6" s="1"/>
  <c r="BE11" i="6"/>
  <c r="BH11" i="6"/>
  <c r="BI11" i="6"/>
  <c r="BJ11" i="6"/>
  <c r="BM11" i="6"/>
  <c r="BO11" i="6"/>
  <c r="BP11" i="6"/>
  <c r="BQ11" i="6"/>
  <c r="BS11" i="6" s="1"/>
  <c r="BT11" i="6" s="1"/>
  <c r="BU11" i="6"/>
  <c r="BW11" i="6"/>
  <c r="BY11" i="6"/>
  <c r="BZ11" i="6" s="1"/>
  <c r="CC11" i="6"/>
  <c r="CE11" i="6"/>
  <c r="CG11" i="6"/>
  <c r="CI11" i="6"/>
  <c r="CL11" i="6"/>
  <c r="CM11" i="6"/>
  <c r="CP11" i="6"/>
  <c r="CT11" i="6"/>
  <c r="CX11" i="6"/>
  <c r="DA11" i="6"/>
  <c r="DB11" i="6"/>
  <c r="DC11" i="6" s="1"/>
  <c r="DD11" i="6"/>
  <c r="DE11" i="6"/>
  <c r="BU3" i="6"/>
  <c r="BU7" i="6"/>
  <c r="BU9" i="6"/>
  <c r="BU8" i="6"/>
  <c r="BY3" i="6"/>
  <c r="BY7" i="6"/>
  <c r="BY9" i="6"/>
  <c r="BQ7" i="6"/>
  <c r="BR7" i="6" s="1"/>
  <c r="BQ3" i="6"/>
  <c r="BR3" i="6" s="1"/>
  <c r="BQ8" i="6"/>
  <c r="BR8" i="6" s="1"/>
  <c r="BQ9" i="6"/>
  <c r="BR9" i="6" s="1"/>
  <c r="BE3" i="6"/>
  <c r="BE8" i="6"/>
  <c r="BE9" i="6"/>
  <c r="BE7" i="6"/>
  <c r="BC3" i="6"/>
  <c r="BG3" i="6" s="1"/>
  <c r="BC8" i="6"/>
  <c r="BG8" i="6" s="1"/>
  <c r="BC9" i="6"/>
  <c r="BG9" i="6" s="1"/>
  <c r="BC7" i="6"/>
  <c r="BG7" i="6" s="1"/>
  <c r="Y3" i="6"/>
  <c r="Y8" i="6"/>
  <c r="Y9" i="6"/>
  <c r="Y7" i="6"/>
  <c r="W3" i="6"/>
  <c r="W8" i="6"/>
  <c r="W9" i="6"/>
  <c r="W7" i="6"/>
  <c r="U7" i="6"/>
  <c r="U3" i="6"/>
  <c r="U8" i="6"/>
  <c r="U9" i="6"/>
  <c r="H3" i="6"/>
  <c r="H8" i="6"/>
  <c r="H9" i="6"/>
  <c r="H7" i="6"/>
  <c r="B9" i="6"/>
  <c r="C9" i="6"/>
  <c r="D9" i="6"/>
  <c r="E9" i="6"/>
  <c r="F9" i="6"/>
  <c r="G9" i="6"/>
  <c r="I9" i="6"/>
  <c r="K9" i="6"/>
  <c r="L9" i="6"/>
  <c r="M9" i="6" s="1"/>
  <c r="N9" i="6"/>
  <c r="O9" i="6"/>
  <c r="P9" i="6"/>
  <c r="S9" i="6"/>
  <c r="AC9" i="6"/>
  <c r="AD9" i="6"/>
  <c r="AG9" i="6"/>
  <c r="AI9" i="6"/>
  <c r="AK9" i="6"/>
  <c r="AN9" i="6"/>
  <c r="AP9" i="6"/>
  <c r="AR9" i="6"/>
  <c r="AU9" i="6"/>
  <c r="AW9" i="6"/>
  <c r="AZ9" i="6"/>
  <c r="BB9" i="6"/>
  <c r="BH9" i="6"/>
  <c r="BJ9" i="6"/>
  <c r="BM9" i="6"/>
  <c r="BO9" i="6"/>
  <c r="BP9" i="6"/>
  <c r="BW9" i="6"/>
  <c r="CC9" i="6"/>
  <c r="CE9" i="6"/>
  <c r="CG9" i="6"/>
  <c r="CI9" i="6"/>
  <c r="CL9" i="6"/>
  <c r="CM9" i="6"/>
  <c r="CP9" i="6"/>
  <c r="CT9" i="6"/>
  <c r="CX9" i="6"/>
  <c r="DA9" i="6"/>
  <c r="DB9" i="6"/>
  <c r="DD9" i="6"/>
  <c r="DE9" i="6"/>
  <c r="W10" i="15" l="1"/>
  <c r="AA10" i="15" s="1"/>
  <c r="CK2" i="15"/>
  <c r="Z10" i="15"/>
  <c r="CQ2" i="15"/>
  <c r="AA5" i="15"/>
  <c r="W11" i="15"/>
  <c r="Z11" i="15"/>
  <c r="AA6" i="15"/>
  <c r="AA11" i="15"/>
  <c r="CK15" i="15"/>
  <c r="CK11" i="15"/>
  <c r="AA12" i="15"/>
  <c r="AO14" i="15"/>
  <c r="W14" i="15"/>
  <c r="AA14" i="15" s="1"/>
  <c r="CS2" i="15"/>
  <c r="CS3" i="15"/>
  <c r="CH4" i="15"/>
  <c r="CK4" i="15"/>
  <c r="CQ11" i="15"/>
  <c r="CS11" i="15" s="1"/>
  <c r="CF13" i="15"/>
  <c r="CB9" i="15"/>
  <c r="AA2" i="15"/>
  <c r="CK12" i="15"/>
  <c r="CS6" i="15"/>
  <c r="Z4" i="15"/>
  <c r="W4" i="15"/>
  <c r="AA4" i="15" s="1"/>
  <c r="AO4" i="15"/>
  <c r="AA15" i="15"/>
  <c r="CQ12" i="15"/>
  <c r="CS12" i="15" s="1"/>
  <c r="CQ10" i="15"/>
  <c r="CS10" i="15" s="1"/>
  <c r="CH10" i="15"/>
  <c r="CQ8" i="15"/>
  <c r="CS8" i="15" s="1"/>
  <c r="CH8" i="15"/>
  <c r="AA7" i="15"/>
  <c r="CH6" i="15"/>
  <c r="CK6" i="15"/>
  <c r="CH7" i="15"/>
  <c r="CK7" i="15"/>
  <c r="CQ7" i="15"/>
  <c r="CS7" i="15" s="1"/>
  <c r="CH14" i="15"/>
  <c r="CK14" i="15"/>
  <c r="CQ14" i="15"/>
  <c r="CS14" i="15" s="1"/>
  <c r="CK8" i="15"/>
  <c r="AA3" i="15"/>
  <c r="CQ15" i="15"/>
  <c r="CS15" i="15" s="1"/>
  <c r="CK10" i="15"/>
  <c r="AA8" i="15"/>
  <c r="CF9" i="15"/>
  <c r="BX7" i="10"/>
  <c r="BU5" i="10"/>
  <c r="AG2" i="10"/>
  <c r="CC2" i="10"/>
  <c r="BX9" i="10"/>
  <c r="BX2" i="10"/>
  <c r="CI5" i="10"/>
  <c r="CL5" i="10"/>
  <c r="CM5" i="10" s="1"/>
  <c r="CE8" i="10"/>
  <c r="CE5" i="10"/>
  <c r="K2" i="10"/>
  <c r="K9" i="10"/>
  <c r="K11" i="10"/>
  <c r="AG6" i="10"/>
  <c r="K8" i="10"/>
  <c r="BY8" i="10"/>
  <c r="CC6" i="10"/>
  <c r="K7" i="10"/>
  <c r="K4" i="10"/>
  <c r="CL8" i="10"/>
  <c r="CM8" i="10" s="1"/>
  <c r="K5" i="10"/>
  <c r="CE4" i="10"/>
  <c r="BU4" i="10"/>
  <c r="CE2" i="10"/>
  <c r="BY2" i="10"/>
  <c r="CL4" i="10"/>
  <c r="CM4" i="10" s="1"/>
  <c r="DT8" i="10"/>
  <c r="CI4" i="10"/>
  <c r="DO10" i="10"/>
  <c r="DT10" i="10"/>
  <c r="CI9" i="10"/>
  <c r="CL9" i="10"/>
  <c r="CM9" i="10" s="1"/>
  <c r="BY9" i="10"/>
  <c r="CE9" i="10"/>
  <c r="CI10" i="10"/>
  <c r="CL10" i="10"/>
  <c r="CM10" i="10" s="1"/>
  <c r="CE10" i="10"/>
  <c r="BY10" i="10"/>
  <c r="BU9" i="10"/>
  <c r="CC8" i="10"/>
  <c r="AF8" i="10"/>
  <c r="DO11" i="10"/>
  <c r="DT11" i="10"/>
  <c r="AF4" i="10"/>
  <c r="CC4" i="10"/>
  <c r="BY11" i="10"/>
  <c r="CL11" i="10"/>
  <c r="CM11" i="10" s="1"/>
  <c r="CE11" i="10"/>
  <c r="CI11" i="10"/>
  <c r="BU10" i="10"/>
  <c r="DO7" i="10"/>
  <c r="DT7" i="10"/>
  <c r="CI7" i="10"/>
  <c r="CL7" i="10"/>
  <c r="CM7" i="10" s="1"/>
  <c r="CE7" i="10"/>
  <c r="BY7" i="10"/>
  <c r="AG4" i="10"/>
  <c r="AF5" i="10"/>
  <c r="AG5" i="10"/>
  <c r="CC5" i="10"/>
  <c r="DO9" i="10"/>
  <c r="DT9" i="10"/>
  <c r="BX6" i="10"/>
  <c r="BF10" i="2"/>
  <c r="AU9" i="2"/>
  <c r="AV9" i="2" s="1"/>
  <c r="BF2" i="2"/>
  <c r="BF11" i="2"/>
  <c r="K2" i="2"/>
  <c r="AU6" i="2"/>
  <c r="AV6" i="2" s="1"/>
  <c r="BF3" i="2"/>
  <c r="K3" i="2"/>
  <c r="AR5" i="2"/>
  <c r="K8" i="2"/>
  <c r="K11" i="2"/>
  <c r="K4" i="2"/>
  <c r="K5" i="2"/>
  <c r="K9" i="2"/>
  <c r="K10" i="2"/>
  <c r="BF8" i="2"/>
  <c r="K6" i="2"/>
  <c r="BF5" i="2"/>
  <c r="AR11" i="2"/>
  <c r="AU11" i="2"/>
  <c r="AV11" i="2" s="1"/>
  <c r="BF9" i="2"/>
  <c r="AU10" i="2"/>
  <c r="AV10" i="2" s="1"/>
  <c r="AR10" i="2"/>
  <c r="AR8" i="2"/>
  <c r="AU8" i="2"/>
  <c r="AV8" i="2" s="1"/>
  <c r="AK9" i="16"/>
  <c r="AJ8" i="16"/>
  <c r="DL2" i="16"/>
  <c r="DO10" i="16"/>
  <c r="AJ3" i="16"/>
  <c r="BQ2" i="16"/>
  <c r="DO9" i="16"/>
  <c r="DL4" i="16"/>
  <c r="DO7" i="16"/>
  <c r="BQ7" i="16"/>
  <c r="AJ11" i="16"/>
  <c r="AK10" i="16"/>
  <c r="DL11" i="16"/>
  <c r="DO11" i="16"/>
  <c r="AK2" i="16"/>
  <c r="K8" i="16"/>
  <c r="BQ9" i="16"/>
  <c r="K3" i="16"/>
  <c r="K5" i="16"/>
  <c r="DL8" i="16"/>
  <c r="DO8" i="16"/>
  <c r="BQ5" i="16"/>
  <c r="K10" i="16"/>
  <c r="K2" i="16"/>
  <c r="K11" i="16"/>
  <c r="BQ4" i="16"/>
  <c r="K7" i="16"/>
  <c r="K9" i="16"/>
  <c r="AJ5" i="16"/>
  <c r="AK5" i="16"/>
  <c r="K4" i="16"/>
  <c r="BQ11" i="16"/>
  <c r="BQ10" i="16"/>
  <c r="AV9" i="17"/>
  <c r="AV3" i="17"/>
  <c r="W2" i="19"/>
  <c r="G9" i="19"/>
  <c r="G4" i="19"/>
  <c r="G11" i="19"/>
  <c r="G2" i="19"/>
  <c r="G7" i="19"/>
  <c r="G8" i="19"/>
  <c r="G6" i="19"/>
  <c r="G5" i="19"/>
  <c r="AV4" i="17"/>
  <c r="BE3" i="17"/>
  <c r="AV8" i="17"/>
  <c r="BE4" i="17"/>
  <c r="K8" i="17"/>
  <c r="CJ7" i="17"/>
  <c r="K3" i="17"/>
  <c r="CJ3" i="17"/>
  <c r="K7" i="17"/>
  <c r="CJ8" i="17"/>
  <c r="K9" i="17"/>
  <c r="K4" i="17"/>
  <c r="CJ9" i="17"/>
  <c r="BE7" i="17"/>
  <c r="CJ4" i="17"/>
  <c r="BQ6" i="16"/>
  <c r="DL6" i="16"/>
  <c r="DO6" i="16"/>
  <c r="AJ6" i="16"/>
  <c r="AK6" i="16"/>
  <c r="BD7" i="2"/>
  <c r="DT6" i="10"/>
  <c r="K6" i="10"/>
  <c r="CI6" i="10"/>
  <c r="CL6" i="10"/>
  <c r="CM6" i="10" s="1"/>
  <c r="BY6" i="10"/>
  <c r="CE6" i="10"/>
  <c r="BB12" i="18"/>
  <c r="P10" i="19"/>
  <c r="M10" i="19"/>
  <c r="J10" i="19"/>
  <c r="O10" i="19"/>
  <c r="G10" i="19"/>
  <c r="V10" i="19"/>
  <c r="R10" i="19"/>
  <c r="DB7" i="2"/>
  <c r="AH7" i="2"/>
  <c r="BA7" i="2"/>
  <c r="AL7" i="2"/>
  <c r="R7" i="2"/>
  <c r="CW7" i="2"/>
  <c r="CS7" i="2"/>
  <c r="CF7" i="2"/>
  <c r="BN7" i="2"/>
  <c r="CY7" i="2"/>
  <c r="BZ7" i="2"/>
  <c r="CH7" i="2"/>
  <c r="CM7" i="2"/>
  <c r="U7" i="2"/>
  <c r="DC7" i="2"/>
  <c r="AO7" i="2"/>
  <c r="AU7" i="2"/>
  <c r="AV7" i="2" s="1"/>
  <c r="AR7" i="2"/>
  <c r="CK7" i="2"/>
  <c r="BK7" i="2"/>
  <c r="AK7" i="2"/>
  <c r="AM7" i="2"/>
  <c r="AX7" i="2"/>
  <c r="CU7" i="2"/>
  <c r="BU7" i="2"/>
  <c r="AT7" i="2"/>
  <c r="BR7" i="2"/>
  <c r="BS7" i="2" s="1"/>
  <c r="CP7" i="2"/>
  <c r="Y7" i="2"/>
  <c r="CN7" i="2"/>
  <c r="CO7" i="2" s="1"/>
  <c r="W7" i="2"/>
  <c r="BO7" i="2"/>
  <c r="CD7" i="2"/>
  <c r="AW7" i="2"/>
  <c r="CQ7" i="2"/>
  <c r="BV7" i="2"/>
  <c r="Z7" i="2"/>
  <c r="BE7" i="2"/>
  <c r="CJ7" i="2"/>
  <c r="CK3" i="10"/>
  <c r="BB3" i="10"/>
  <c r="DI3" i="10"/>
  <c r="AI3" i="10"/>
  <c r="AU3" i="10"/>
  <c r="AM3" i="10"/>
  <c r="ED3" i="10"/>
  <c r="AE3" i="10"/>
  <c r="CW3" i="10"/>
  <c r="BE3" i="10"/>
  <c r="CH3" i="10"/>
  <c r="DN3" i="10"/>
  <c r="DO3" i="10" s="1"/>
  <c r="EB3" i="10"/>
  <c r="EF3" i="10"/>
  <c r="DK3" i="10"/>
  <c r="CP3" i="10"/>
  <c r="AK3" i="10"/>
  <c r="BA3" i="10"/>
  <c r="AS3" i="10"/>
  <c r="AH3" i="10"/>
  <c r="R3" i="10"/>
  <c r="AJ3" i="10"/>
  <c r="DL3" i="10"/>
  <c r="EA3" i="10"/>
  <c r="DG3" i="10"/>
  <c r="DU3" i="10"/>
  <c r="DV3" i="10" s="1"/>
  <c r="DY3" i="10"/>
  <c r="DD3" i="10"/>
  <c r="DE3" i="10"/>
  <c r="BO3" i="10"/>
  <c r="AV3" i="10"/>
  <c r="DB3" i="10"/>
  <c r="CG3" i="10"/>
  <c r="Z3" i="10"/>
  <c r="DW3" i="10"/>
  <c r="BV3" i="10"/>
  <c r="BM3" i="10"/>
  <c r="W3" i="10"/>
  <c r="CY3" i="10"/>
  <c r="DR3" i="10"/>
  <c r="BK3" i="10"/>
  <c r="DQ3" i="10"/>
  <c r="T3" i="10"/>
  <c r="CV3" i="10"/>
  <c r="AO3" i="10"/>
  <c r="AQ3" i="10" s="1"/>
  <c r="S3" i="10"/>
  <c r="CT3" i="10"/>
  <c r="CR3" i="10"/>
  <c r="BF3" i="10"/>
  <c r="BH3" i="10"/>
  <c r="BI3" i="10" s="1"/>
  <c r="EH3" i="10"/>
  <c r="CQ3" i="10"/>
  <c r="BW3" i="10"/>
  <c r="CN3" i="10"/>
  <c r="BT5" i="11"/>
  <c r="CK5" i="11" s="1"/>
  <c r="CO5" i="11" s="1"/>
  <c r="BS5" i="11"/>
  <c r="CS2" i="11"/>
  <c r="BB6" i="11"/>
  <c r="CN11" i="11"/>
  <c r="AL2" i="11"/>
  <c r="BC6" i="11"/>
  <c r="BN5" i="11"/>
  <c r="BL5" i="11"/>
  <c r="CS5" i="11"/>
  <c r="BT8" i="11"/>
  <c r="CK8" i="11" s="1"/>
  <c r="CO8" i="11" s="1"/>
  <c r="CG9" i="11"/>
  <c r="BC11" i="11"/>
  <c r="BV2" i="11"/>
  <c r="CE9" i="11"/>
  <c r="AC9" i="11"/>
  <c r="R11" i="11"/>
  <c r="BX6" i="11"/>
  <c r="AO6" i="11"/>
  <c r="T5" i="11"/>
  <c r="AV9" i="11"/>
  <c r="AW9" i="11" s="1"/>
  <c r="AC7" i="11"/>
  <c r="AZ5" i="11"/>
  <c r="CS8" i="11"/>
  <c r="BI8" i="11"/>
  <c r="X8" i="11"/>
  <c r="BJ8" i="11"/>
  <c r="BT4" i="11"/>
  <c r="CK4" i="11" s="1"/>
  <c r="CO4" i="11" s="1"/>
  <c r="AL4" i="11"/>
  <c r="AC4" i="11"/>
  <c r="BB8" i="11"/>
  <c r="W9" i="11"/>
  <c r="AC6" i="11"/>
  <c r="AN11" i="11"/>
  <c r="CJ2" i="11"/>
  <c r="BG2" i="11"/>
  <c r="AL11" i="11"/>
  <c r="BE2" i="11"/>
  <c r="W5" i="11"/>
  <c r="CX11" i="11"/>
  <c r="AI11" i="11"/>
  <c r="CG2" i="11"/>
  <c r="AO8" i="11"/>
  <c r="BN11" i="11"/>
  <c r="AG11" i="11"/>
  <c r="BB2" i="11"/>
  <c r="CX8" i="11"/>
  <c r="BL11" i="11"/>
  <c r="AZ2" i="11"/>
  <c r="BV6" i="11"/>
  <c r="CU8" i="11"/>
  <c r="AT9" i="11"/>
  <c r="CO11" i="11"/>
  <c r="BX2" i="11"/>
  <c r="BL8" i="11"/>
  <c r="CJ11" i="11"/>
  <c r="X11" i="11"/>
  <c r="AV5" i="11"/>
  <c r="AW5" i="11" s="1"/>
  <c r="BE11" i="11"/>
  <c r="BT2" i="11"/>
  <c r="CK2" i="11" s="1"/>
  <c r="BG6" i="11"/>
  <c r="BB7" i="11"/>
  <c r="AC10" i="11"/>
  <c r="CE11" i="11"/>
  <c r="AZ11" i="11"/>
  <c r="CX2" i="11"/>
  <c r="CG8" i="11"/>
  <c r="CO6" i="11"/>
  <c r="CE8" i="11"/>
  <c r="T8" i="11"/>
  <c r="BV9" i="11"/>
  <c r="BN2" i="11"/>
  <c r="AI2" i="11"/>
  <c r="AV7" i="11"/>
  <c r="AW7" i="11" s="1"/>
  <c r="AC8" i="11"/>
  <c r="BZ11" i="11"/>
  <c r="CE6" i="11"/>
  <c r="AE5" i="11"/>
  <c r="AZ8" i="11"/>
  <c r="BL7" i="11"/>
  <c r="AC2" i="11"/>
  <c r="BI9" i="11"/>
  <c r="AO7" i="11"/>
  <c r="BS4" i="11"/>
  <c r="AE7" i="11"/>
  <c r="AE6" i="11"/>
  <c r="AE8" i="11"/>
  <c r="T6" i="11"/>
  <c r="AO5" i="11"/>
  <c r="R9" i="11"/>
  <c r="AW11" i="11"/>
  <c r="R2" i="11"/>
  <c r="CU6" i="11"/>
  <c r="BS6" i="11"/>
  <c r="BI7" i="11"/>
  <c r="BS9" i="11"/>
  <c r="AL9" i="11"/>
  <c r="CN7" i="11"/>
  <c r="BG7" i="11"/>
  <c r="AI4" i="11"/>
  <c r="CS6" i="11"/>
  <c r="W8" i="11"/>
  <c r="AI9" i="11"/>
  <c r="CJ7" i="11"/>
  <c r="CS4" i="11"/>
  <c r="BN4" i="11"/>
  <c r="AG4" i="11"/>
  <c r="BN6" i="11"/>
  <c r="AI6" i="11"/>
  <c r="BG5" i="11"/>
  <c r="AG9" i="11"/>
  <c r="BC7" i="11"/>
  <c r="BL4" i="11"/>
  <c r="AE4" i="11"/>
  <c r="CS11" i="11"/>
  <c r="BL2" i="11"/>
  <c r="CN6" i="11"/>
  <c r="CG5" i="11"/>
  <c r="X5" i="11"/>
  <c r="BV8" i="11"/>
  <c r="CX9" i="11"/>
  <c r="CG7" i="11"/>
  <c r="CN4" i="11"/>
  <c r="BI4" i="11"/>
  <c r="CU11" i="11"/>
  <c r="BJ2" i="11"/>
  <c r="BI6" i="11"/>
  <c r="CE5" i="11"/>
  <c r="BB5" i="11"/>
  <c r="CE7" i="11"/>
  <c r="CJ4" i="11"/>
  <c r="BE4" i="11"/>
  <c r="CG6" i="11"/>
  <c r="BZ5" i="11"/>
  <c r="BG9" i="11"/>
  <c r="CA7" i="11"/>
  <c r="CG4" i="11"/>
  <c r="BB4" i="11"/>
  <c r="AT5" i="11"/>
  <c r="BG8" i="11"/>
  <c r="AD9" i="11"/>
  <c r="BZ7" i="11"/>
  <c r="T7" i="11"/>
  <c r="CE4" i="11"/>
  <c r="AD4" i="11"/>
  <c r="AE11" i="11"/>
  <c r="X6" i="11"/>
  <c r="BB9" i="11"/>
  <c r="BT7" i="11"/>
  <c r="CK7" i="11" s="1"/>
  <c r="AN5" i="11"/>
  <c r="K2" i="11"/>
  <c r="AN7" i="11"/>
  <c r="BZ4" i="11"/>
  <c r="AT4" i="11"/>
  <c r="T4" i="11"/>
  <c r="BC8" i="11"/>
  <c r="AD8" i="11"/>
  <c r="CS9" i="11"/>
  <c r="BT9" i="11"/>
  <c r="CK9" i="11" s="1"/>
  <c r="CO9" i="11" s="1"/>
  <c r="AG7" i="11"/>
  <c r="BC2" i="11"/>
  <c r="X9" i="11"/>
  <c r="W4" i="11"/>
  <c r="AD2" i="11"/>
  <c r="CA5" i="11"/>
  <c r="BI5" i="11"/>
  <c r="AW8" i="11"/>
  <c r="CN9" i="11"/>
  <c r="BX7" i="11"/>
  <c r="BS2" i="11"/>
  <c r="CJ6" i="11"/>
  <c r="BL6" i="11"/>
  <c r="R6" i="11"/>
  <c r="AL5" i="11"/>
  <c r="R5" i="11"/>
  <c r="CN8" i="11"/>
  <c r="AT8" i="11"/>
  <c r="CJ9" i="11"/>
  <c r="AO9" i="11"/>
  <c r="T9" i="11"/>
  <c r="CU7" i="11"/>
  <c r="AZ7" i="11"/>
  <c r="BS11" i="11"/>
  <c r="AT11" i="11"/>
  <c r="AD11" i="11"/>
  <c r="X2" i="11"/>
  <c r="AJ6" i="11"/>
  <c r="AI5" i="11"/>
  <c r="CJ8" i="11"/>
  <c r="BP8" i="11"/>
  <c r="BN9" i="11"/>
  <c r="AJ4" i="11"/>
  <c r="CN2" i="11"/>
  <c r="BP2" i="11"/>
  <c r="AG6" i="11"/>
  <c r="CX5" i="11"/>
  <c r="BX5" i="11"/>
  <c r="AG5" i="11"/>
  <c r="BL9" i="11"/>
  <c r="CS7" i="11"/>
  <c r="BS7" i="11"/>
  <c r="R4" i="11"/>
  <c r="BV11" i="11"/>
  <c r="W11" i="11"/>
  <c r="T2" i="11"/>
  <c r="CU5" i="11"/>
  <c r="BV5" i="11"/>
  <c r="BE5" i="11"/>
  <c r="AT7" i="11"/>
  <c r="AN2" i="11"/>
  <c r="AD6" i="11"/>
  <c r="BC5" i="11"/>
  <c r="AD5" i="11"/>
  <c r="AJ9" i="11"/>
  <c r="W7" i="11"/>
  <c r="BG4" i="11"/>
  <c r="AN8" i="11"/>
  <c r="BV7" i="11"/>
  <c r="AJ11" i="11"/>
  <c r="CN5" i="11"/>
  <c r="CA8" i="11"/>
  <c r="AL8" i="11"/>
  <c r="R8" i="11"/>
  <c r="CG11" i="11"/>
  <c r="BG11" i="11"/>
  <c r="CE2" i="11"/>
  <c r="BZ6" i="11"/>
  <c r="AZ6" i="11"/>
  <c r="CJ5" i="11"/>
  <c r="BZ8" i="11"/>
  <c r="AI8" i="11"/>
  <c r="R7" i="11"/>
  <c r="BP5" i="11"/>
  <c r="AG8" i="11"/>
  <c r="BZ9" i="11"/>
  <c r="CV4" i="11"/>
  <c r="BX4" i="11"/>
  <c r="AZ4" i="11"/>
  <c r="BB11" i="11"/>
  <c r="CA2" i="11"/>
  <c r="AG2" i="11"/>
  <c r="CX6" i="11"/>
  <c r="AT6" i="11"/>
  <c r="BX8" i="11"/>
  <c r="BE8" i="11"/>
  <c r="CU9" i="11"/>
  <c r="BX9" i="11"/>
  <c r="AZ9" i="11"/>
  <c r="AI7" i="11"/>
  <c r="AT2" i="11"/>
  <c r="CL4" i="11"/>
  <c r="BP11" i="11"/>
  <c r="AN6" i="11"/>
  <c r="AO4" i="11"/>
  <c r="AN4" i="11"/>
  <c r="BE9" i="11"/>
  <c r="BJ9" i="11"/>
  <c r="BE7" i="11"/>
  <c r="BJ7" i="11"/>
  <c r="K4" i="11"/>
  <c r="K7" i="11"/>
  <c r="BE6" i="11"/>
  <c r="BJ6" i="11"/>
  <c r="CL8" i="11"/>
  <c r="K9" i="11"/>
  <c r="BJ11" i="11"/>
  <c r="K6" i="11"/>
  <c r="CL9" i="11"/>
  <c r="AU7" i="11"/>
  <c r="CL5" i="11"/>
  <c r="AJ2" i="11"/>
  <c r="AU9" i="11"/>
  <c r="X7" i="11"/>
  <c r="K11" i="11"/>
  <c r="AU8" i="11"/>
  <c r="AO11" i="11"/>
  <c r="AV2" i="11"/>
  <c r="AW2" i="11" s="1"/>
  <c r="AV6" i="11"/>
  <c r="AW6" i="11" s="1"/>
  <c r="AU5" i="11"/>
  <c r="CU2" i="11"/>
  <c r="AN9" i="11"/>
  <c r="BP6" i="11"/>
  <c r="BP9" i="11"/>
  <c r="BP7" i="11"/>
  <c r="BP4" i="11"/>
  <c r="K5" i="11"/>
  <c r="K8" i="11"/>
  <c r="AV4" i="11"/>
  <c r="BJ4" i="11"/>
  <c r="CV5" i="11"/>
  <c r="AJ5" i="11"/>
  <c r="CV8" i="11"/>
  <c r="AJ8" i="11"/>
  <c r="DW16" i="15"/>
  <c r="BH16" i="15"/>
  <c r="CB16" i="15"/>
  <c r="CE9" i="15"/>
  <c r="CA16" i="15"/>
  <c r="DK16" i="15"/>
  <c r="CE16" i="15"/>
  <c r="DK9" i="15"/>
  <c r="DK13" i="15"/>
  <c r="BS9" i="15"/>
  <c r="AF9" i="15"/>
  <c r="CE13" i="15"/>
  <c r="BB16" i="15"/>
  <c r="CM16" i="15"/>
  <c r="BH9" i="15"/>
  <c r="DE16" i="15"/>
  <c r="DF16" i="15" s="1"/>
  <c r="CA9" i="15"/>
  <c r="CF16" i="15"/>
  <c r="BF16" i="15"/>
  <c r="BY16" i="15"/>
  <c r="BY9" i="15"/>
  <c r="AT16" i="15"/>
  <c r="CW9" i="15"/>
  <c r="CU9" i="15"/>
  <c r="DQ9" i="15"/>
  <c r="CB13" i="15"/>
  <c r="BB9" i="15"/>
  <c r="AT9" i="15"/>
  <c r="CP16" i="15"/>
  <c r="CR16" i="15"/>
  <c r="AN9" i="15"/>
  <c r="AO9" i="15"/>
  <c r="W9" i="15"/>
  <c r="CM9" i="15"/>
  <c r="DN9" i="15"/>
  <c r="CP9" i="15"/>
  <c r="BD9" i="15"/>
  <c r="BI16" i="15"/>
  <c r="BJ16" i="15" s="1"/>
  <c r="Q16" i="15"/>
  <c r="AM16" i="15" s="1"/>
  <c r="AZ9" i="15"/>
  <c r="AC9" i="15"/>
  <c r="V13" i="15"/>
  <c r="V16" i="15"/>
  <c r="W16" i="15" s="1"/>
  <c r="EB9" i="15"/>
  <c r="BU9" i="15"/>
  <c r="DZ9" i="15"/>
  <c r="N9" i="15"/>
  <c r="DW9" i="15"/>
  <c r="BP9" i="15"/>
  <c r="AQ9" i="15"/>
  <c r="BP16" i="15"/>
  <c r="CY9" i="15"/>
  <c r="DC16" i="15"/>
  <c r="CZ16" i="15"/>
  <c r="BN16" i="15"/>
  <c r="DR9" i="15"/>
  <c r="CR9" i="15"/>
  <c r="BU16" i="15"/>
  <c r="BR16" i="15"/>
  <c r="BR9" i="15"/>
  <c r="AV9" i="15"/>
  <c r="AE16" i="15"/>
  <c r="CJ16" i="15"/>
  <c r="DZ16" i="15"/>
  <c r="DH16" i="15"/>
  <c r="Y16" i="15"/>
  <c r="DN16" i="15"/>
  <c r="AC16" i="15"/>
  <c r="AZ16" i="15"/>
  <c r="DU9" i="15"/>
  <c r="DV9" i="15"/>
  <c r="BN9" i="15"/>
  <c r="Q9" i="15"/>
  <c r="AM9" i="15" s="1"/>
  <c r="DU16" i="15"/>
  <c r="Y9" i="15"/>
  <c r="BD16" i="15"/>
  <c r="BW16" i="15"/>
  <c r="CY16" i="15"/>
  <c r="BA16" i="15"/>
  <c r="CU16" i="15"/>
  <c r="CG9" i="15"/>
  <c r="CH9" i="15" s="1"/>
  <c r="BF9" i="15"/>
  <c r="CO16" i="15"/>
  <c r="BS16" i="15"/>
  <c r="EB16" i="15"/>
  <c r="AQ16" i="15"/>
  <c r="N16" i="15"/>
  <c r="DC9" i="15"/>
  <c r="BA9" i="15"/>
  <c r="AE9" i="15"/>
  <c r="CZ9" i="15"/>
  <c r="BW9" i="15"/>
  <c r="CJ9" i="15"/>
  <c r="AU9" i="15"/>
  <c r="BI9" i="15"/>
  <c r="BJ9" i="15" s="1"/>
  <c r="Z9" i="15"/>
  <c r="T9" i="15"/>
  <c r="S9" i="15"/>
  <c r="DH9" i="15"/>
  <c r="R9" i="15"/>
  <c r="CO9" i="15"/>
  <c r="AF16" i="15"/>
  <c r="AU16" i="15"/>
  <c r="AV16" i="15"/>
  <c r="DR16" i="15"/>
  <c r="DQ16" i="15"/>
  <c r="T16" i="15"/>
  <c r="S16" i="15"/>
  <c r="CW16" i="15"/>
  <c r="CG16" i="15"/>
  <c r="R16" i="15"/>
  <c r="BB6" i="18"/>
  <c r="BB3" i="18"/>
  <c r="BB4" i="18"/>
  <c r="BB7" i="18"/>
  <c r="BB8" i="18"/>
  <c r="BB5" i="18"/>
  <c r="BB11" i="18"/>
  <c r="BB9" i="18"/>
  <c r="BB10" i="18"/>
  <c r="BB2" i="18"/>
  <c r="CS9" i="14"/>
  <c r="BF9" i="14"/>
  <c r="CM9" i="14"/>
  <c r="AU9" i="14"/>
  <c r="AX11" i="14"/>
  <c r="BS2" i="14"/>
  <c r="AX3" i="14"/>
  <c r="BP9" i="14"/>
  <c r="BG2" i="14"/>
  <c r="CU9" i="14"/>
  <c r="Z11" i="14"/>
  <c r="BZ11" i="14"/>
  <c r="V2" i="14"/>
  <c r="BW2" i="14"/>
  <c r="BV2" i="14" s="1"/>
  <c r="S2" i="14"/>
  <c r="CW9" i="14"/>
  <c r="BB9" i="14"/>
  <c r="AZ9" i="14"/>
  <c r="AS9" i="14"/>
  <c r="R2" i="14"/>
  <c r="AS11" i="14"/>
  <c r="AQ11" i="14"/>
  <c r="BG9" i="14"/>
  <c r="AU2" i="14"/>
  <c r="AO11" i="14"/>
  <c r="AJ11" i="14"/>
  <c r="CY9" i="14"/>
  <c r="AF11" i="14"/>
  <c r="AX9" i="14"/>
  <c r="DA11" i="14"/>
  <c r="BP11" i="14"/>
  <c r="CY11" i="14"/>
  <c r="BB11" i="14"/>
  <c r="CW11" i="14"/>
  <c r="DA2" i="14"/>
  <c r="CU11" i="14"/>
  <c r="V11" i="14"/>
  <c r="BW9" i="14"/>
  <c r="BV9" i="14" s="1"/>
  <c r="CS11" i="14"/>
  <c r="S11" i="14"/>
  <c r="CW2" i="14"/>
  <c r="BB2" i="14"/>
  <c r="R11" i="14"/>
  <c r="BS9" i="14"/>
  <c r="AV9" i="14"/>
  <c r="AW9" i="14" s="1"/>
  <c r="Z9" i="14"/>
  <c r="BX2" i="14"/>
  <c r="AS2" i="14"/>
  <c r="BS11" i="14"/>
  <c r="AF2" i="14"/>
  <c r="CU2" i="14"/>
  <c r="AA11" i="14"/>
  <c r="AB11" i="14" s="1"/>
  <c r="CD9" i="14"/>
  <c r="AJ9" i="14"/>
  <c r="CS2" i="14"/>
  <c r="AA2" i="14"/>
  <c r="Y2" i="14"/>
  <c r="Z2" i="14" s="1"/>
  <c r="CM11" i="14"/>
  <c r="BF11" i="14"/>
  <c r="X11" i="14"/>
  <c r="AF9" i="14"/>
  <c r="X2" i="14"/>
  <c r="BD11" i="14"/>
  <c r="CD11" i="14"/>
  <c r="AZ11" i="14"/>
  <c r="BZ9" i="14"/>
  <c r="X9" i="14"/>
  <c r="CJ2" i="14"/>
  <c r="CK2" i="14" s="1"/>
  <c r="BD9" i="14"/>
  <c r="BF2" i="14"/>
  <c r="BX9" i="14"/>
  <c r="BD2" i="14"/>
  <c r="DA9" i="14"/>
  <c r="BA9" i="14"/>
  <c r="BN9" i="14" s="1"/>
  <c r="S9" i="14"/>
  <c r="AX8" i="14"/>
  <c r="AB9" i="14"/>
  <c r="AC9" i="14"/>
  <c r="CG2" i="14"/>
  <c r="AG11" i="14"/>
  <c r="AH11" i="14" s="1"/>
  <c r="R9" i="14"/>
  <c r="AQ2" i="14"/>
  <c r="AO2" i="14"/>
  <c r="AV11" i="14"/>
  <c r="AW11" i="14" s="1"/>
  <c r="AG9" i="14"/>
  <c r="AH9" i="14" s="1"/>
  <c r="CQ11" i="14"/>
  <c r="BK11" i="14"/>
  <c r="BL11" i="14" s="1"/>
  <c r="BM11" i="14" s="1"/>
  <c r="AU11" i="14"/>
  <c r="CY2" i="14"/>
  <c r="CP11" i="14"/>
  <c r="CQ9" i="14"/>
  <c r="BK9" i="14"/>
  <c r="BL9" i="14" s="1"/>
  <c r="BM9" i="14" s="1"/>
  <c r="CP9" i="14"/>
  <c r="BA2" i="14"/>
  <c r="BN2" i="14" s="1"/>
  <c r="BX11" i="14"/>
  <c r="BP2" i="14"/>
  <c r="AZ2" i="14"/>
  <c r="AJ2" i="14"/>
  <c r="BW11" i="14"/>
  <c r="BV11" i="14" s="1"/>
  <c r="BG11" i="14"/>
  <c r="CE2" i="14"/>
  <c r="CF2" i="14" s="1"/>
  <c r="CD2" i="14"/>
  <c r="AX2" i="14"/>
  <c r="CM2" i="14"/>
  <c r="AG2" i="14"/>
  <c r="AH2" i="14" s="1"/>
  <c r="CJ11" i="14"/>
  <c r="CK11" i="14" s="1"/>
  <c r="AO9" i="14"/>
  <c r="AV2" i="14"/>
  <c r="AW2" i="14" s="1"/>
  <c r="CJ9" i="14"/>
  <c r="CK9" i="14" s="1"/>
  <c r="CQ2" i="14"/>
  <c r="BZ2" i="14"/>
  <c r="BA11" i="14"/>
  <c r="BN11" i="14" s="1"/>
  <c r="V9" i="14"/>
  <c r="AX5" i="14"/>
  <c r="AX6" i="14"/>
  <c r="AX7" i="14"/>
  <c r="AX10" i="14"/>
  <c r="AF10" i="14"/>
  <c r="BS3" i="14"/>
  <c r="BS4" i="14"/>
  <c r="BS7" i="14"/>
  <c r="BS6" i="14"/>
  <c r="BS8" i="14"/>
  <c r="CW8" i="14"/>
  <c r="AF3" i="14"/>
  <c r="CJ10" i="14"/>
  <c r="CK10" i="14" s="1"/>
  <c r="BS10" i="14"/>
  <c r="BS5" i="14"/>
  <c r="CQ8" i="14"/>
  <c r="CQ10" i="14"/>
  <c r="CQ7" i="14"/>
  <c r="CQ5" i="14"/>
  <c r="CQ3" i="14"/>
  <c r="CU7" i="14"/>
  <c r="CJ5" i="14"/>
  <c r="CK5" i="14" s="1"/>
  <c r="CJ7" i="14"/>
  <c r="CK7" i="14" s="1"/>
  <c r="AK3" i="14"/>
  <c r="AL3" i="14" s="1"/>
  <c r="CJ3" i="14"/>
  <c r="CK3" i="14" s="1"/>
  <c r="CJ8" i="14"/>
  <c r="CK8" i="14" s="1"/>
  <c r="CJ6" i="14"/>
  <c r="CK6" i="14" s="1"/>
  <c r="CJ4" i="14"/>
  <c r="CU8" i="14"/>
  <c r="BF3" i="14"/>
  <c r="BZ3" i="14"/>
  <c r="BX10" i="14"/>
  <c r="BX3" i="14"/>
  <c r="BX5" i="14"/>
  <c r="BX6" i="14"/>
  <c r="BX8" i="14"/>
  <c r="BX7" i="14"/>
  <c r="BP8" i="14"/>
  <c r="CM8" i="14"/>
  <c r="AZ8" i="14"/>
  <c r="AQ3" i="14"/>
  <c r="CE7" i="14"/>
  <c r="CF7" i="14" s="1"/>
  <c r="CE10" i="14"/>
  <c r="CF10" i="14" s="1"/>
  <c r="CP4" i="14"/>
  <c r="CE3" i="14"/>
  <c r="CF3" i="14" s="1"/>
  <c r="DA3" i="14"/>
  <c r="AB3" i="14"/>
  <c r="CE5" i="14"/>
  <c r="CF5" i="14" s="1"/>
  <c r="BB7" i="14"/>
  <c r="BF8" i="14"/>
  <c r="CE6" i="14"/>
  <c r="CF6" i="14" s="1"/>
  <c r="CM3" i="14"/>
  <c r="BD8" i="14"/>
  <c r="CP6" i="14"/>
  <c r="AH8" i="14"/>
  <c r="BF5" i="14"/>
  <c r="CW7" i="14"/>
  <c r="BP7" i="14"/>
  <c r="AU8" i="14"/>
  <c r="V3" i="14"/>
  <c r="AJ5" i="14"/>
  <c r="AQ8" i="14"/>
  <c r="V6" i="14"/>
  <c r="CM7" i="14"/>
  <c r="BD7" i="14"/>
  <c r="BZ8" i="14"/>
  <c r="AJ8" i="14"/>
  <c r="AS10" i="14"/>
  <c r="BB3" i="14"/>
  <c r="DA8" i="14"/>
  <c r="BZ7" i="14"/>
  <c r="CY8" i="14"/>
  <c r="BZ5" i="14"/>
  <c r="AF5" i="14"/>
  <c r="CM10" i="14"/>
  <c r="BD6" i="14"/>
  <c r="AU6" i="14"/>
  <c r="BP5" i="14"/>
  <c r="BW8" i="14"/>
  <c r="BV8" i="14" s="1"/>
  <c r="CS5" i="14"/>
  <c r="X10" i="14"/>
  <c r="BD5" i="14"/>
  <c r="BA8" i="14"/>
  <c r="BN8" i="14" s="1"/>
  <c r="CY10" i="14"/>
  <c r="BW7" i="14"/>
  <c r="BV7" i="14" s="1"/>
  <c r="R6" i="14"/>
  <c r="BB10" i="14"/>
  <c r="CY7" i="14"/>
  <c r="CW5" i="14"/>
  <c r="AS8" i="14"/>
  <c r="BG7" i="14"/>
  <c r="V10" i="14"/>
  <c r="BF6" i="14"/>
  <c r="CY3" i="14"/>
  <c r="AF8" i="14"/>
  <c r="AS6" i="14"/>
  <c r="CW3" i="14"/>
  <c r="CD5" i="14"/>
  <c r="CS8" i="14"/>
  <c r="X8" i="14"/>
  <c r="CU3" i="14"/>
  <c r="BK8" i="14"/>
  <c r="BL8" i="14" s="1"/>
  <c r="BM8" i="14" s="1"/>
  <c r="BZ6" i="14"/>
  <c r="AK7" i="14"/>
  <c r="AL7" i="14" s="1"/>
  <c r="CS3" i="14"/>
  <c r="AV5" i="14"/>
  <c r="AW5" i="14" s="1"/>
  <c r="DA7" i="14"/>
  <c r="DA6" i="14"/>
  <c r="AF6" i="14"/>
  <c r="CY6" i="14"/>
  <c r="AB6" i="14"/>
  <c r="CW6" i="14"/>
  <c r="X6" i="14"/>
  <c r="V7" i="14"/>
  <c r="BD3" i="14"/>
  <c r="R3" i="14"/>
  <c r="BW5" i="14"/>
  <c r="BV5" i="14" s="1"/>
  <c r="CU6" i="14"/>
  <c r="CS6" i="14"/>
  <c r="BB6" i="14"/>
  <c r="AK6" i="14"/>
  <c r="AL6" i="14" s="1"/>
  <c r="S7" i="14"/>
  <c r="R7" i="14"/>
  <c r="AJ7" i="14"/>
  <c r="BG10" i="14"/>
  <c r="Y7" i="14"/>
  <c r="Z7" i="14" s="1"/>
  <c r="AV10" i="14"/>
  <c r="AW10" i="14" s="1"/>
  <c r="AK8" i="14"/>
  <c r="AL8" i="14" s="1"/>
  <c r="AB8" i="14"/>
  <c r="AJ3" i="14"/>
  <c r="CU5" i="14"/>
  <c r="BB5" i="14"/>
  <c r="V8" i="14"/>
  <c r="AZ5" i="14"/>
  <c r="X5" i="14"/>
  <c r="S8" i="14"/>
  <c r="BA6" i="14"/>
  <c r="BN6" i="14" s="1"/>
  <c r="AZ7" i="14"/>
  <c r="BD10" i="14"/>
  <c r="CD3" i="14"/>
  <c r="AH3" i="14"/>
  <c r="S5" i="14"/>
  <c r="BB8" i="14"/>
  <c r="AS7" i="14"/>
  <c r="R8" i="14"/>
  <c r="AU5" i="14"/>
  <c r="R5" i="14"/>
  <c r="Z10" i="14"/>
  <c r="CM5" i="14"/>
  <c r="AS5" i="14"/>
  <c r="BG8" i="14"/>
  <c r="AV6" i="14"/>
  <c r="AW6" i="14" s="1"/>
  <c r="BZ10" i="14"/>
  <c r="X3" i="14"/>
  <c r="BW6" i="14"/>
  <c r="BV6" i="14" s="1"/>
  <c r="DA10" i="14"/>
  <c r="AU10" i="14"/>
  <c r="V5" i="14"/>
  <c r="BF10" i="14"/>
  <c r="BA5" i="14"/>
  <c r="BN5" i="14" s="1"/>
  <c r="BW10" i="14"/>
  <c r="BV10" i="14" s="1"/>
  <c r="BA3" i="14"/>
  <c r="BN3" i="14" s="1"/>
  <c r="BG5" i="14"/>
  <c r="AO5" i="14"/>
  <c r="CW10" i="14"/>
  <c r="BW3" i="14"/>
  <c r="BV3" i="14" s="1"/>
  <c r="S3" i="14"/>
  <c r="CU10" i="14"/>
  <c r="AV3" i="14"/>
  <c r="AW3" i="14" s="1"/>
  <c r="DA5" i="14"/>
  <c r="Y8" i="14"/>
  <c r="Z8" i="14" s="1"/>
  <c r="CS10" i="14"/>
  <c r="AK10" i="14"/>
  <c r="AL10" i="14" s="1"/>
  <c r="CY5" i="14"/>
  <c r="AH5" i="14"/>
  <c r="AH6" i="14"/>
  <c r="BM5" i="14"/>
  <c r="CG5" i="14"/>
  <c r="AB5" i="14"/>
  <c r="AB10" i="14"/>
  <c r="AC10" i="14"/>
  <c r="Y5" i="14"/>
  <c r="Z5" i="14" s="1"/>
  <c r="CG10" i="14"/>
  <c r="BA10" i="14"/>
  <c r="BN10" i="14" s="1"/>
  <c r="AU3" i="14"/>
  <c r="CG6" i="14"/>
  <c r="BP10" i="14"/>
  <c r="AZ10" i="14"/>
  <c r="AJ10" i="14"/>
  <c r="S10" i="14"/>
  <c r="BP6" i="14"/>
  <c r="AZ6" i="14"/>
  <c r="AJ6" i="14"/>
  <c r="S6" i="14"/>
  <c r="R10" i="14"/>
  <c r="AS3" i="14"/>
  <c r="AF7" i="14"/>
  <c r="AH7" i="14"/>
  <c r="CD7" i="14"/>
  <c r="AO7" i="14"/>
  <c r="CD10" i="14"/>
  <c r="AH10" i="14"/>
  <c r="AV8" i="14"/>
  <c r="AW8" i="14" s="1"/>
  <c r="BG3" i="14"/>
  <c r="AK5" i="14"/>
  <c r="AL5" i="14" s="1"/>
  <c r="BF7" i="14"/>
  <c r="AO3" i="14"/>
  <c r="AB7" i="14"/>
  <c r="Y3" i="14"/>
  <c r="Z3" i="14" s="1"/>
  <c r="AQ10" i="14"/>
  <c r="CG3" i="14"/>
  <c r="AO8" i="14"/>
  <c r="CM6" i="14"/>
  <c r="BG6" i="14"/>
  <c r="AQ6" i="14"/>
  <c r="CS7" i="14"/>
  <c r="X7" i="14"/>
  <c r="BP3" i="14"/>
  <c r="AZ3" i="14"/>
  <c r="Y6" i="14"/>
  <c r="AU7" i="14"/>
  <c r="AO10" i="14"/>
  <c r="AO6" i="14"/>
  <c r="AV7" i="14"/>
  <c r="AW7" i="14" s="1"/>
  <c r="CG7" i="14"/>
  <c r="BA7" i="14"/>
  <c r="BN7" i="14" s="1"/>
  <c r="BJ3" i="11"/>
  <c r="W3" i="11"/>
  <c r="AZ3" i="11"/>
  <c r="AN3" i="11"/>
  <c r="AL3" i="11"/>
  <c r="AG3" i="11"/>
  <c r="BP3" i="11"/>
  <c r="CN3" i="11"/>
  <c r="CX3" i="11"/>
  <c r="BN3" i="11"/>
  <c r="CU3" i="11"/>
  <c r="CJ3" i="11"/>
  <c r="AV3" i="11"/>
  <c r="AU3" i="11" s="1"/>
  <c r="BS10" i="11"/>
  <c r="X3" i="11"/>
  <c r="BN10" i="11"/>
  <c r="BS3" i="11"/>
  <c r="CG3" i="11"/>
  <c r="T3" i="11"/>
  <c r="R3" i="11"/>
  <c r="AG10" i="11"/>
  <c r="BT3" i="11"/>
  <c r="CK3" i="11" s="1"/>
  <c r="AE3" i="11"/>
  <c r="AZ10" i="11"/>
  <c r="AJ3" i="11"/>
  <c r="AI3" i="11"/>
  <c r="BC3" i="11"/>
  <c r="BB3" i="11"/>
  <c r="AD3" i="11"/>
  <c r="AT3" i="11"/>
  <c r="BZ3" i="11"/>
  <c r="K3" i="11"/>
  <c r="BV3" i="11"/>
  <c r="CE3" i="11"/>
  <c r="CV3" i="11"/>
  <c r="BL3" i="11"/>
  <c r="AO3" i="11"/>
  <c r="BI3" i="11"/>
  <c r="BG3" i="11"/>
  <c r="CS3" i="11"/>
  <c r="CA3" i="11"/>
  <c r="BE3" i="11"/>
  <c r="BX3" i="11"/>
  <c r="BP10" i="11"/>
  <c r="W10" i="11"/>
  <c r="CN10" i="11"/>
  <c r="BE10" i="11"/>
  <c r="BX10" i="11"/>
  <c r="CS10" i="11"/>
  <c r="BI10" i="11"/>
  <c r="CG10" i="11"/>
  <c r="BV10" i="11"/>
  <c r="BC10" i="11"/>
  <c r="X10" i="11"/>
  <c r="BZ10" i="11"/>
  <c r="AO10" i="11"/>
  <c r="R10" i="11"/>
  <c r="AJ10" i="11"/>
  <c r="AD10" i="11"/>
  <c r="BG10" i="11"/>
  <c r="BJ10" i="11"/>
  <c r="AV10" i="11"/>
  <c r="AW10" i="11" s="1"/>
  <c r="CU10" i="11"/>
  <c r="AI10" i="11"/>
  <c r="CA10" i="11"/>
  <c r="AL10" i="11"/>
  <c r="BB10" i="11"/>
  <c r="CX10" i="11"/>
  <c r="BT10" i="11"/>
  <c r="CK10" i="11" s="1"/>
  <c r="CO10" i="11" s="1"/>
  <c r="AE10" i="11"/>
  <c r="CJ10" i="11"/>
  <c r="AT10" i="11"/>
  <c r="CE10" i="11"/>
  <c r="AN10" i="11"/>
  <c r="BL10" i="11"/>
  <c r="T10" i="11"/>
  <c r="R11" i="17"/>
  <c r="AK11" i="17" s="1"/>
  <c r="V11" i="17"/>
  <c r="AH5" i="17"/>
  <c r="V6" i="17"/>
  <c r="AC10" i="17"/>
  <c r="AL6" i="17"/>
  <c r="BN5" i="17"/>
  <c r="R5" i="17"/>
  <c r="AK5" i="17" s="1"/>
  <c r="CI6" i="17"/>
  <c r="BJ11" i="17"/>
  <c r="BH11" i="17"/>
  <c r="BN11" i="17"/>
  <c r="BJ5" i="17"/>
  <c r="CA2" i="17"/>
  <c r="BS2" i="17"/>
  <c r="AQ11" i="17"/>
  <c r="BX11" i="17"/>
  <c r="BP10" i="17"/>
  <c r="BN10" i="17"/>
  <c r="X5" i="17"/>
  <c r="X10" i="17"/>
  <c r="AS2" i="17"/>
  <c r="BX2" i="17"/>
  <c r="AF2" i="17"/>
  <c r="BZ11" i="17"/>
  <c r="AS11" i="17"/>
  <c r="AO2" i="17"/>
  <c r="BB5" i="17"/>
  <c r="O10" i="17"/>
  <c r="BV11" i="17"/>
  <c r="AO11" i="17"/>
  <c r="CI2" i="17"/>
  <c r="BQ2" i="17"/>
  <c r="AE2" i="17"/>
  <c r="AS10" i="17"/>
  <c r="BZ10" i="17"/>
  <c r="AI10" i="17"/>
  <c r="CA10" i="17"/>
  <c r="AO10" i="17"/>
  <c r="AA11" i="17"/>
  <c r="S6" i="17"/>
  <c r="T6" i="17" s="1"/>
  <c r="AS6" i="17"/>
  <c r="BN2" i="17"/>
  <c r="BV6" i="17"/>
  <c r="BS11" i="17"/>
  <c r="AM11" i="17"/>
  <c r="AS5" i="17"/>
  <c r="BP11" i="17"/>
  <c r="AH11" i="17"/>
  <c r="Z6" i="17"/>
  <c r="BJ6" i="17"/>
  <c r="AE5" i="17"/>
  <c r="AF5" i="17"/>
  <c r="CD10" i="17"/>
  <c r="AT10" i="17"/>
  <c r="AL10" i="17"/>
  <c r="AU10" i="17"/>
  <c r="CI10" i="17"/>
  <c r="V10" i="17"/>
  <c r="BP2" i="17"/>
  <c r="X6" i="17"/>
  <c r="S11" i="17"/>
  <c r="T11" i="17" s="1"/>
  <c r="AQ5" i="17"/>
  <c r="CD6" i="17"/>
  <c r="U6" i="17"/>
  <c r="O2" i="17"/>
  <c r="AQ6" i="17"/>
  <c r="CD2" i="17"/>
  <c r="AO6" i="17"/>
  <c r="BQ5" i="17"/>
  <c r="BQ11" i="17"/>
  <c r="AH10" i="17"/>
  <c r="BS6" i="17"/>
  <c r="AM6" i="17"/>
  <c r="S10" i="17"/>
  <c r="T10" i="17" s="1"/>
  <c r="BQ10" i="17"/>
  <c r="AM10" i="17"/>
  <c r="BH10" i="17"/>
  <c r="AA10" i="17"/>
  <c r="Z10" i="17"/>
  <c r="BS10" i="17"/>
  <c r="U10" i="17"/>
  <c r="BF2" i="17"/>
  <c r="BC2" i="17"/>
  <c r="BD2" i="17" s="1"/>
  <c r="O6" i="17"/>
  <c r="AW5" i="17"/>
  <c r="CI5" i="17"/>
  <c r="CI11" i="17"/>
  <c r="AM2" i="17"/>
  <c r="BH6" i="17"/>
  <c r="AL2" i="17"/>
  <c r="AH6" i="17"/>
  <c r="BH5" i="17"/>
  <c r="AI2" i="17"/>
  <c r="AW6" i="17"/>
  <c r="AL11" i="17"/>
  <c r="O11" i="17"/>
  <c r="BB6" i="17"/>
  <c r="AE6" i="17"/>
  <c r="BC5" i="17"/>
  <c r="BD5" i="17" s="1"/>
  <c r="AC5" i="17"/>
  <c r="CD11" i="17"/>
  <c r="AI11" i="17"/>
  <c r="BJ2" i="17"/>
  <c r="BZ6" i="17"/>
  <c r="CD5" i="17"/>
  <c r="CA11" i="17"/>
  <c r="BH2" i="17"/>
  <c r="BX6" i="17"/>
  <c r="AC6" i="17"/>
  <c r="BZ5" i="17"/>
  <c r="AA5" i="17"/>
  <c r="AC2" i="17"/>
  <c r="Z5" i="17"/>
  <c r="AE11" i="17"/>
  <c r="BZ2" i="17"/>
  <c r="AA6" i="17"/>
  <c r="BV5" i="17"/>
  <c r="AC11" i="17"/>
  <c r="AU6" i="17"/>
  <c r="BS5" i="17"/>
  <c r="Z11" i="17"/>
  <c r="S2" i="17"/>
  <c r="T2" i="17" s="1"/>
  <c r="BQ6" i="17"/>
  <c r="BP5" i="17"/>
  <c r="X11" i="17"/>
  <c r="BP6" i="17"/>
  <c r="AT5" i="17"/>
  <c r="S5" i="17"/>
  <c r="T5" i="17" s="1"/>
  <c r="U11" i="17"/>
  <c r="AU2" i="17"/>
  <c r="BN6" i="17"/>
  <c r="AM5" i="17"/>
  <c r="AT11" i="17"/>
  <c r="AE10" i="17"/>
  <c r="AF10" i="17"/>
  <c r="BJ10" i="17"/>
  <c r="AQ10" i="17"/>
  <c r="BX10" i="17"/>
  <c r="BV10" i="17"/>
  <c r="R10" i="17"/>
  <c r="AK10" i="17" s="1"/>
  <c r="AW10" i="17"/>
  <c r="BC10" i="17"/>
  <c r="BD10" i="17" s="1"/>
  <c r="BB10" i="17"/>
  <c r="N10" i="17"/>
  <c r="X2" i="17"/>
  <c r="AA2" i="17"/>
  <c r="BB2" i="17"/>
  <c r="V2" i="17"/>
  <c r="U2" i="17"/>
  <c r="BX5" i="17"/>
  <c r="CA5" i="17"/>
  <c r="CA6" i="17"/>
  <c r="AT6" i="17"/>
  <c r="AH2" i="17"/>
  <c r="R2" i="17"/>
  <c r="AK2" i="17" s="1"/>
  <c r="AW2" i="17"/>
  <c r="AT2" i="17"/>
  <c r="BC6" i="17"/>
  <c r="BD6" i="17" s="1"/>
  <c r="R6" i="17"/>
  <c r="AK6" i="17" s="1"/>
  <c r="AI6" i="17"/>
  <c r="BB11" i="17"/>
  <c r="BC11" i="17"/>
  <c r="BD11" i="17" s="1"/>
  <c r="BF11" i="17"/>
  <c r="AQ2" i="17"/>
  <c r="BV2" i="17"/>
  <c r="Z2" i="17"/>
  <c r="AF6" i="17"/>
  <c r="BF5" i="17"/>
  <c r="AO5" i="17"/>
  <c r="AW11" i="17"/>
  <c r="AL5" i="17"/>
  <c r="V5" i="17"/>
  <c r="AF11" i="17"/>
  <c r="U5" i="17"/>
  <c r="AU11" i="17"/>
  <c r="AI5" i="17"/>
  <c r="AU5" i="17"/>
  <c r="O5" i="17"/>
  <c r="CQ11" i="6"/>
  <c r="AQ5" i="6"/>
  <c r="BV10" i="6"/>
  <c r="AL10" i="6"/>
  <c r="CF11" i="6"/>
  <c r="AX11" i="6"/>
  <c r="CO11" i="6"/>
  <c r="BZ10" i="6"/>
  <c r="AQ10" i="6"/>
  <c r="X11" i="6"/>
  <c r="AO5" i="6"/>
  <c r="AE4" i="6"/>
  <c r="BF11" i="6"/>
  <c r="V11" i="6"/>
  <c r="CH11" i="6"/>
  <c r="CJ11" i="6" s="1"/>
  <c r="CK11" i="6" s="1"/>
  <c r="Q4" i="6"/>
  <c r="R4" i="6" s="1"/>
  <c r="CD11" i="6"/>
  <c r="BV11" i="6"/>
  <c r="BX6" i="6"/>
  <c r="AO6" i="6"/>
  <c r="BX2" i="6"/>
  <c r="AQ2" i="6"/>
  <c r="BV6" i="6"/>
  <c r="AQ6" i="6"/>
  <c r="Q5" i="6"/>
  <c r="R5" i="6" s="1"/>
  <c r="AS6" i="6"/>
  <c r="BZ6" i="6"/>
  <c r="DC6" i="6"/>
  <c r="DC2" i="6"/>
  <c r="BN6" i="6"/>
  <c r="AO10" i="6"/>
  <c r="BX5" i="6"/>
  <c r="CY6" i="6"/>
  <c r="CD6" i="6"/>
  <c r="CU6" i="6"/>
  <c r="BT10" i="6"/>
  <c r="CU2" i="6"/>
  <c r="V6" i="6"/>
  <c r="AL5" i="6"/>
  <c r="DC10" i="6"/>
  <c r="V2" i="6"/>
  <c r="CZ10" i="6"/>
  <c r="CH6" i="6"/>
  <c r="CR6" i="6" s="1"/>
  <c r="BA6" i="6"/>
  <c r="CH2" i="6"/>
  <c r="AX6" i="6"/>
  <c r="BR4" i="6"/>
  <c r="AV6" i="6"/>
  <c r="CD5" i="6"/>
  <c r="AE10" i="6"/>
  <c r="AT4" i="6"/>
  <c r="DC5" i="6"/>
  <c r="BT5" i="6"/>
  <c r="BL6" i="6"/>
  <c r="AT11" i="6"/>
  <c r="AQ11" i="6"/>
  <c r="BN5" i="6"/>
  <c r="CQ5" i="6"/>
  <c r="CZ4" i="6"/>
  <c r="CN5" i="6"/>
  <c r="AL11" i="6"/>
  <c r="Q6" i="6"/>
  <c r="R6" i="6" s="1"/>
  <c r="CY4" i="6"/>
  <c r="BN4" i="6"/>
  <c r="AH11" i="6"/>
  <c r="CU11" i="6"/>
  <c r="BK11" i="6"/>
  <c r="CB2" i="6"/>
  <c r="CH5" i="6"/>
  <c r="T5" i="6"/>
  <c r="BL2" i="6"/>
  <c r="CY10" i="6"/>
  <c r="AM2" i="6"/>
  <c r="BN10" i="6"/>
  <c r="CQ10" i="6"/>
  <c r="BK10" i="6"/>
  <c r="AJ10" i="6"/>
  <c r="BK5" i="6"/>
  <c r="CN10" i="6"/>
  <c r="AE2" i="6"/>
  <c r="BL5" i="6"/>
  <c r="AJ5" i="6"/>
  <c r="BL10" i="6"/>
  <c r="AF10" i="6"/>
  <c r="CF5" i="6"/>
  <c r="AH5" i="6"/>
  <c r="BF10" i="6"/>
  <c r="CO2" i="6"/>
  <c r="BF5" i="6"/>
  <c r="BX11" i="6"/>
  <c r="AV11" i="6"/>
  <c r="AL6" i="6"/>
  <c r="BD5" i="6"/>
  <c r="AE5" i="6"/>
  <c r="CQ6" i="6"/>
  <c r="BK6" i="6"/>
  <c r="CF10" i="6"/>
  <c r="X10" i="6"/>
  <c r="Z5" i="6"/>
  <c r="CN6" i="6"/>
  <c r="CD10" i="6"/>
  <c r="V10" i="6"/>
  <c r="BZ5" i="6"/>
  <c r="X5" i="6"/>
  <c r="AE11" i="6"/>
  <c r="AO11" i="6"/>
  <c r="AE6" i="6"/>
  <c r="BA10" i="6"/>
  <c r="T10" i="6"/>
  <c r="AY2" i="6"/>
  <c r="BA5" i="6"/>
  <c r="V5" i="6"/>
  <c r="CZ5" i="6"/>
  <c r="CY11" i="6"/>
  <c r="AJ11" i="6"/>
  <c r="BF6" i="6"/>
  <c r="BX10" i="6"/>
  <c r="AV10" i="6"/>
  <c r="Q10" i="6"/>
  <c r="R10" i="6" s="1"/>
  <c r="CY5" i="6"/>
  <c r="BV5" i="6"/>
  <c r="AV5" i="6"/>
  <c r="CF6" i="6"/>
  <c r="X6" i="6"/>
  <c r="AS10" i="6"/>
  <c r="CU5" i="6"/>
  <c r="BR5" i="6"/>
  <c r="AS5" i="6"/>
  <c r="AY5" i="6"/>
  <c r="BD6" i="6"/>
  <c r="AF6" i="6"/>
  <c r="CO10" i="6"/>
  <c r="AS11" i="6"/>
  <c r="CH10" i="6"/>
  <c r="CJ10" i="6" s="1"/>
  <c r="CK10" i="6" s="1"/>
  <c r="AF2" i="6"/>
  <c r="CN11" i="6"/>
  <c r="CZ6" i="6"/>
  <c r="BD2" i="6"/>
  <c r="BN11" i="6"/>
  <c r="Q11" i="6"/>
  <c r="R11" i="6" s="1"/>
  <c r="Z6" i="6"/>
  <c r="AS4" i="6"/>
  <c r="X2" i="6"/>
  <c r="T6" i="6"/>
  <c r="BT4" i="6"/>
  <c r="AV2" i="6"/>
  <c r="BD10" i="6"/>
  <c r="DC4" i="6"/>
  <c r="AM4" i="6"/>
  <c r="Q2" i="6"/>
  <c r="R2" i="6" s="1"/>
  <c r="BG11" i="6"/>
  <c r="AM11" i="6"/>
  <c r="CA5" i="6"/>
  <c r="CB5" i="6" s="1"/>
  <c r="CU10" i="6"/>
  <c r="Z10" i="6"/>
  <c r="CU4" i="6"/>
  <c r="BL4" i="6"/>
  <c r="CZ11" i="6"/>
  <c r="CA11" i="6"/>
  <c r="CB11" i="6" s="1"/>
  <c r="AF11" i="6"/>
  <c r="CO6" i="6"/>
  <c r="BR10" i="6"/>
  <c r="CZ2" i="6"/>
  <c r="AL2" i="6"/>
  <c r="AX5" i="6"/>
  <c r="AF5" i="6"/>
  <c r="AA4" i="6"/>
  <c r="AB4" i="6" s="1"/>
  <c r="BS2" i="6"/>
  <c r="BT2" i="6" s="1"/>
  <c r="BR11" i="6"/>
  <c r="AA2" i="6"/>
  <c r="AB2" i="6" s="1"/>
  <c r="CA6" i="6"/>
  <c r="CB6" i="6" s="1"/>
  <c r="AH6" i="6"/>
  <c r="AQ4" i="6"/>
  <c r="CR2" i="6"/>
  <c r="CJ2" i="6"/>
  <c r="CK2" i="6" s="1"/>
  <c r="BI4" i="6"/>
  <c r="BZ4" i="6"/>
  <c r="BK4" i="6"/>
  <c r="AV4" i="6"/>
  <c r="T4" i="6"/>
  <c r="AJ4" i="6"/>
  <c r="CF4" i="6"/>
  <c r="V4" i="6"/>
  <c r="AL4" i="6"/>
  <c r="CH4" i="6"/>
  <c r="X4" i="6"/>
  <c r="BD4" i="6"/>
  <c r="AO4" i="6"/>
  <c r="AX10" i="6"/>
  <c r="AY10" i="6"/>
  <c r="AY6" i="6"/>
  <c r="CQ4" i="6"/>
  <c r="CB4" i="6"/>
  <c r="CN4" i="6"/>
  <c r="CO4" i="6"/>
  <c r="Z11" i="6"/>
  <c r="AA11" i="6"/>
  <c r="AB11" i="6" s="1"/>
  <c r="AA5" i="6"/>
  <c r="AB5" i="6" s="1"/>
  <c r="AA6" i="6"/>
  <c r="AB6" i="6" s="1"/>
  <c r="BF4" i="6"/>
  <c r="AS2" i="6"/>
  <c r="AT2" i="6"/>
  <c r="Z4" i="6"/>
  <c r="AT6" i="6"/>
  <c r="AH10" i="6"/>
  <c r="AM10" i="6"/>
  <c r="CA10" i="6"/>
  <c r="CB10" i="6" s="1"/>
  <c r="CD4" i="6"/>
  <c r="BA4" i="6"/>
  <c r="BL11" i="6"/>
  <c r="BX4" i="6"/>
  <c r="AX4" i="6"/>
  <c r="BI2" i="6"/>
  <c r="BZ2" i="6"/>
  <c r="BK2" i="6"/>
  <c r="CQ2" i="6"/>
  <c r="AH2" i="6"/>
  <c r="AX2" i="6"/>
  <c r="BN2" i="6"/>
  <c r="CD2" i="6"/>
  <c r="T2" i="6"/>
  <c r="AJ2" i="6"/>
  <c r="CF2" i="6"/>
  <c r="BA2" i="6"/>
  <c r="CY2" i="6"/>
  <c r="AO2" i="6"/>
  <c r="Z2" i="6"/>
  <c r="BF2" i="6"/>
  <c r="BV2" i="6"/>
  <c r="AJ6" i="6"/>
  <c r="AM6" i="6"/>
  <c r="BV4" i="6"/>
  <c r="CN2" i="6"/>
  <c r="AY11" i="6"/>
  <c r="BS6" i="6"/>
  <c r="BT6" i="6" s="1"/>
  <c r="AT10" i="6"/>
  <c r="BG10" i="6"/>
  <c r="AA10" i="6"/>
  <c r="AB10" i="6" s="1"/>
  <c r="AY4" i="6"/>
  <c r="AH4" i="6"/>
  <c r="AF4" i="6"/>
  <c r="AT5" i="6"/>
  <c r="BI5" i="6"/>
  <c r="Z9" i="6"/>
  <c r="BV9" i="6"/>
  <c r="BZ9" i="6"/>
  <c r="BS9" i="6"/>
  <c r="BT9" i="6" s="1"/>
  <c r="BS8" i="6"/>
  <c r="BS3" i="6"/>
  <c r="BS7" i="6"/>
  <c r="AF9" i="6"/>
  <c r="BD9" i="6"/>
  <c r="BF9" i="6"/>
  <c r="BX9" i="6"/>
  <c r="DC9" i="6"/>
  <c r="CY9" i="6"/>
  <c r="BL9" i="6"/>
  <c r="AX9" i="6"/>
  <c r="CD9" i="6"/>
  <c r="AS9" i="6"/>
  <c r="AQ9" i="6"/>
  <c r="AM9" i="6"/>
  <c r="AE9" i="6"/>
  <c r="Q9" i="6"/>
  <c r="R9" i="6" s="1"/>
  <c r="CQ9" i="6"/>
  <c r="CO9" i="6"/>
  <c r="X9" i="6"/>
  <c r="T9" i="6"/>
  <c r="AV9" i="6"/>
  <c r="AY9" i="6"/>
  <c r="CU9" i="6"/>
  <c r="CH9" i="6"/>
  <c r="CJ9" i="6" s="1"/>
  <c r="CK9" i="6" s="1"/>
  <c r="CZ9" i="6"/>
  <c r="BA9" i="6"/>
  <c r="V9" i="6"/>
  <c r="AL9" i="6"/>
  <c r="BI9" i="6"/>
  <c r="AO9" i="6"/>
  <c r="BK9" i="6"/>
  <c r="CN9" i="6"/>
  <c r="AJ9" i="6"/>
  <c r="AH9" i="6"/>
  <c r="BN9" i="6"/>
  <c r="CF9" i="6"/>
  <c r="AA9" i="6"/>
  <c r="AB9" i="6" s="1"/>
  <c r="CA9" i="6"/>
  <c r="CB9" i="6" s="1"/>
  <c r="AT9" i="6"/>
  <c r="CO4" i="14"/>
  <c r="CN4" i="14"/>
  <c r="CL4" i="14"/>
  <c r="B7" i="6"/>
  <c r="C7" i="6"/>
  <c r="D7" i="6"/>
  <c r="E7" i="6"/>
  <c r="F7" i="6"/>
  <c r="G7" i="6"/>
  <c r="I7" i="6"/>
  <c r="K7" i="6"/>
  <c r="BD7" i="6" s="1"/>
  <c r="L7" i="6"/>
  <c r="M7" i="6" s="1"/>
  <c r="N7" i="6"/>
  <c r="O7" i="6"/>
  <c r="P7" i="6"/>
  <c r="S7" i="6"/>
  <c r="AC7" i="6"/>
  <c r="AD7" i="6"/>
  <c r="AG7" i="6"/>
  <c r="CA7" i="6" s="1"/>
  <c r="AI7" i="6"/>
  <c r="AK7" i="6"/>
  <c r="AN7" i="6"/>
  <c r="AP7" i="6"/>
  <c r="AR7" i="6"/>
  <c r="AU7" i="6"/>
  <c r="AW7" i="6"/>
  <c r="AZ7" i="6"/>
  <c r="BB7" i="6"/>
  <c r="BH7" i="6"/>
  <c r="BJ7" i="6"/>
  <c r="BM7" i="6"/>
  <c r="BO7" i="6"/>
  <c r="BP7" i="6"/>
  <c r="BW7" i="6"/>
  <c r="CC7" i="6"/>
  <c r="CE7" i="6"/>
  <c r="CG7" i="6"/>
  <c r="CI7" i="6"/>
  <c r="CL7" i="6"/>
  <c r="CM7" i="6"/>
  <c r="CP7" i="6"/>
  <c r="CT7" i="6"/>
  <c r="CX7" i="6"/>
  <c r="DA7" i="6"/>
  <c r="DB7" i="6"/>
  <c r="DD7" i="6"/>
  <c r="DE7" i="6"/>
  <c r="B8" i="6"/>
  <c r="C8" i="6"/>
  <c r="D8" i="6"/>
  <c r="E8" i="6"/>
  <c r="F8" i="6"/>
  <c r="G8" i="6"/>
  <c r="I8" i="6"/>
  <c r="K8" i="6"/>
  <c r="L8" i="6"/>
  <c r="M8" i="6" s="1"/>
  <c r="N8" i="6"/>
  <c r="O8" i="6"/>
  <c r="P8" i="6"/>
  <c r="S8" i="6"/>
  <c r="AC8" i="6"/>
  <c r="AD8" i="6"/>
  <c r="AG8" i="6"/>
  <c r="AI8" i="6"/>
  <c r="AK8" i="6"/>
  <c r="AN8" i="6"/>
  <c r="AP8" i="6"/>
  <c r="AR8" i="6"/>
  <c r="AU8" i="6"/>
  <c r="AW8" i="6"/>
  <c r="AZ8" i="6"/>
  <c r="BB8" i="6"/>
  <c r="BH8" i="6"/>
  <c r="BJ8" i="6"/>
  <c r="BM8" i="6"/>
  <c r="BO8" i="6"/>
  <c r="BP8" i="6"/>
  <c r="BW8" i="6"/>
  <c r="BY8" i="6"/>
  <c r="CC8" i="6"/>
  <c r="CE8" i="6"/>
  <c r="CG8" i="6"/>
  <c r="CI8" i="6"/>
  <c r="CL8" i="6"/>
  <c r="CM8" i="6"/>
  <c r="CP8" i="6"/>
  <c r="CT8" i="6"/>
  <c r="CX8" i="6"/>
  <c r="DA8" i="6"/>
  <c r="DB8" i="6"/>
  <c r="DD8" i="6"/>
  <c r="DE8" i="6"/>
  <c r="A2" i="6"/>
  <c r="A3" i="6"/>
  <c r="A4" i="6"/>
  <c r="A5" i="6"/>
  <c r="A6" i="6"/>
  <c r="A7" i="6"/>
  <c r="A8" i="6"/>
  <c r="A9" i="6"/>
  <c r="A10" i="6"/>
  <c r="A11" i="6"/>
  <c r="B3" i="6"/>
  <c r="C3" i="6"/>
  <c r="D3" i="6"/>
  <c r="E3" i="6"/>
  <c r="F3" i="6"/>
  <c r="G3" i="6"/>
  <c r="I3" i="6"/>
  <c r="K3" i="6"/>
  <c r="L3" i="6"/>
  <c r="M3" i="6" s="1"/>
  <c r="N3" i="6"/>
  <c r="O3" i="6"/>
  <c r="P3" i="6"/>
  <c r="S3" i="6"/>
  <c r="AC3" i="6"/>
  <c r="AD3" i="6"/>
  <c r="AG3" i="6"/>
  <c r="AI3" i="6"/>
  <c r="AK3" i="6"/>
  <c r="AN3" i="6"/>
  <c r="AP3" i="6"/>
  <c r="AR3" i="6"/>
  <c r="AU3" i="6"/>
  <c r="AW3" i="6"/>
  <c r="AZ3" i="6"/>
  <c r="BB3" i="6"/>
  <c r="BH3" i="6"/>
  <c r="BJ3" i="6"/>
  <c r="BM3" i="6"/>
  <c r="BO3" i="6"/>
  <c r="BP3" i="6"/>
  <c r="BW3" i="6"/>
  <c r="CC3" i="6"/>
  <c r="CE3" i="6"/>
  <c r="CG3" i="6"/>
  <c r="CI3" i="6"/>
  <c r="CL3" i="6"/>
  <c r="CM3" i="6"/>
  <c r="CP3" i="6"/>
  <c r="CT3" i="6"/>
  <c r="CX3" i="6"/>
  <c r="DA3" i="6"/>
  <c r="DB3" i="6"/>
  <c r="DD3" i="6"/>
  <c r="DE3" i="6"/>
  <c r="A8" i="15"/>
  <c r="A9" i="15"/>
  <c r="A10" i="15"/>
  <c r="A11" i="15"/>
  <c r="A12" i="15"/>
  <c r="A13" i="15"/>
  <c r="A14" i="15"/>
  <c r="A15" i="15"/>
  <c r="A16" i="15"/>
  <c r="AH13" i="15"/>
  <c r="B13" i="15"/>
  <c r="C13" i="15"/>
  <c r="D13" i="15"/>
  <c r="E13" i="15"/>
  <c r="H13" i="15"/>
  <c r="BY13" i="15" s="1"/>
  <c r="I13" i="15"/>
  <c r="J13" i="15" s="1"/>
  <c r="K13" i="15"/>
  <c r="L13" i="15"/>
  <c r="M13" i="15"/>
  <c r="O13" i="15"/>
  <c r="P13" i="15"/>
  <c r="AB13" i="15"/>
  <c r="AD13" i="15"/>
  <c r="AG13" i="15"/>
  <c r="AI13" i="15"/>
  <c r="AJ13" i="15"/>
  <c r="AK13" i="15"/>
  <c r="AL13" i="15"/>
  <c r="AP13" i="15"/>
  <c r="AR13" i="15"/>
  <c r="AS13" i="15"/>
  <c r="AW13" i="15"/>
  <c r="AX13" i="15"/>
  <c r="AY13" i="15"/>
  <c r="BC13" i="15"/>
  <c r="BE13" i="15"/>
  <c r="BG13" i="15"/>
  <c r="BK13" i="15"/>
  <c r="BL13" i="15"/>
  <c r="BM13" i="15"/>
  <c r="BO13" i="15"/>
  <c r="BQ13" i="15"/>
  <c r="BT13" i="15"/>
  <c r="BV13" i="15"/>
  <c r="CL13" i="15"/>
  <c r="CN13" i="15"/>
  <c r="CT13" i="15"/>
  <c r="DA13" i="15"/>
  <c r="DB13" i="15"/>
  <c r="DI13" i="15"/>
  <c r="DJ13" i="15"/>
  <c r="DO13" i="15"/>
  <c r="DP13" i="15"/>
  <c r="DX13" i="15"/>
  <c r="DY13" i="15"/>
  <c r="EA13" i="15"/>
  <c r="EC13" i="15"/>
  <c r="A2" i="15"/>
  <c r="A3" i="15"/>
  <c r="A4" i="15"/>
  <c r="A5" i="15"/>
  <c r="A6" i="15"/>
  <c r="A7" i="15"/>
  <c r="G8" i="15" l="1"/>
  <c r="G2" i="15"/>
  <c r="G14" i="15"/>
  <c r="G7" i="15"/>
  <c r="G11" i="15"/>
  <c r="G10" i="15"/>
  <c r="G5" i="15"/>
  <c r="G12" i="15"/>
  <c r="G4" i="15"/>
  <c r="G6" i="15"/>
  <c r="G15" i="15"/>
  <c r="G3" i="15"/>
  <c r="BE2" i="17"/>
  <c r="K6" i="16"/>
  <c r="BF7" i="2"/>
  <c r="W10" i="19"/>
  <c r="K7" i="2"/>
  <c r="BU3" i="10"/>
  <c r="BY3" i="10"/>
  <c r="CI3" i="10"/>
  <c r="CL3" i="10"/>
  <c r="CM3" i="10" s="1"/>
  <c r="DT3" i="10"/>
  <c r="BX3" i="10"/>
  <c r="K3" i="10"/>
  <c r="CE3" i="10"/>
  <c r="CC3" i="10"/>
  <c r="AF3" i="10"/>
  <c r="AG3" i="10"/>
  <c r="CL7" i="11"/>
  <c r="CO7" i="11"/>
  <c r="CL3" i="11"/>
  <c r="CO3" i="11"/>
  <c r="CL2" i="11"/>
  <c r="CO2" i="11"/>
  <c r="AU6" i="11"/>
  <c r="AU2" i="11"/>
  <c r="AU4" i="11"/>
  <c r="AW4" i="11"/>
  <c r="AO16" i="15"/>
  <c r="Z16" i="15"/>
  <c r="AA9" i="15"/>
  <c r="CA13" i="15"/>
  <c r="AA16" i="15"/>
  <c r="CK9" i="15"/>
  <c r="CQ9" i="15"/>
  <c r="CS9" i="15" s="1"/>
  <c r="G16" i="15"/>
  <c r="G9" i="15"/>
  <c r="CH16" i="15"/>
  <c r="CK16" i="15"/>
  <c r="CQ16" i="15"/>
  <c r="CS16" i="15" s="1"/>
  <c r="CM13" i="15"/>
  <c r="CO13" i="15"/>
  <c r="CJ13" i="15"/>
  <c r="CG13" i="15"/>
  <c r="CH13" i="15" s="1"/>
  <c r="DC13" i="15"/>
  <c r="DE13" i="15"/>
  <c r="DF13" i="15" s="1"/>
  <c r="DQ13" i="15"/>
  <c r="DR13" i="15"/>
  <c r="DU13" i="15"/>
  <c r="AC11" i="14"/>
  <c r="AK11" i="14"/>
  <c r="AL11" i="14" s="1"/>
  <c r="AK2" i="14"/>
  <c r="AL2" i="14" s="1"/>
  <c r="AC2" i="14"/>
  <c r="CG9" i="14"/>
  <c r="CH9" i="14" s="1"/>
  <c r="AB2" i="14"/>
  <c r="CE9" i="14"/>
  <c r="CF9" i="14" s="1"/>
  <c r="CG11" i="14"/>
  <c r="AK9" i="14"/>
  <c r="AL9" i="14" s="1"/>
  <c r="CH2" i="14"/>
  <c r="CI2" i="14"/>
  <c r="CE11" i="14"/>
  <c r="CF11" i="14" s="1"/>
  <c r="CG8" i="14"/>
  <c r="CH8" i="14" s="1"/>
  <c r="CE8" i="14"/>
  <c r="CF8" i="14" s="1"/>
  <c r="AC7" i="14"/>
  <c r="AC8" i="14"/>
  <c r="CH7" i="14"/>
  <c r="CI7" i="14"/>
  <c r="AC5" i="14"/>
  <c r="AC3" i="14"/>
  <c r="CI6" i="14"/>
  <c r="CH6" i="14"/>
  <c r="Z6" i="14"/>
  <c r="AC6" i="14"/>
  <c r="CH3" i="14"/>
  <c r="CI3" i="14"/>
  <c r="CH5" i="14"/>
  <c r="CI5" i="14"/>
  <c r="CI10" i="14"/>
  <c r="CH10" i="14"/>
  <c r="AW3" i="11"/>
  <c r="AU10" i="11"/>
  <c r="K10" i="11"/>
  <c r="CL10" i="11"/>
  <c r="BE11" i="17"/>
  <c r="BE10" i="17"/>
  <c r="AV2" i="17"/>
  <c r="AV6" i="17"/>
  <c r="AV5" i="17"/>
  <c r="AV11" i="17"/>
  <c r="BE5" i="17"/>
  <c r="BE6" i="17"/>
  <c r="AV10" i="17"/>
  <c r="CJ2" i="17"/>
  <c r="K5" i="17"/>
  <c r="CJ5" i="17"/>
  <c r="K10" i="17"/>
  <c r="K6" i="17"/>
  <c r="CJ11" i="17"/>
  <c r="K11" i="17"/>
  <c r="K2" i="17"/>
  <c r="CJ6" i="17"/>
  <c r="CJ10" i="17"/>
  <c r="CR11" i="6"/>
  <c r="CJ6" i="6"/>
  <c r="CK6" i="6" s="1"/>
  <c r="CR5" i="6"/>
  <c r="CJ5" i="6"/>
  <c r="CK5" i="6" s="1"/>
  <c r="J11" i="6"/>
  <c r="CR10" i="6"/>
  <c r="CS10" i="6" s="1"/>
  <c r="J10" i="6"/>
  <c r="J6" i="6"/>
  <c r="J4" i="6"/>
  <c r="J2" i="6"/>
  <c r="BK3" i="6"/>
  <c r="J5" i="6"/>
  <c r="CR4" i="6"/>
  <c r="CJ4" i="6"/>
  <c r="CK4" i="6" s="1"/>
  <c r="CV10" i="6"/>
  <c r="CW10" i="6"/>
  <c r="CS11" i="6"/>
  <c r="CV11" i="6"/>
  <c r="CW11" i="6"/>
  <c r="CS2" i="6"/>
  <c r="CV2" i="6"/>
  <c r="CW2" i="6"/>
  <c r="CV6" i="6"/>
  <c r="CW6" i="6"/>
  <c r="CS6" i="6"/>
  <c r="BV3" i="6"/>
  <c r="BD8" i="6"/>
  <c r="BV8" i="6"/>
  <c r="BV7" i="6"/>
  <c r="BZ3" i="6"/>
  <c r="BZ7" i="6"/>
  <c r="BT7" i="6"/>
  <c r="BT8" i="6"/>
  <c r="BT3" i="6"/>
  <c r="BD3" i="6"/>
  <c r="BF3" i="6"/>
  <c r="BF8" i="6"/>
  <c r="BF7" i="6"/>
  <c r="CD3" i="6"/>
  <c r="AS3" i="6"/>
  <c r="AS8" i="6"/>
  <c r="AM7" i="6"/>
  <c r="CF7" i="6"/>
  <c r="J9" i="6"/>
  <c r="CD7" i="6"/>
  <c r="AT7" i="6"/>
  <c r="CR9" i="6"/>
  <c r="AE8" i="6"/>
  <c r="BL8" i="6"/>
  <c r="AL7" i="6"/>
  <c r="CB7" i="6"/>
  <c r="T8" i="6"/>
  <c r="AF7" i="6"/>
  <c r="Z7" i="6"/>
  <c r="CU7" i="6"/>
  <c r="BN7" i="6"/>
  <c r="CQ7" i="6"/>
  <c r="CN7" i="6"/>
  <c r="DC8" i="6"/>
  <c r="CH7" i="6"/>
  <c r="CJ7" i="6" s="1"/>
  <c r="CK7" i="6" s="1"/>
  <c r="AA8" i="6"/>
  <c r="AB8" i="6" s="1"/>
  <c r="AM8" i="6"/>
  <c r="CU8" i="6"/>
  <c r="V8" i="6"/>
  <c r="BL7" i="6"/>
  <c r="CF8" i="6"/>
  <c r="AY8" i="6"/>
  <c r="Q8" i="6"/>
  <c r="R8" i="6" s="1"/>
  <c r="CD8" i="6"/>
  <c r="AT8" i="6"/>
  <c r="AQ7" i="6"/>
  <c r="AL8" i="6"/>
  <c r="AH8" i="6"/>
  <c r="AF8" i="6"/>
  <c r="AX8" i="6"/>
  <c r="AH7" i="6"/>
  <c r="BX8" i="6"/>
  <c r="AV8" i="6"/>
  <c r="CZ8" i="6"/>
  <c r="CY8" i="6"/>
  <c r="Z8" i="6"/>
  <c r="X8" i="6"/>
  <c r="BA7" i="6"/>
  <c r="AA7" i="6"/>
  <c r="AB7" i="6" s="1"/>
  <c r="AQ8" i="6"/>
  <c r="CQ8" i="6"/>
  <c r="AV7" i="6"/>
  <c r="CN8" i="6"/>
  <c r="BN8" i="6"/>
  <c r="DC7" i="6"/>
  <c r="BX7" i="6"/>
  <c r="AY7" i="6"/>
  <c r="V7" i="6"/>
  <c r="CZ7" i="6"/>
  <c r="CH8" i="6"/>
  <c r="CJ8" i="6" s="1"/>
  <c r="CK8" i="6" s="1"/>
  <c r="AS7" i="6"/>
  <c r="AE7" i="6"/>
  <c r="Q7" i="6"/>
  <c r="R7" i="6" s="1"/>
  <c r="BK7" i="6"/>
  <c r="J7" i="6"/>
  <c r="AO7" i="6"/>
  <c r="CA8" i="6"/>
  <c r="CB8" i="6" s="1"/>
  <c r="BK8" i="6"/>
  <c r="J8" i="6"/>
  <c r="CO7" i="6"/>
  <c r="BI7" i="6"/>
  <c r="X7" i="6"/>
  <c r="BZ8" i="6"/>
  <c r="AO8" i="6"/>
  <c r="CO8" i="6"/>
  <c r="BI8" i="6"/>
  <c r="AJ7" i="6"/>
  <c r="T7" i="6"/>
  <c r="BA8" i="6"/>
  <c r="AJ8" i="6"/>
  <c r="CY7" i="6"/>
  <c r="AX7" i="6"/>
  <c r="CF3" i="6"/>
  <c r="BI3" i="6"/>
  <c r="AQ3" i="6"/>
  <c r="BA3" i="6"/>
  <c r="Q3" i="6"/>
  <c r="R3" i="6" s="1"/>
  <c r="BX3" i="6"/>
  <c r="AO3" i="6"/>
  <c r="AL3" i="6"/>
  <c r="DC3" i="6"/>
  <c r="AE3" i="6"/>
  <c r="CY3" i="6"/>
  <c r="AX3" i="6"/>
  <c r="AV3" i="6"/>
  <c r="CU3" i="6"/>
  <c r="CQ3" i="6"/>
  <c r="V3" i="6"/>
  <c r="T3" i="6"/>
  <c r="CO3" i="6"/>
  <c r="AH3" i="6"/>
  <c r="Z3" i="6"/>
  <c r="BN3" i="6"/>
  <c r="X3" i="6"/>
  <c r="BL3" i="6"/>
  <c r="AF3" i="6"/>
  <c r="CA3" i="6"/>
  <c r="CB3" i="6" s="1"/>
  <c r="AY3" i="6"/>
  <c r="CN3" i="6"/>
  <c r="CH3" i="6"/>
  <c r="CJ3" i="6" s="1"/>
  <c r="CK3" i="6" s="1"/>
  <c r="AM3" i="6"/>
  <c r="AA3" i="6"/>
  <c r="AB3" i="6" s="1"/>
  <c r="AJ3" i="6"/>
  <c r="CZ3" i="6"/>
  <c r="AT3" i="6"/>
  <c r="AQ13" i="15"/>
  <c r="N13" i="15"/>
  <c r="BW13" i="15"/>
  <c r="BR13" i="15"/>
  <c r="DZ13" i="15"/>
  <c r="CW13" i="15"/>
  <c r="BU13" i="15"/>
  <c r="EB13" i="15"/>
  <c r="CZ13" i="15"/>
  <c r="DW13" i="15"/>
  <c r="BH13" i="15"/>
  <c r="BF13" i="15"/>
  <c r="Y13" i="15"/>
  <c r="W13" i="15"/>
  <c r="AU13" i="15"/>
  <c r="BS13" i="15"/>
  <c r="AV13" i="15"/>
  <c r="BI13" i="15"/>
  <c r="BJ13" i="15" s="1"/>
  <c r="AF13" i="15"/>
  <c r="CY13" i="15"/>
  <c r="BP13" i="15"/>
  <c r="T13" i="15"/>
  <c r="CU13" i="15"/>
  <c r="DN13" i="15"/>
  <c r="BD13" i="15"/>
  <c r="AZ13" i="15"/>
  <c r="AC13" i="15"/>
  <c r="BB13" i="15"/>
  <c r="BN13" i="15"/>
  <c r="S13" i="15"/>
  <c r="BA13" i="15"/>
  <c r="AE13" i="15"/>
  <c r="Q13" i="15"/>
  <c r="AM13" i="15" s="1"/>
  <c r="R13" i="15"/>
  <c r="AT13" i="15"/>
  <c r="DH13" i="15"/>
  <c r="CP13" i="15"/>
  <c r="Z13" i="15"/>
  <c r="AO13" i="15"/>
  <c r="CR13" i="15"/>
  <c r="G13" i="15"/>
  <c r="CI9" i="14" l="1"/>
  <c r="CH11" i="14"/>
  <c r="CI11" i="14"/>
  <c r="CI8" i="14"/>
  <c r="CS5" i="6"/>
  <c r="CV5" i="6"/>
  <c r="CW5" i="6"/>
  <c r="CS4" i="6"/>
  <c r="CV4" i="6"/>
  <c r="CW4" i="6"/>
  <c r="CW9" i="6"/>
  <c r="CS9" i="6"/>
  <c r="CV9" i="6"/>
  <c r="CR7" i="6"/>
  <c r="CW7" i="6" s="1"/>
  <c r="CR8" i="6"/>
  <c r="CV8" i="6" s="1"/>
  <c r="CR3" i="6"/>
  <c r="CV3" i="6" s="1"/>
  <c r="AA13" i="15"/>
  <c r="CQ13" i="15"/>
  <c r="CS13" i="15" s="1"/>
  <c r="CK13" i="15"/>
  <c r="CS7" i="6" l="1"/>
  <c r="CV7" i="6"/>
  <c r="CW8" i="6"/>
  <c r="CS8" i="6"/>
  <c r="CW3" i="6"/>
  <c r="CS3" i="6"/>
  <c r="A2" i="14"/>
  <c r="A3" i="14"/>
  <c r="A4" i="14"/>
  <c r="A5" i="14"/>
  <c r="A6" i="14"/>
  <c r="A7" i="14"/>
  <c r="A8" i="14"/>
  <c r="A9" i="14"/>
  <c r="AG5" i="18"/>
  <c r="AC5" i="18"/>
  <c r="AX10" i="18"/>
  <c r="AX3" i="18"/>
  <c r="AX2" i="18"/>
  <c r="AX9" i="18"/>
  <c r="AX7" i="18"/>
  <c r="AX4" i="18"/>
  <c r="AX6" i="18"/>
  <c r="AX5" i="18"/>
  <c r="AX8" i="18"/>
  <c r="AX11" i="18"/>
  <c r="U7" i="18" l="1"/>
  <c r="T7" i="18"/>
  <c r="AR4" i="14"/>
  <c r="AG11" i="18"/>
  <c r="AF11" i="18"/>
  <c r="AC11" i="18"/>
  <c r="J3" i="6" l="1"/>
  <c r="AW5" i="18"/>
  <c r="AW6" i="18"/>
  <c r="AW11" i="18"/>
  <c r="AW4" i="18"/>
  <c r="AW9" i="18"/>
  <c r="AW8" i="18"/>
  <c r="AW2" i="18"/>
  <c r="AW3" i="18"/>
  <c r="AW7" i="18"/>
  <c r="AW10" i="18"/>
  <c r="A6" i="18" l="1"/>
  <c r="Q8" i="18" l="1"/>
  <c r="T8" i="18"/>
  <c r="L7" i="18"/>
  <c r="L5" i="18"/>
  <c r="L10" i="18"/>
  <c r="L6" i="18"/>
  <c r="L4" i="18"/>
  <c r="L9" i="18"/>
  <c r="L2" i="18"/>
  <c r="L8" i="18"/>
  <c r="L12" i="18"/>
  <c r="L11" i="18"/>
  <c r="L3" i="18"/>
  <c r="A2" i="18" l="1"/>
  <c r="B2" i="18"/>
  <c r="E12" i="18"/>
  <c r="K12" i="18"/>
  <c r="M12" i="18"/>
  <c r="Q12" i="18"/>
  <c r="T12" i="18"/>
  <c r="U12" i="18"/>
  <c r="AF12" i="18"/>
  <c r="AG12" i="18"/>
  <c r="AH12" i="18"/>
  <c r="AJ12" i="18"/>
  <c r="AN12" i="18"/>
  <c r="AP12" i="18"/>
  <c r="BE12" i="18"/>
  <c r="BG12" i="18"/>
  <c r="BI12" i="18"/>
  <c r="A3" i="18"/>
  <c r="B3" i="18"/>
  <c r="C3" i="18"/>
  <c r="E2" i="18"/>
  <c r="K2" i="18"/>
  <c r="M2" i="18"/>
  <c r="Q2" i="18"/>
  <c r="T2" i="18"/>
  <c r="U2" i="18"/>
  <c r="AC2" i="18"/>
  <c r="AF2" i="18"/>
  <c r="AG2" i="18"/>
  <c r="AH2" i="18"/>
  <c r="AJ2" i="18"/>
  <c r="AN2" i="18"/>
  <c r="AP2" i="18"/>
  <c r="BE2" i="18"/>
  <c r="BG2" i="18"/>
  <c r="BI2" i="18"/>
  <c r="A4" i="18"/>
  <c r="B4" i="18"/>
  <c r="C4" i="18"/>
  <c r="E6" i="18"/>
  <c r="K6" i="18"/>
  <c r="M6" i="18"/>
  <c r="Q6" i="18"/>
  <c r="T6" i="18"/>
  <c r="U6" i="18"/>
  <c r="AC6" i="18"/>
  <c r="AF6" i="18"/>
  <c r="AG6" i="18"/>
  <c r="AH6" i="18"/>
  <c r="AJ6" i="18"/>
  <c r="AN6" i="18"/>
  <c r="AP6" i="18"/>
  <c r="BE6" i="18"/>
  <c r="BG6" i="18"/>
  <c r="BI6" i="18"/>
  <c r="A5" i="18"/>
  <c r="B5" i="18"/>
  <c r="C5" i="18"/>
  <c r="E3" i="18"/>
  <c r="K3" i="18"/>
  <c r="M3" i="18"/>
  <c r="Q3" i="18"/>
  <c r="T3" i="18"/>
  <c r="U3" i="18"/>
  <c r="AC3" i="18"/>
  <c r="AF3" i="18"/>
  <c r="AG3" i="18"/>
  <c r="AH3" i="18"/>
  <c r="AJ3" i="18"/>
  <c r="AN3" i="18"/>
  <c r="AP3" i="18"/>
  <c r="BE3" i="18"/>
  <c r="BG3" i="18"/>
  <c r="BI3" i="18"/>
  <c r="B6" i="18"/>
  <c r="C6" i="18"/>
  <c r="E5" i="18"/>
  <c r="K5" i="18"/>
  <c r="M5" i="18"/>
  <c r="Q5" i="18"/>
  <c r="T5" i="18"/>
  <c r="U5" i="18"/>
  <c r="AF5" i="18"/>
  <c r="AH5" i="18"/>
  <c r="AJ5" i="18"/>
  <c r="AN5" i="18"/>
  <c r="AP5" i="18"/>
  <c r="BE5" i="18"/>
  <c r="BG5" i="18"/>
  <c r="BI5" i="18"/>
  <c r="A7" i="18"/>
  <c r="B7" i="18"/>
  <c r="C7" i="18"/>
  <c r="E7" i="18"/>
  <c r="K7" i="18"/>
  <c r="M7" i="18"/>
  <c r="Q7" i="18"/>
  <c r="AC7" i="18"/>
  <c r="AF7" i="18"/>
  <c r="AG7" i="18"/>
  <c r="AH7" i="18"/>
  <c r="AJ7" i="18"/>
  <c r="AN7" i="18"/>
  <c r="AP7" i="18"/>
  <c r="BE7" i="18"/>
  <c r="BG7" i="18"/>
  <c r="BI7" i="18"/>
  <c r="A8" i="18"/>
  <c r="B8" i="18"/>
  <c r="C8" i="18"/>
  <c r="E4" i="18"/>
  <c r="K4" i="18"/>
  <c r="M4" i="18"/>
  <c r="Q4" i="18"/>
  <c r="T4" i="18"/>
  <c r="U4" i="18"/>
  <c r="AC4" i="18"/>
  <c r="AF4" i="18"/>
  <c r="AG4" i="18"/>
  <c r="AH4" i="18"/>
  <c r="AJ4" i="18"/>
  <c r="AN4" i="18"/>
  <c r="AP4" i="18"/>
  <c r="BE4" i="18"/>
  <c r="BG4" i="18"/>
  <c r="BI4" i="18"/>
  <c r="A9" i="18"/>
  <c r="B9" i="18"/>
  <c r="C9" i="18"/>
  <c r="E10" i="18"/>
  <c r="K10" i="18"/>
  <c r="M10" i="18"/>
  <c r="Q10" i="18"/>
  <c r="T10" i="18"/>
  <c r="U10" i="18"/>
  <c r="AC10" i="18"/>
  <c r="AF10" i="18"/>
  <c r="AG10" i="18"/>
  <c r="AH10" i="18"/>
  <c r="AJ10" i="18"/>
  <c r="AN10" i="18"/>
  <c r="AP10" i="18"/>
  <c r="BE10" i="18"/>
  <c r="BG10" i="18"/>
  <c r="BI10" i="18"/>
  <c r="A10" i="18"/>
  <c r="B10" i="18"/>
  <c r="C10" i="18"/>
  <c r="E9" i="18"/>
  <c r="K9" i="18"/>
  <c r="M9" i="18"/>
  <c r="Q9" i="18"/>
  <c r="T9" i="18"/>
  <c r="U9" i="18"/>
  <c r="AC9" i="18"/>
  <c r="AF9" i="18"/>
  <c r="AG9" i="18"/>
  <c r="AH9" i="18"/>
  <c r="AJ9" i="18"/>
  <c r="AN9" i="18"/>
  <c r="AP9" i="18"/>
  <c r="BE9" i="18"/>
  <c r="BG9" i="18"/>
  <c r="BI9" i="18"/>
  <c r="A11" i="18"/>
  <c r="B11" i="18"/>
  <c r="C11" i="18"/>
  <c r="E8" i="18"/>
  <c r="K8" i="18"/>
  <c r="M8" i="18"/>
  <c r="U8" i="18"/>
  <c r="AC8" i="18"/>
  <c r="AF8" i="18"/>
  <c r="AG8" i="18"/>
  <c r="AH8" i="18"/>
  <c r="AJ8" i="18"/>
  <c r="AN8" i="18"/>
  <c r="AP8" i="18"/>
  <c r="BE8" i="18"/>
  <c r="BG8" i="18"/>
  <c r="BI8" i="18"/>
  <c r="A12" i="18"/>
  <c r="B12" i="18"/>
  <c r="C12" i="18"/>
  <c r="E11" i="18"/>
  <c r="K11" i="18"/>
  <c r="M11" i="18"/>
  <c r="Q11" i="18"/>
  <c r="T11" i="18"/>
  <c r="U11" i="18"/>
  <c r="AH11" i="18"/>
  <c r="AJ11" i="18"/>
  <c r="AN11" i="18"/>
  <c r="AP11" i="18"/>
  <c r="BE11" i="18"/>
  <c r="BG11" i="18"/>
  <c r="BI11" i="18"/>
  <c r="D14" i="18"/>
  <c r="N12" i="18" l="1"/>
  <c r="D4" i="18"/>
  <c r="N9" i="18"/>
  <c r="D10" i="18"/>
  <c r="N5" i="18"/>
  <c r="D7" i="18"/>
  <c r="N6" i="18"/>
  <c r="D8" i="18"/>
  <c r="N10" i="18"/>
  <c r="D6" i="18"/>
  <c r="N8" i="18"/>
  <c r="D3" i="18"/>
  <c r="N2" i="18"/>
  <c r="D9" i="18"/>
  <c r="N3" i="18"/>
  <c r="D12" i="18"/>
  <c r="BF10" i="18" s="1"/>
  <c r="N4" i="18"/>
  <c r="D5" i="18"/>
  <c r="N11" i="18"/>
  <c r="D11" i="18"/>
  <c r="N7" i="18"/>
  <c r="AA7" i="18"/>
  <c r="AL5" i="18"/>
  <c r="AL12" i="18"/>
  <c r="AL8" i="18"/>
  <c r="AL3" i="18"/>
  <c r="AL2" i="18"/>
  <c r="AL9" i="18"/>
  <c r="AL7" i="18"/>
  <c r="AL6" i="18"/>
  <c r="AL10" i="18"/>
  <c r="AL11" i="18"/>
  <c r="AL4" i="18"/>
  <c r="V12" i="18"/>
  <c r="V2" i="18"/>
  <c r="D22" i="18"/>
  <c r="AA3" i="18"/>
  <c r="V8" i="18"/>
  <c r="V7" i="18"/>
  <c r="AA6" i="18"/>
  <c r="V4" i="18"/>
  <c r="AR7" i="18"/>
  <c r="AR3" i="18"/>
  <c r="AR8" i="18"/>
  <c r="AA5" i="18"/>
  <c r="AR10" i="18"/>
  <c r="AA4" i="18"/>
  <c r="V5" i="18"/>
  <c r="V11" i="18"/>
  <c r="AA10" i="18"/>
  <c r="AR12" i="18"/>
  <c r="V10" i="18"/>
  <c r="AR11" i="18"/>
  <c r="AA12" i="18"/>
  <c r="AR9" i="18"/>
  <c r="AA2" i="18"/>
  <c r="D19" i="18"/>
  <c r="V6" i="18"/>
  <c r="AA8" i="18"/>
  <c r="V3" i="18"/>
  <c r="AA9" i="18"/>
  <c r="AA11" i="18"/>
  <c r="V9" i="18"/>
  <c r="AR6" i="18"/>
  <c r="AR2" i="18"/>
  <c r="AR5" i="18"/>
  <c r="AR4" i="18"/>
  <c r="AB5" i="18" l="1"/>
  <c r="O4" i="18"/>
  <c r="BH3" i="18"/>
  <c r="AI4" i="18"/>
  <c r="AT2" i="18"/>
  <c r="AT10" i="18"/>
  <c r="S9" i="18"/>
  <c r="Z9" i="18"/>
  <c r="AK6" i="18"/>
  <c r="AB7" i="18"/>
  <c r="BH5" i="18"/>
  <c r="AT7" i="18"/>
  <c r="F7" i="18"/>
  <c r="Z10" i="18"/>
  <c r="P10" i="18"/>
  <c r="BH7" i="18"/>
  <c r="H7" i="18"/>
  <c r="AI5" i="18"/>
  <c r="BD5" i="18"/>
  <c r="AT5" i="18"/>
  <c r="P5" i="18"/>
  <c r="F5" i="18"/>
  <c r="O5" i="18"/>
  <c r="AD5" i="18"/>
  <c r="BF5" i="18"/>
  <c r="AE5" i="18"/>
  <c r="Z5" i="18"/>
  <c r="S5" i="18"/>
  <c r="AK5" i="18"/>
  <c r="AO5" i="18"/>
  <c r="AY5" i="18"/>
  <c r="AV5" i="18"/>
  <c r="G5" i="18"/>
  <c r="H5" i="18"/>
  <c r="Z7" i="18"/>
  <c r="AQ7" i="18"/>
  <c r="AV7" i="18"/>
  <c r="X10" i="18"/>
  <c r="P7" i="18"/>
  <c r="BD12" i="18"/>
  <c r="BF12" i="18"/>
  <c r="S7" i="18"/>
  <c r="BF6" i="18"/>
  <c r="AI7" i="18"/>
  <c r="AE7" i="18"/>
  <c r="AI12" i="18"/>
  <c r="O12" i="18"/>
  <c r="Z12" i="18"/>
  <c r="AY6" i="18"/>
  <c r="AY7" i="18"/>
  <c r="AK7" i="18"/>
  <c r="AY12" i="18"/>
  <c r="AB12" i="18"/>
  <c r="S12" i="18"/>
  <c r="AO7" i="18"/>
  <c r="AD12" i="18"/>
  <c r="P12" i="18"/>
  <c r="AE12" i="18"/>
  <c r="H12" i="18"/>
  <c r="AQ12" i="18"/>
  <c r="G12" i="18"/>
  <c r="AK12" i="18"/>
  <c r="O7" i="18"/>
  <c r="AD7" i="18"/>
  <c r="BH10" i="18"/>
  <c r="S8" i="18"/>
  <c r="X11" i="18"/>
  <c r="AT8" i="18"/>
  <c r="X9" i="18"/>
  <c r="BD9" i="18"/>
  <c r="AT9" i="18"/>
  <c r="BF11" i="18"/>
  <c r="O9" i="18"/>
  <c r="AB9" i="18"/>
  <c r="F11" i="18"/>
  <c r="F12" i="18"/>
  <c r="BH12" i="18"/>
  <c r="AE9" i="18"/>
  <c r="AV9" i="18"/>
  <c r="AE8" i="18"/>
  <c r="AO12" i="18"/>
  <c r="Z11" i="18"/>
  <c r="AE11" i="18"/>
  <c r="AQ11" i="18"/>
  <c r="AB11" i="18"/>
  <c r="AD11" i="18"/>
  <c r="AY9" i="18"/>
  <c r="AO11" i="18"/>
  <c r="BH9" i="18"/>
  <c r="H9" i="18"/>
  <c r="AV11" i="18"/>
  <c r="AD9" i="18"/>
  <c r="AY11" i="18"/>
  <c r="S11" i="18"/>
  <c r="AV6" i="18"/>
  <c r="P11" i="18"/>
  <c r="F9" i="18"/>
  <c r="AQ9" i="18"/>
  <c r="G11" i="18"/>
  <c r="X7" i="18"/>
  <c r="AV12" i="18"/>
  <c r="AT12" i="18"/>
  <c r="AT11" i="18"/>
  <c r="P9" i="18"/>
  <c r="G9" i="18"/>
  <c r="BD11" i="18"/>
  <c r="AI11" i="18"/>
  <c r="AO9" i="18"/>
  <c r="AI9" i="18"/>
  <c r="AK11" i="18"/>
  <c r="BH11" i="18"/>
  <c r="O11" i="18"/>
  <c r="BF9" i="18"/>
  <c r="AK9" i="18"/>
  <c r="H11" i="18"/>
  <c r="X12" i="18"/>
  <c r="S6" i="18"/>
  <c r="BD6" i="18"/>
  <c r="AY10" i="18"/>
  <c r="O10" i="18"/>
  <c r="AE6" i="18"/>
  <c r="F10" i="18"/>
  <c r="P6" i="18"/>
  <c r="AD6" i="18"/>
  <c r="BD7" i="18"/>
  <c r="O2" i="18"/>
  <c r="BF7" i="18"/>
  <c r="G7" i="18"/>
  <c r="AQ5" i="18"/>
  <c r="G6" i="18"/>
  <c r="AD10" i="18"/>
  <c r="AV8" i="18"/>
  <c r="AT6" i="18"/>
  <c r="AB8" i="18"/>
  <c r="AO8" i="18"/>
  <c r="AI10" i="18"/>
  <c r="AK10" i="18"/>
  <c r="H2" i="18"/>
  <c r="G2" i="18"/>
  <c r="O8" i="18"/>
  <c r="O6" i="18"/>
  <c r="H8" i="18"/>
  <c r="H10" i="18"/>
  <c r="BH6" i="18"/>
  <c r="O3" i="18"/>
  <c r="AI3" i="18"/>
  <c r="F2" i="18"/>
  <c r="BD8" i="18"/>
  <c r="AO2" i="18"/>
  <c r="S2" i="18"/>
  <c r="AK8" i="18"/>
  <c r="P2" i="18"/>
  <c r="AD3" i="18"/>
  <c r="BF8" i="18"/>
  <c r="BF2" i="18"/>
  <c r="AV3" i="18"/>
  <c r="BH2" i="18"/>
  <c r="BD2" i="18"/>
  <c r="BH8" i="18"/>
  <c r="H6" i="18"/>
  <c r="AQ6" i="18"/>
  <c r="AB10" i="18"/>
  <c r="AB6" i="18"/>
  <c r="X5" i="18"/>
  <c r="AT4" i="18"/>
  <c r="BF3" i="18"/>
  <c r="AE4" i="18"/>
  <c r="AQ3" i="18"/>
  <c r="X2" i="18"/>
  <c r="AQ10" i="18"/>
  <c r="AD4" i="18"/>
  <c r="G10" i="18"/>
  <c r="AV2" i="18"/>
  <c r="BF4" i="18"/>
  <c r="H4" i="18"/>
  <c r="AB2" i="18"/>
  <c r="AO10" i="18"/>
  <c r="AE2" i="18"/>
  <c r="AV10" i="18"/>
  <c r="S10" i="18"/>
  <c r="F6" i="18"/>
  <c r="AI6" i="18"/>
  <c r="X3" i="18"/>
  <c r="AE3" i="18"/>
  <c r="AK2" i="18"/>
  <c r="AV4" i="18"/>
  <c r="AQ8" i="18"/>
  <c r="AE10" i="18"/>
  <c r="P4" i="18"/>
  <c r="AO6" i="18"/>
  <c r="X8" i="18"/>
  <c r="G4" i="18"/>
  <c r="AB3" i="18"/>
  <c r="F4" i="18"/>
  <c r="AY4" i="18"/>
  <c r="H3" i="18"/>
  <c r="S3" i="18"/>
  <c r="AY2" i="18"/>
  <c r="AK3" i="18"/>
  <c r="Z3" i="18"/>
  <c r="AY3" i="18"/>
  <c r="AO4" i="18"/>
  <c r="AB4" i="18"/>
  <c r="AQ4" i="18"/>
  <c r="AI8" i="18"/>
  <c r="G8" i="18"/>
  <c r="P3" i="18"/>
  <c r="BD3" i="18"/>
  <c r="Z2" i="18"/>
  <c r="AY8" i="18"/>
  <c r="AI2" i="18"/>
  <c r="P8" i="18"/>
  <c r="Z4" i="18"/>
  <c r="AK4" i="18"/>
  <c r="AM4" i="18" s="1"/>
  <c r="F8" i="18"/>
  <c r="BD10" i="18"/>
  <c r="X4" i="18"/>
  <c r="Z6" i="18"/>
  <c r="F3" i="18"/>
  <c r="AD2" i="18"/>
  <c r="BD4" i="18"/>
  <c r="S4" i="18"/>
  <c r="AD8" i="18"/>
  <c r="AQ2" i="18"/>
  <c r="X6" i="18"/>
  <c r="Z8" i="18"/>
  <c r="G3" i="18"/>
  <c r="AT3" i="18"/>
  <c r="AO3" i="18"/>
  <c r="BH4" i="18"/>
  <c r="AM12" i="18" l="1"/>
  <c r="AM6" i="18"/>
  <c r="I10" i="18"/>
  <c r="I7" i="18"/>
  <c r="I12" i="18"/>
  <c r="I5" i="18"/>
  <c r="AM5" i="18"/>
  <c r="AM7" i="18"/>
  <c r="AM10" i="18"/>
  <c r="I11" i="18"/>
  <c r="I9" i="18"/>
  <c r="AM11" i="18"/>
  <c r="AM9" i="18"/>
  <c r="I6" i="18"/>
  <c r="I2" i="18"/>
  <c r="AM3" i="18"/>
  <c r="I4" i="18"/>
  <c r="D16" i="18"/>
  <c r="D21" i="18"/>
  <c r="D20" i="18"/>
  <c r="AM2" i="18"/>
  <c r="B20" i="18"/>
  <c r="B16" i="18"/>
  <c r="D18" i="18"/>
  <c r="D17" i="18"/>
  <c r="B21" i="18"/>
  <c r="B18" i="18"/>
  <c r="I3" i="18"/>
  <c r="D15" i="18"/>
  <c r="B15" i="18"/>
  <c r="B19" i="18"/>
  <c r="B22" i="18"/>
  <c r="AM8" i="18"/>
  <c r="I8" i="18"/>
  <c r="B17" i="18" l="1"/>
  <c r="W4" i="14"/>
  <c r="L4" i="14" l="1"/>
  <c r="BJ4" i="14"/>
  <c r="CB4" i="14"/>
  <c r="CR4" i="14"/>
  <c r="CX4" i="14"/>
  <c r="CV4" i="14"/>
  <c r="CT4" i="14"/>
  <c r="CZ4" i="14"/>
  <c r="K11" i="14" l="1"/>
  <c r="K2" i="14"/>
  <c r="K9" i="14"/>
  <c r="CM4" i="14"/>
  <c r="K10" i="14"/>
  <c r="K5" i="14"/>
  <c r="K3" i="14"/>
  <c r="K7" i="14"/>
  <c r="K8" i="14"/>
  <c r="K6" i="14"/>
  <c r="X4" i="14"/>
  <c r="DA4" i="14"/>
  <c r="B4" i="14" l="1"/>
  <c r="C4" i="14"/>
  <c r="D4" i="14"/>
  <c r="E4" i="14"/>
  <c r="G4" i="14"/>
  <c r="I4" i="14"/>
  <c r="J4" i="14"/>
  <c r="P4" i="14"/>
  <c r="Y4" i="14" s="1"/>
  <c r="Q4" i="14"/>
  <c r="AA4" i="14" s="1"/>
  <c r="AH4" i="14"/>
  <c r="T4" i="14"/>
  <c r="U4" i="14"/>
  <c r="AM4" i="14"/>
  <c r="AO4" i="14" s="1"/>
  <c r="AP4" i="14"/>
  <c r="AT4" i="14"/>
  <c r="BC4" i="14"/>
  <c r="BE4" i="14"/>
  <c r="BH4" i="14"/>
  <c r="BI4" i="14"/>
  <c r="AY4" i="14"/>
  <c r="AZ4" i="14" s="1"/>
  <c r="BO4" i="14"/>
  <c r="BT4" i="14"/>
  <c r="BU4" i="14"/>
  <c r="BX4" i="14" s="1"/>
  <c r="BY4" i="14"/>
  <c r="CA4" i="14"/>
  <c r="CC4" i="14"/>
  <c r="DC4" i="14"/>
  <c r="AU4" i="14" l="1"/>
  <c r="AX4" i="14"/>
  <c r="R4" i="14"/>
  <c r="V4" i="14"/>
  <c r="BW4" i="14"/>
  <c r="BV4" i="14" s="1"/>
  <c r="AV4" i="14"/>
  <c r="AW4" i="14" s="1"/>
  <c r="BA4" i="14"/>
  <c r="BN4" i="14" s="1"/>
  <c r="BK4" i="14"/>
  <c r="AQ4" i="14"/>
  <c r="CY4" i="14"/>
  <c r="CK4" i="14"/>
  <c r="BD4" i="14"/>
  <c r="BB4" i="14"/>
  <c r="BG4" i="14"/>
  <c r="S4" i="14"/>
  <c r="CU4" i="14"/>
  <c r="AJ4" i="14"/>
  <c r="AK4" i="14"/>
  <c r="AL4" i="14" s="1"/>
  <c r="Z4" i="14"/>
  <c r="BZ4" i="14"/>
  <c r="CS4" i="14"/>
  <c r="AN4" i="14"/>
  <c r="AF4" i="14"/>
  <c r="AS4" i="14"/>
  <c r="BF4" i="14"/>
  <c r="CW4" i="14"/>
  <c r="CD4" i="14"/>
  <c r="AB4" i="14"/>
  <c r="BP4" i="14"/>
  <c r="AC4" i="14"/>
  <c r="BL4" i="14" l="1"/>
  <c r="CG4" i="14" s="1"/>
  <c r="CE4" i="14"/>
  <c r="CF4" i="14" s="1"/>
  <c r="BM4" i="14"/>
  <c r="CH4" i="14" l="1"/>
  <c r="CI4" i="14"/>
  <c r="K4" i="14" l="1"/>
  <c r="AW12" i="18"/>
</calcChain>
</file>

<file path=xl/comments1.xml><?xml version="1.0" encoding="utf-8"?>
<comments xmlns="http://schemas.openxmlformats.org/spreadsheetml/2006/main">
  <authors>
    <author>Allan Ferracioli</author>
  </authors>
  <commentList>
    <comment ref="BE1" authorId="0">
      <text>
        <r>
          <rPr>
            <b/>
            <sz val="9"/>
            <color indexed="81"/>
            <rFont val="Segoe UI"/>
            <family val="2"/>
          </rPr>
          <t>Mais um cálculo Moneyball-Mustermann.
É um cálculo que mede o "xG defendido por jogo" dividido pela "quantidade de clean sheets a cada 90 minutos".
Combinada com a métrica Expected Goals Prevented pode te entregar um goleiro de elite.</t>
        </r>
      </text>
    </comment>
    <comment ref="BF1" authorId="0">
      <text>
        <r>
          <rPr>
            <b/>
            <sz val="9"/>
            <color indexed="81"/>
            <rFont val="Segoe UI"/>
            <family val="2"/>
          </rPr>
          <t xml:space="preserve">O xGP ou Expected Goals Prevented </t>
        </r>
        <r>
          <rPr>
            <sz val="9"/>
            <color indexed="81"/>
            <rFont val="Segoe UI"/>
            <family val="2"/>
          </rPr>
          <t xml:space="preserve">é uma relação entre </t>
        </r>
        <r>
          <rPr>
            <b/>
            <sz val="9"/>
            <color indexed="81"/>
            <rFont val="Segoe UI"/>
            <family val="2"/>
          </rPr>
          <t>Clean Sheets (Sem gol)</t>
        </r>
        <r>
          <rPr>
            <sz val="9"/>
            <color indexed="81"/>
            <rFont val="Segoe UI"/>
            <family val="2"/>
          </rPr>
          <t xml:space="preserve"> e os </t>
        </r>
        <r>
          <rPr>
            <b/>
            <sz val="9"/>
            <color indexed="81"/>
            <rFont val="Segoe UI"/>
            <family val="2"/>
          </rPr>
          <t>xG defendidos</t>
        </r>
        <r>
          <rPr>
            <sz val="9"/>
            <color indexed="81"/>
            <rFont val="Segoe UI"/>
            <family val="2"/>
          </rPr>
          <t>.</t>
        </r>
        <r>
          <rPr>
            <b/>
            <sz val="9"/>
            <color indexed="81"/>
            <rFont val="Segoe UI"/>
            <family val="2"/>
          </rPr>
          <t xml:space="preserve">
Por exemplo: 
</t>
        </r>
        <r>
          <rPr>
            <sz val="9"/>
            <color indexed="81"/>
            <rFont val="Segoe UI"/>
            <family val="2"/>
          </rPr>
          <t>Se um goleiro enfrenta</t>
        </r>
        <r>
          <rPr>
            <b/>
            <sz val="9"/>
            <color indexed="81"/>
            <rFont val="Segoe UI"/>
            <family val="2"/>
          </rPr>
          <t xml:space="preserve"> 1.0 xG</t>
        </r>
        <r>
          <rPr>
            <sz val="9"/>
            <color indexed="81"/>
            <rFont val="Segoe UI"/>
            <family val="2"/>
          </rPr>
          <t xml:space="preserve"> por 90 minutos mas previne </t>
        </r>
        <r>
          <rPr>
            <b/>
            <sz val="9"/>
            <color indexed="81"/>
            <rFont val="Segoe UI"/>
            <family val="2"/>
          </rPr>
          <t>0.2</t>
        </r>
        <r>
          <rPr>
            <sz val="9"/>
            <color indexed="81"/>
            <rFont val="Segoe UI"/>
            <family val="2"/>
          </rPr>
          <t xml:space="preserve"> de</t>
        </r>
        <r>
          <rPr>
            <b/>
            <sz val="9"/>
            <color indexed="81"/>
            <rFont val="Segoe UI"/>
            <family val="2"/>
          </rPr>
          <t xml:space="preserve"> xG</t>
        </r>
        <r>
          <rPr>
            <sz val="9"/>
            <color indexed="81"/>
            <rFont val="Segoe UI"/>
            <family val="2"/>
          </rPr>
          <t xml:space="preserve">, ele preveniu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 então o cálculo será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.
</t>
        </r>
        <r>
          <rPr>
            <b/>
            <sz val="9"/>
            <color indexed="81"/>
            <rFont val="Segoe UI"/>
            <family val="2"/>
          </rPr>
          <t>Nota: Não é um valor 100% preciso, mas ajuda a contextualizar a métrica.</t>
        </r>
        <r>
          <rPr>
            <sz val="9"/>
            <color indexed="81"/>
            <rFont val="Segoe UI"/>
            <family val="2"/>
          </rPr>
          <t xml:space="preserve">
Créditos a </t>
        </r>
        <r>
          <rPr>
            <b/>
            <sz val="9"/>
            <color indexed="81"/>
            <rFont val="Segoe UI"/>
            <family val="2"/>
          </rPr>
          <t>MustermannFM</t>
        </r>
        <r>
          <rPr>
            <sz val="9"/>
            <color indexed="81"/>
            <rFont val="Segoe UI"/>
            <family val="2"/>
          </rPr>
          <t xml:space="preserve"> por esse cálculo.</t>
        </r>
      </text>
    </comment>
  </commentList>
</comments>
</file>

<file path=xl/comments2.xml><?xml version="1.0" encoding="utf-8"?>
<comments xmlns="http://schemas.openxmlformats.org/spreadsheetml/2006/main">
  <authors>
    <author>Allan Ferracioli</author>
  </authors>
  <commentList>
    <comment ref="AN1" authorId="0">
      <text>
        <r>
          <rPr>
            <b/>
            <sz val="9"/>
            <color indexed="81"/>
            <rFont val="Segoe UI"/>
            <charset val="1"/>
          </rPr>
          <t xml:space="preserve">Nota:
</t>
        </r>
        <r>
          <rPr>
            <sz val="9"/>
            <color indexed="81"/>
            <rFont val="Segoe UI"/>
            <family val="2"/>
          </rPr>
          <t>Isso é uma estimativa. Não da pra ter 100% de certeza de quantos remates foram em cabeceio ou foram feitos com os pés.
Pode ter uma diferença de entre 5 a 15% para menos.</t>
        </r>
      </text>
    </comment>
  </commentList>
</comments>
</file>

<file path=xl/comments3.xml><?xml version="1.0" encoding="utf-8"?>
<comments xmlns="http://schemas.openxmlformats.org/spreadsheetml/2006/main">
  <authors>
    <author>Usuario</author>
    <author>Allan Ferracioli</author>
  </authors>
  <commentList>
    <comment ref="W1" authorId="0">
      <text>
        <r>
          <rPr>
            <b/>
            <sz val="9"/>
            <color indexed="81"/>
            <rFont val="Segoe UI"/>
            <family val="2"/>
          </rPr>
          <t>Desarmes certos + Pressões certas + Interceptações Feitas</t>
        </r>
      </text>
    </comment>
    <comment ref="CP1" authorId="1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</commentList>
</comments>
</file>

<file path=xl/comments4.xml><?xml version="1.0" encoding="utf-8"?>
<comments xmlns="http://schemas.openxmlformats.org/spreadsheetml/2006/main">
  <authors>
    <author>Allan Ferracioli</author>
    <author>Usuario</author>
  </authors>
  <commentList>
    <comment ref="V1" authorId="0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N1" authorId="0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  <comment ref="CG1" authorId="1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CK1" authorId="1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</commentList>
</comments>
</file>

<file path=xl/comments5.xml><?xml version="1.0" encoding="utf-8"?>
<comments xmlns="http://schemas.openxmlformats.org/spreadsheetml/2006/main">
  <authors>
    <author>Allan Ferracioli</author>
    <author>Usuario</author>
  </authors>
  <commentList>
    <comment ref="AR1" authorId="0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U1" authorId="1">
      <text>
        <r>
          <rPr>
            <b/>
            <sz val="9"/>
            <color indexed="81"/>
            <rFont val="Segoe UI"/>
            <family val="2"/>
          </rPr>
          <t>GPI:
O GPI (Goal Probability Index) é uma métrica que avalia a eficácia de um atacante em converter chances de gol e contribuir para o desempenho ofensivo do time. Ele considera tanto a qualidade das oportunidades criadas quanto a eficiência do jogador em transformá-las em gols.
Interpretação:
Eficiência: A relação entre Gols Marcados e xG mostra se o atacante está convertendo as chances conforme o esperado ou se está superando as expectativas.
Identifica atacantes com alta eficiência e contribuição ofensiva, mesmo que não sejam os que mais marcam gols.
Ajuda na decisão de contratações, valorizando jogadores com desempenho sólido e consistente.
É um cálculo inspirado e com base nos cálculos utilizados no método "Moneyball".</t>
        </r>
      </text>
    </comment>
    <comment ref="CR1" authorId="0">
      <text>
        <r>
          <rPr>
            <b/>
            <sz val="9"/>
            <color indexed="81"/>
            <rFont val="Segoe UI"/>
            <family val="2"/>
          </rPr>
          <t xml:space="preserve">Quando negativos:
</t>
        </r>
        <r>
          <rPr>
            <sz val="9"/>
            <color indexed="81"/>
            <rFont val="Segoe UI"/>
            <family val="2"/>
          </rPr>
          <t>A Equipe desperdiçou</t>
        </r>
        <r>
          <rPr>
            <b/>
            <sz val="9"/>
            <color indexed="81"/>
            <rFont val="Segoe UI"/>
            <family val="2"/>
          </rPr>
          <t xml:space="preserve">
Quando positivos:
</t>
        </r>
        <r>
          <rPr>
            <sz val="9"/>
            <color indexed="81"/>
            <rFont val="Segoe UI"/>
            <family val="2"/>
          </rPr>
          <t>A equipe concluiu chances não esperadas.</t>
        </r>
      </text>
    </comment>
    <comment ref="DX1" authorId="1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B1" authorId="1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  <comment ref="EC1" authorId="1">
      <text>
        <r>
          <rPr>
            <b/>
            <sz val="9"/>
            <color indexed="81"/>
            <rFont val="Segoe UI"/>
            <family val="2"/>
          </rPr>
          <t xml:space="preserve">Nessa lista:
</t>
        </r>
        <r>
          <rPr>
            <sz val="9"/>
            <color indexed="81"/>
            <rFont val="Segoe UI"/>
            <family val="2"/>
          </rPr>
          <t>- Remates tentados
- Fintas feitas
- Cruzamentos feitos
- Passes decisivos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- Oportunidades claras de gol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N1" authorId="0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</commentList>
</comments>
</file>

<file path=xl/comments7.xml><?xml version="1.0" encoding="utf-8"?>
<comments xmlns="http://schemas.openxmlformats.org/spreadsheetml/2006/main">
  <authors>
    <author>Usuario</author>
  </authors>
  <commentList>
    <comment ref="DM1" authorId="0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B1" authorId="0">
      <text>
        <r>
          <rPr>
            <b/>
            <sz val="9"/>
            <color indexed="81"/>
            <rFont val="Segoe UI"/>
            <family val="2"/>
          </rPr>
          <t>Usuario:</t>
        </r>
        <r>
          <rPr>
            <sz val="9"/>
            <color indexed="81"/>
            <rFont val="Segoe UI"/>
            <family val="2"/>
          </rPr>
          <t xml:space="preserve">
A soma de todas as notas que o jogador recebeu até então.
Exemplo: Duas partidas nota 7,0 equivalem a uma Pontuação recebida de 14,0.</t>
        </r>
      </text>
    </comment>
  </commentList>
</comments>
</file>

<file path=xl/sharedStrings.xml><?xml version="1.0" encoding="utf-8"?>
<sst xmlns="http://schemas.openxmlformats.org/spreadsheetml/2006/main" count="4565" uniqueCount="1712">
  <si>
    <t>Clube</t>
  </si>
  <si>
    <t>Idade</t>
  </si>
  <si>
    <t>Valor Estimado</t>
  </si>
  <si>
    <t>Salário</t>
  </si>
  <si>
    <t>OCG</t>
  </si>
  <si>
    <t>Pens</t>
  </si>
  <si>
    <t>Golos DS</t>
  </si>
  <si>
    <t>xG</t>
  </si>
  <si>
    <t>Remates</t>
  </si>
  <si>
    <t>Rem %</t>
  </si>
  <si>
    <t>Fnt</t>
  </si>
  <si>
    <t>Cab A</t>
  </si>
  <si>
    <t>Fj</t>
  </si>
  <si>
    <t>BRA</t>
  </si>
  <si>
    <t>Inf</t>
  </si>
  <si>
    <t>Pas A</t>
  </si>
  <si>
    <t>Ps C</t>
  </si>
  <si>
    <t>Cabs</t>
  </si>
  <si>
    <t>Distância</t>
  </si>
  <si>
    <t>Prt</t>
  </si>
  <si>
    <t>Jogador</t>
  </si>
  <si>
    <t>Valor</t>
  </si>
  <si>
    <t>Gols</t>
  </si>
  <si>
    <t>Gols+Ass</t>
  </si>
  <si>
    <t>Assist</t>
  </si>
  <si>
    <t>Nota média</t>
  </si>
  <si>
    <t>Faltas sofridas</t>
  </si>
  <si>
    <t>Passes errados</t>
  </si>
  <si>
    <t>Equipe</t>
  </si>
  <si>
    <t>Altura</t>
  </si>
  <si>
    <t>HdJ</t>
  </si>
  <si>
    <t>Ds</t>
  </si>
  <si>
    <t>Dft</t>
  </si>
  <si>
    <t>Dfa</t>
  </si>
  <si>
    <t>Sem golos sofridos</t>
  </si>
  <si>
    <t>Sofridos / jogo</t>
  </si>
  <si>
    <t>Defesas totais / Jogo</t>
  </si>
  <si>
    <t>Clean Sheet</t>
  </si>
  <si>
    <t>Man of the match</t>
  </si>
  <si>
    <t>Falhas</t>
  </si>
  <si>
    <t>Pé Preferido</t>
  </si>
  <si>
    <t>Crt</t>
  </si>
  <si>
    <t>Int/90</t>
  </si>
  <si>
    <t>Desarmes ganhos</t>
  </si>
  <si>
    <t>Passes errados / 90</t>
  </si>
  <si>
    <t>Fintas / 90</t>
  </si>
  <si>
    <t>Passes certos</t>
  </si>
  <si>
    <t>Cruzamentos</t>
  </si>
  <si>
    <t>Crt D</t>
  </si>
  <si>
    <t>Alívios</t>
  </si>
  <si>
    <t>Interceptações /90</t>
  </si>
  <si>
    <t>Interceptações feitas</t>
  </si>
  <si>
    <t>% passes certos</t>
  </si>
  <si>
    <t>Passes completados</t>
  </si>
  <si>
    <t>Gols sem pênalti</t>
  </si>
  <si>
    <t>Média gols / partida</t>
  </si>
  <si>
    <t>Cabeceios disputados</t>
  </si>
  <si>
    <t>Ganhos</t>
  </si>
  <si>
    <t>Perdidos</t>
  </si>
  <si>
    <t>% Cabs perdidos</t>
  </si>
  <si>
    <t>% Cabs ganhos</t>
  </si>
  <si>
    <t>Finalizações pra um gol</t>
  </si>
  <si>
    <t>Gols não esperados</t>
  </si>
  <si>
    <t>Amr</t>
  </si>
  <si>
    <t>Vermelhos</t>
  </si>
  <si>
    <t>Assistências</t>
  </si>
  <si>
    <t>Gols + Ass</t>
  </si>
  <si>
    <t>Amarelos</t>
  </si>
  <si>
    <t>Total cartões</t>
  </si>
  <si>
    <t>Faltas cometidas</t>
  </si>
  <si>
    <t>Int / 90</t>
  </si>
  <si>
    <t>% Des Ganhos</t>
  </si>
  <si>
    <t>Cabs disputados</t>
  </si>
  <si>
    <t>Cabs ganhos</t>
  </si>
  <si>
    <t>Cabs perdidos</t>
  </si>
  <si>
    <t>Chances criadas / 90</t>
  </si>
  <si>
    <t>Passes decisivos</t>
  </si>
  <si>
    <t>% Passes certos</t>
  </si>
  <si>
    <t>Passes tentados</t>
  </si>
  <si>
    <t>Passes certos  - errados / Jogo</t>
  </si>
  <si>
    <t>Passes decisivos / jogos</t>
  </si>
  <si>
    <t>Dist / 90</t>
  </si>
  <si>
    <t>Passes Tentados</t>
  </si>
  <si>
    <t>% passes errados</t>
  </si>
  <si>
    <t>Defesas totais</t>
  </si>
  <si>
    <t>Passes certos - errados</t>
  </si>
  <si>
    <t>Finalizações certas pra um gol</t>
  </si>
  <si>
    <t>%Passes errados</t>
  </si>
  <si>
    <t>Data Final do contrato</t>
  </si>
  <si>
    <t>Expira</t>
  </si>
  <si>
    <t>Data final de contrato</t>
  </si>
  <si>
    <t>Fim de contrato</t>
  </si>
  <si>
    <t>Fintas</t>
  </si>
  <si>
    <t>Cr T</t>
  </si>
  <si>
    <t>Cr C</t>
  </si>
  <si>
    <t>Bolas enfrentadas</t>
  </si>
  <si>
    <t>Valor estimado</t>
  </si>
  <si>
    <t>%Faltas limpas (Sem cartão)</t>
  </si>
  <si>
    <t>Faltas sem cartão</t>
  </si>
  <si>
    <t>Lances disputados</t>
  </si>
  <si>
    <t>% Lances disputados e ganhos de forma limpa</t>
  </si>
  <si>
    <t>Lances disputados e ganhos de forma limpa</t>
  </si>
  <si>
    <t>Cartões por falta cometida</t>
  </si>
  <si>
    <t>Pens M</t>
  </si>
  <si>
    <t>T Desa</t>
  </si>
  <si>
    <t>% Cabs</t>
  </si>
  <si>
    <t>Pass D / 90</t>
  </si>
  <si>
    <t>Pass D /90</t>
  </si>
  <si>
    <t>Des/90</t>
  </si>
  <si>
    <t>Chances criadas e não aproveitadas pela equipe / 90</t>
  </si>
  <si>
    <t>% Des</t>
  </si>
  <si>
    <t>Desarmes Ganhos</t>
  </si>
  <si>
    <t>Lances disputados e ganhos sem falta</t>
  </si>
  <si>
    <t>% Lances disputados e ganhos</t>
  </si>
  <si>
    <t>% Def Seguras</t>
  </si>
  <si>
    <t>xG / chute</t>
  </si>
  <si>
    <t>xG / Jogo</t>
  </si>
  <si>
    <t>Passes Tentados / 90</t>
  </si>
  <si>
    <t>Média de gols em toda a Carreira</t>
  </si>
  <si>
    <t>Jogos DS</t>
  </si>
  <si>
    <t>Faltas Sof / jogo</t>
  </si>
  <si>
    <t>Jogos completos</t>
  </si>
  <si>
    <t>Data Final de Contrato</t>
  </si>
  <si>
    <t>Gols na carreira</t>
  </si>
  <si>
    <t>% Gols (sem penalti)</t>
  </si>
  <si>
    <t>% Ass</t>
  </si>
  <si>
    <t>% Pênaltis</t>
  </si>
  <si>
    <t>Média gols + ass / partida</t>
  </si>
  <si>
    <t>Ass / 90</t>
  </si>
  <si>
    <t>Passes Completados / 90</t>
  </si>
  <si>
    <t>Média de passes errados / 90</t>
  </si>
  <si>
    <t>Jogos Completos</t>
  </si>
  <si>
    <t>Criação / 90</t>
  </si>
  <si>
    <t>Participação / 90</t>
  </si>
  <si>
    <t>Participação em passes / 90</t>
  </si>
  <si>
    <t>Tentativas de marcar um gol / 90</t>
  </si>
  <si>
    <t>Participação do jogador a cada 90 minutos</t>
  </si>
  <si>
    <t>Des Tentados / 90</t>
  </si>
  <si>
    <t>Desarmes Conseguidos / 90</t>
  </si>
  <si>
    <t>% Cabeceios ganhos</t>
  </si>
  <si>
    <t>Cruzamentos Conseguidos</t>
  </si>
  <si>
    <t>Bolas roubadas / 90</t>
  </si>
  <si>
    <t>Lances defensivos tentados</t>
  </si>
  <si>
    <t>Lances defensivos conseguidos</t>
  </si>
  <si>
    <t>Eficácia defensiva</t>
  </si>
  <si>
    <t>Lances DEF tentados / 90</t>
  </si>
  <si>
    <t>Lances DEF conseguidos / 90</t>
  </si>
  <si>
    <t>Taxa de acerto</t>
  </si>
  <si>
    <t>Acertos/90</t>
  </si>
  <si>
    <t>Ganhos /90</t>
  </si>
  <si>
    <t>Gols/90</t>
  </si>
  <si>
    <t>Bolas enf /90</t>
  </si>
  <si>
    <t>Participação por jogo (passes, fnt, fin, criação, roubadas de bola, etc)</t>
  </si>
  <si>
    <t>Gols / 90</t>
  </si>
  <si>
    <t>Participação do jogador a cada 90 minutos (fnt, cabs, pass, finalizaçõs)</t>
  </si>
  <si>
    <t>Ast/90</t>
  </si>
  <si>
    <t>Pass C / 90</t>
  </si>
  <si>
    <t>Bolas enfrentadas pra sofrer um gol</t>
  </si>
  <si>
    <t>Bolas dificeis enfrentadas pra sofrer 1 gol</t>
  </si>
  <si>
    <t>Cabs Disputados /90</t>
  </si>
  <si>
    <t>Tentativas de marcar um gol (finalização e oportunidades criadas)</t>
  </si>
  <si>
    <t>xG Defendidos</t>
  </si>
  <si>
    <t>xG defendidos / 90</t>
  </si>
  <si>
    <t>xGD</t>
  </si>
  <si>
    <t>Posse Ganha/90</t>
  </si>
  <si>
    <t>Poss Con/90</t>
  </si>
  <si>
    <t>xA</t>
  </si>
  <si>
    <t>Sprints/90</t>
  </si>
  <si>
    <t>Sprints / 90</t>
  </si>
  <si>
    <t>Assistências Esperadas xA</t>
  </si>
  <si>
    <t>Passes Tentados /90</t>
  </si>
  <si>
    <t>Fintas/90</t>
  </si>
  <si>
    <t>Pênaltis enfrentados</t>
  </si>
  <si>
    <t>% Pênaltis defendidos</t>
  </si>
  <si>
    <t>Minutos pra sofrer um gol</t>
  </si>
  <si>
    <t>nPen xG (xG=0,79)</t>
  </si>
  <si>
    <t>Fora de jogo</t>
  </si>
  <si>
    <t>Sprints de alta intensidade/90</t>
  </si>
  <si>
    <t>Um passe errado a cada...</t>
  </si>
  <si>
    <t>Poss Perd/90</t>
  </si>
  <si>
    <t>Posse perdida /90</t>
  </si>
  <si>
    <t>Fintas /90</t>
  </si>
  <si>
    <t>Desarmes Tentados</t>
  </si>
  <si>
    <t>Movimentos ofensivos tentados</t>
  </si>
  <si>
    <t>Movimentos ofensivos conseguidos</t>
  </si>
  <si>
    <t>Movimentos ofensivos com sucesso</t>
  </si>
  <si>
    <t>Mov Of / 90</t>
  </si>
  <si>
    <t>Cab Dec/90</t>
  </si>
  <si>
    <t>Sucesso (Overall)</t>
  </si>
  <si>
    <t>Press. tent.</t>
  </si>
  <si>
    <t>Press. conc.</t>
  </si>
  <si>
    <t>Gols + A/90</t>
  </si>
  <si>
    <t>Assistência /90</t>
  </si>
  <si>
    <t>Lances ofensivos Tentados</t>
  </si>
  <si>
    <t>Lances ofensivos tentados/90</t>
  </si>
  <si>
    <t>Lances OF conseguidos</t>
  </si>
  <si>
    <t>Lances OF conseguidos/90</t>
  </si>
  <si>
    <t>% Lances ofensivos conseguidos</t>
  </si>
  <si>
    <t>Lances defensivos Tentados</t>
  </si>
  <si>
    <t>Lances defensivos tentados/90</t>
  </si>
  <si>
    <t>Lances DEF conseguidos</t>
  </si>
  <si>
    <t>Lances DEF conseguidos/90</t>
  </si>
  <si>
    <t>% Lances defensivos conseguidos</t>
  </si>
  <si>
    <t>Lances Tentados (Ataque e Defesa)</t>
  </si>
  <si>
    <t>Lances Conseguidos (ATA e DEF)</t>
  </si>
  <si>
    <t>% Acertos Global</t>
  </si>
  <si>
    <t>Criação/90</t>
  </si>
  <si>
    <t>Tentativas de marcar um gol</t>
  </si>
  <si>
    <t>Ações no último terço / 90</t>
  </si>
  <si>
    <t>Proporção de posse Ganha - Perdida</t>
  </si>
  <si>
    <t>% Pressão pra roubar a bola com sucesso</t>
  </si>
  <si>
    <t>Lances ganhos</t>
  </si>
  <si>
    <t>%Des Ganhos</t>
  </si>
  <si>
    <t>Distância percorrida/90</t>
  </si>
  <si>
    <t>NAC</t>
  </si>
  <si>
    <t>Gols + Assist</t>
  </si>
  <si>
    <t>Fora de jogo/90</t>
  </si>
  <si>
    <t>Finalização ou Cabeceio pra um gol</t>
  </si>
  <si>
    <t>Posse Perdida/90</t>
  </si>
  <si>
    <t>Des disputados /90</t>
  </si>
  <si>
    <t>Lances Conseguidos</t>
  </si>
  <si>
    <t>% Acerto</t>
  </si>
  <si>
    <t>Passes Completados /90</t>
  </si>
  <si>
    <t>% Passes</t>
  </si>
  <si>
    <t>Chances de Sofrer um gol/90</t>
  </si>
  <si>
    <t>Movimentos de pressão tentados</t>
  </si>
  <si>
    <t>Mov Press T/90</t>
  </si>
  <si>
    <t>Movimentos de pressão ganhos</t>
  </si>
  <si>
    <t>Mov Press Ganhos /90</t>
  </si>
  <si>
    <t>% Pressão ganha/90</t>
  </si>
  <si>
    <t>Finalizações pra marcar um gol</t>
  </si>
  <si>
    <t>Média de jogos</t>
  </si>
  <si>
    <t>Pé preferido</t>
  </si>
  <si>
    <t>Ações tentadas</t>
  </si>
  <si>
    <t>Ações com sucesso</t>
  </si>
  <si>
    <t>% Acerto do goleiro</t>
  </si>
  <si>
    <t>Rems Bloq</t>
  </si>
  <si>
    <t>Interceptação + Recuperação de bola/90</t>
  </si>
  <si>
    <t>Pênaltis marcados</t>
  </si>
  <si>
    <t>Pênaltis perdidos</t>
  </si>
  <si>
    <t>% Conversão de pênalti</t>
  </si>
  <si>
    <t>Pênaltis batidos</t>
  </si>
  <si>
    <t>Gols de Penaltis</t>
  </si>
  <si>
    <t>Tentativas de Remates de fora da área /90</t>
  </si>
  <si>
    <t>Participações do jogador</t>
  </si>
  <si>
    <t>Dribles sofridos</t>
  </si>
  <si>
    <t>Dribles sofridos /90</t>
  </si>
  <si>
    <t>Dribles Sofridos</t>
  </si>
  <si>
    <t>Ações que geraram finalizações ao gol</t>
  </si>
  <si>
    <t>Ações que geraram finalizações ao gol /90</t>
  </si>
  <si>
    <t>Finalizações no gol</t>
  </si>
  <si>
    <t>Finalizações (Total)</t>
  </si>
  <si>
    <t>Dribles Sofridos /90</t>
  </si>
  <si>
    <t>Blq</t>
  </si>
  <si>
    <t>Faltas cometidas /90</t>
  </si>
  <si>
    <t>Lances disputados /90</t>
  </si>
  <si>
    <t>Lances disputados e ganhos sem falta /90</t>
  </si>
  <si>
    <t>Lances Tentados /90</t>
  </si>
  <si>
    <t>Lances Tentados (Remate, Passe, Finta, etc)</t>
  </si>
  <si>
    <t>Lances Conseguidos /90</t>
  </si>
  <si>
    <t>Sprints /90</t>
  </si>
  <si>
    <t>% Faltas que geraram um cartão</t>
  </si>
  <si>
    <t>Cartões /90</t>
  </si>
  <si>
    <t>Cartões recebidos</t>
  </si>
  <si>
    <t>Cartões vermelhos</t>
  </si>
  <si>
    <t>Cartões amarelos</t>
  </si>
  <si>
    <t>% de disputas perdidas</t>
  </si>
  <si>
    <t>Faltas cometidas/90</t>
  </si>
  <si>
    <t>Bolas disputadas e perdidas /90</t>
  </si>
  <si>
    <t>Bolas disputadas e perdidas com o adversário</t>
  </si>
  <si>
    <t>% Bolas disputadas e ganhas</t>
  </si>
  <si>
    <t>Bolas disputadas e ganhas /90</t>
  </si>
  <si>
    <t>Bolas disputadas e ganhas do adversário</t>
  </si>
  <si>
    <t>Bolas disputadas /90</t>
  </si>
  <si>
    <t>Bolas disputadas com o adversário</t>
  </si>
  <si>
    <t>Bolas roubadas /90</t>
  </si>
  <si>
    <t>Bolas roubadas do adversário</t>
  </si>
  <si>
    <t>Bolas interceptadas /90</t>
  </si>
  <si>
    <t>Bolas interceptadas</t>
  </si>
  <si>
    <t>Tentativa de criar um gol ou jogada ofensiva/ 90</t>
  </si>
  <si>
    <t>% Passes errados</t>
  </si>
  <si>
    <t>Passes Errados /90</t>
  </si>
  <si>
    <t>Passes Errados</t>
  </si>
  <si>
    <t>% Passes em progressão em relação aos curtos</t>
  </si>
  <si>
    <t>Passes em progressão/90</t>
  </si>
  <si>
    <t>Passe que são em progressão</t>
  </si>
  <si>
    <t>Passes que são curtos</t>
  </si>
  <si>
    <t>% Acerto dos passes</t>
  </si>
  <si>
    <t>Passes Certos /90</t>
  </si>
  <si>
    <t>Passes Certos</t>
  </si>
  <si>
    <t>Desarmes Ganhos/90</t>
  </si>
  <si>
    <t>Desarmes Tentados /90</t>
  </si>
  <si>
    <t>Rem Bloqueados, Interceptações  e Bloqueios/90</t>
  </si>
  <si>
    <t>Remates bloqueados /90</t>
  </si>
  <si>
    <t>Remates bloqueados</t>
  </si>
  <si>
    <t>% Cabeceios perdidos</t>
  </si>
  <si>
    <t>Cabeceios Perdidos /90</t>
  </si>
  <si>
    <t>Cabeceios Perdidos</t>
  </si>
  <si>
    <t>% Cabeceios Ganhos</t>
  </si>
  <si>
    <t>Cabeceios Ganhos /90</t>
  </si>
  <si>
    <t>Cabeceios Ganhos (Total)</t>
  </si>
  <si>
    <t>Cabeceios Tentados /90</t>
  </si>
  <si>
    <t>Cabeceios Tentados (Total)</t>
  </si>
  <si>
    <t>Erros que originaram gols /90</t>
  </si>
  <si>
    <t>Erros que geraram gol adversário</t>
  </si>
  <si>
    <t>Gols + Ast/90</t>
  </si>
  <si>
    <t>Gols+Ast</t>
  </si>
  <si>
    <t xml:space="preserve"> </t>
  </si>
  <si>
    <t>% de jogos sem sofrer gol</t>
  </si>
  <si>
    <t>Bolas roubadas</t>
  </si>
  <si>
    <t>Bolas int/90</t>
  </si>
  <si>
    <t>Chances de perigo criadas</t>
  </si>
  <si>
    <t>Chances de perigo criadas /90</t>
  </si>
  <si>
    <t>Passes em construção de jogada ofensiva</t>
  </si>
  <si>
    <t>Passes em construção de jog OF /90</t>
  </si>
  <si>
    <t>Passes curtos certos /90</t>
  </si>
  <si>
    <t>Gols /90</t>
  </si>
  <si>
    <t>Assist /90</t>
  </si>
  <si>
    <t>Gols de fora da área</t>
  </si>
  <si>
    <t>% Conclusão dos chutes de fora da área</t>
  </si>
  <si>
    <t>Gols de pen/90</t>
  </si>
  <si>
    <t>Pênaltis Defendidos</t>
  </si>
  <si>
    <t>Soma de todas as bolas enfrentadas</t>
  </si>
  <si>
    <t>Faltas Sofridas</t>
  </si>
  <si>
    <t>Faltas Sof/90</t>
  </si>
  <si>
    <t>Passes C / 90</t>
  </si>
  <si>
    <t>xA (assistências esperadas)</t>
  </si>
  <si>
    <t>xA + xG /90</t>
  </si>
  <si>
    <t>Finalizações realizadas</t>
  </si>
  <si>
    <t>Finalizações no Gol</t>
  </si>
  <si>
    <t>Finalizações /90</t>
  </si>
  <si>
    <t>Finalizações no Gol /90</t>
  </si>
  <si>
    <t>Gols esperados (xG)</t>
  </si>
  <si>
    <t>xG /90</t>
  </si>
  <si>
    <t>xG (Sem pênaltis)</t>
  </si>
  <si>
    <t>xG (Sem pênaltis) /90</t>
  </si>
  <si>
    <t>Assistências Esperadas (xA)</t>
  </si>
  <si>
    <t>xA /90</t>
  </si>
  <si>
    <t>% Finalizações Certas</t>
  </si>
  <si>
    <t>Interceptações</t>
  </si>
  <si>
    <t>Cabeceios Disputados</t>
  </si>
  <si>
    <t>Cabeceios Ganhos</t>
  </si>
  <si>
    <t>% Cabs Ganhos</t>
  </si>
  <si>
    <t>Cabeceios Disputados /90</t>
  </si>
  <si>
    <t>Bolas Interceptadas /90</t>
  </si>
  <si>
    <t>xG + xA</t>
  </si>
  <si>
    <t>xG + xA /90</t>
  </si>
  <si>
    <t>Distância percorrida (Total)</t>
  </si>
  <si>
    <t>Distância percorrida</t>
  </si>
  <si>
    <t>Distância /90</t>
  </si>
  <si>
    <t>Minutos pra fazer um Passe Decisivo</t>
  </si>
  <si>
    <t>Minutos pra criar uma chance perigosa</t>
  </si>
  <si>
    <t>xG Defendidos sem pênalti</t>
  </si>
  <si>
    <t>xG Defendidos sem pênalti /90</t>
  </si>
  <si>
    <t>Gols convertidos /90</t>
  </si>
  <si>
    <t>Over xG / Under xG per 90</t>
  </si>
  <si>
    <t>xA + xG (sem pen)</t>
  </si>
  <si>
    <t>xA + xG sem pen</t>
  </si>
  <si>
    <t>% Gols Sofridos comparado aos outros goleiros</t>
  </si>
  <si>
    <t>Gols Sofridos</t>
  </si>
  <si>
    <t>Cartões Amarelos</t>
  </si>
  <si>
    <t>Cartões Vermelhos</t>
  </si>
  <si>
    <t>Proporção de Defesas vs Chutes</t>
  </si>
  <si>
    <t>Defesas Seguras</t>
  </si>
  <si>
    <t>Defesas Seguras /90</t>
  </si>
  <si>
    <t>Defesas Com a Ponta dos Dedos</t>
  </si>
  <si>
    <t>Defesas com a ponta dos dedos /90</t>
  </si>
  <si>
    <t>Defesas Desviadas</t>
  </si>
  <si>
    <t>Defesas Desviadas /90</t>
  </si>
  <si>
    <t>% Def Desviadas</t>
  </si>
  <si>
    <t>% Def com a ponta dos dedos</t>
  </si>
  <si>
    <t>Minutos pra tentar uma finalização</t>
  </si>
  <si>
    <t>Minutos pra acertar um remate no gol</t>
  </si>
  <si>
    <t>Tentativas de marcar um gol  /90</t>
  </si>
  <si>
    <t>Desarme + Pressões Tentadas</t>
  </si>
  <si>
    <t>Desarme + Pressões Concluídas</t>
  </si>
  <si>
    <t>Des + Pres T /90</t>
  </si>
  <si>
    <t>% Des + Pressões concluídas</t>
  </si>
  <si>
    <t>Des + Pres C /90</t>
  </si>
  <si>
    <t>Interceptação + Recuperação de bola</t>
  </si>
  <si>
    <t>Cabeceios Ganhos/90</t>
  </si>
  <si>
    <t>Des Ganhos/90</t>
  </si>
  <si>
    <t>Dribles Sofridos/90</t>
  </si>
  <si>
    <t>Movimentos de pressão Tentados</t>
  </si>
  <si>
    <t>Movimentos de pressão Concretizados</t>
  </si>
  <si>
    <t>Lances disputados/90</t>
  </si>
  <si>
    <t>Lances ganhos/90</t>
  </si>
  <si>
    <t>Bolas Interceptadas</t>
  </si>
  <si>
    <t>Bolas Int / 90</t>
  </si>
  <si>
    <t>Minutos pra acertar uma finalização no gol</t>
  </si>
  <si>
    <t>Cruzamentos Tentados</t>
  </si>
  <si>
    <t>Cruzamentos com sucesso</t>
  </si>
  <si>
    <t>% Cruzamentos certos</t>
  </si>
  <si>
    <t>Ações no último terço (Fintas, chances criadas, remates)</t>
  </si>
  <si>
    <t>Chances criadas</t>
  </si>
  <si>
    <t>Último terço/90</t>
  </si>
  <si>
    <t>Chances criadas /90</t>
  </si>
  <si>
    <t>Criação (Jogadas Ofensivas)</t>
  </si>
  <si>
    <t>Tentativas totais de remate de fora da área</t>
  </si>
  <si>
    <t>Finalizações que se converteram em gols</t>
  </si>
  <si>
    <t>Desarmes Tentados/90</t>
  </si>
  <si>
    <t>Desarmes ganhos/90</t>
  </si>
  <si>
    <t>Bolas disputadas com o adversário /90</t>
  </si>
  <si>
    <t>Bolas disputadas e ganhas</t>
  </si>
  <si>
    <t>%Faltas Sem Cartão</t>
  </si>
  <si>
    <t>% Finalizações que converteram em gol</t>
  </si>
  <si>
    <t>Tentativas de Saída do gol pra 1v1</t>
  </si>
  <si>
    <t>Tentativas de saída do gol /90</t>
  </si>
  <si>
    <t>Saídas do gol com sucesso</t>
  </si>
  <si>
    <t>Saídas do gol com sucesso /90</t>
  </si>
  <si>
    <t>Saídas do gol falhas</t>
  </si>
  <si>
    <t>Saídas do gol falhas /90</t>
  </si>
  <si>
    <t>% De Acerto nas Saídas do gol</t>
  </si>
  <si>
    <t>Não está à venda</t>
  </si>
  <si>
    <t>Posse Desperdiçada</t>
  </si>
  <si>
    <t>Posse Desperdiçada /90</t>
  </si>
  <si>
    <t>% de vezes que foi eleito o Homem do Jogo</t>
  </si>
  <si>
    <t>Minutos pra ser o homem do jogo</t>
  </si>
  <si>
    <t>Pontuação recebida</t>
  </si>
  <si>
    <t>% Def Dificeis</t>
  </si>
  <si>
    <t>Jogos Totais</t>
  </si>
  <si>
    <t>Minutos por partida</t>
  </si>
  <si>
    <t>Jogadas de Criação</t>
  </si>
  <si>
    <t>Tentativas de marcar um gol/90</t>
  </si>
  <si>
    <t>Jogos como Titular</t>
  </si>
  <si>
    <t>Participações do jogador /90</t>
  </si>
  <si>
    <t>Finalizações</t>
  </si>
  <si>
    <t>Distância Percorrida</t>
  </si>
  <si>
    <t>Ações com Bola</t>
  </si>
  <si>
    <t>Ações com Bola/90</t>
  </si>
  <si>
    <t>Velocidade Média (em km/h)</t>
  </si>
  <si>
    <t>Sprints de alta intensidade</t>
  </si>
  <si>
    <t>Gols+ Assist / 90</t>
  </si>
  <si>
    <t>Passes Decisivos</t>
  </si>
  <si>
    <t>Passes Decisivos /90</t>
  </si>
  <si>
    <t>% Finalizações que foram no gol</t>
  </si>
  <si>
    <t>Finalizações no gol/90</t>
  </si>
  <si>
    <r>
      <rPr>
        <b/>
        <sz val="8"/>
        <color theme="5" tint="0.39997558519241921"/>
        <rFont val="Verdana"/>
        <family val="2"/>
      </rPr>
      <t xml:space="preserve">Gols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</si>
  <si>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 xml:space="preserve">Chutes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</si>
  <si>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>Gols</t>
    </r>
    <r>
      <rPr>
        <b/>
        <sz val="8"/>
        <color theme="0" tint="0.79998168889431442"/>
        <rFont val="Verdana"/>
        <family val="2"/>
      </rPr>
      <t xml:space="preserve"> de dentro da área</t>
    </r>
  </si>
  <si>
    <r>
      <rPr>
        <b/>
        <sz val="8"/>
        <color theme="5" tint="0.39997558519241921"/>
        <rFont val="Verdana"/>
        <family val="2"/>
      </rPr>
      <t>Gols</t>
    </r>
    <r>
      <rPr>
        <b/>
        <sz val="8"/>
        <color theme="0" tint="0.79998168889431442"/>
        <rFont val="Verdana"/>
        <family val="2"/>
      </rPr>
      <t xml:space="preserve"> de dentro da área /90</t>
    </r>
  </si>
  <si>
    <t>% Bolas disputadas e ganhas (sem falta)</t>
  </si>
  <si>
    <t>Passes Decisivos (Total)</t>
  </si>
  <si>
    <t>Assistências Claras que a Equipe desperdiçou</t>
  </si>
  <si>
    <t>Passes Decisivos pra uma assistência</t>
  </si>
  <si>
    <t>Pass Decisivos que se converteram em assistências</t>
  </si>
  <si>
    <t>Chances Criadas em Bola Parada</t>
  </si>
  <si>
    <t>Minutos pra criar uma chance de perigo</t>
  </si>
  <si>
    <t>Sprints (Total)</t>
  </si>
  <si>
    <t>Assistências Desperdiçadas pela Equipe</t>
  </si>
  <si>
    <t>xA / Passe Decisivo</t>
  </si>
  <si>
    <t>Erros Defensivos</t>
  </si>
  <si>
    <t>Erros Defensivos /90</t>
  </si>
  <si>
    <t>Tentativas (Cabs, Desarmes, Pressão)</t>
  </si>
  <si>
    <t>Tentativas Cabs, Des, Pres /90</t>
  </si>
  <si>
    <t>Acertos (Cabs, Des, Pres)</t>
  </si>
  <si>
    <t>Erros</t>
  </si>
  <si>
    <t>xA por passe decisivo</t>
  </si>
  <si>
    <t>Lances ofensivos tentados</t>
  </si>
  <si>
    <t>Lances ofensivos conseguidos</t>
  </si>
  <si>
    <t>Posse Perdida /90</t>
  </si>
  <si>
    <t>Posse Perdida</t>
  </si>
  <si>
    <t>Eficácia ofensiva</t>
  </si>
  <si>
    <t>Cabeceios que evitaram jogada ofensiva</t>
  </si>
  <si>
    <t>Cabs que evitaram jogada ofensiva /90</t>
  </si>
  <si>
    <t>Desarmes Decisivos</t>
  </si>
  <si>
    <t>Desarmes Decisivos / 90</t>
  </si>
  <si>
    <t>Desarmes Decisivos /90</t>
  </si>
  <si>
    <t>Ações no último terço (Finta, Pass D, OGC, etc)</t>
  </si>
  <si>
    <t>xA por Passes Decisivos</t>
  </si>
  <si>
    <t>Tentativa de criar um gol ou jogada ofensiva</t>
  </si>
  <si>
    <t>GPI (Goal Probability Index)</t>
  </si>
  <si>
    <t>Índice de Defesas Críticas</t>
  </si>
  <si>
    <t>xG sem pênalti</t>
  </si>
  <si>
    <t>non Pen xG/90</t>
  </si>
  <si>
    <t>xG sem pênaltis</t>
  </si>
  <si>
    <t>non Pen xG /90</t>
  </si>
  <si>
    <t>Gols não esperados SEM PÊNALTI</t>
  </si>
  <si>
    <t>ARG</t>
  </si>
  <si>
    <t>Soma de todos os desarmes</t>
  </si>
  <si>
    <t>% Des em relação a media</t>
  </si>
  <si>
    <t>Ações no último terço</t>
  </si>
  <si>
    <t>CHI</t>
  </si>
  <si>
    <t>Minutos pra PARTICIPAR de um gol</t>
  </si>
  <si>
    <t>Minutos pra MARCAR um gol</t>
  </si>
  <si>
    <t>Cruzamentos T /90</t>
  </si>
  <si>
    <t>Cruzamentos C/90</t>
  </si>
  <si>
    <t>Ações com Bola (Completadas)</t>
  </si>
  <si>
    <t>Ações com Bola Tentadas</t>
  </si>
  <si>
    <t>Ações com Bola T/90</t>
  </si>
  <si>
    <t>Ações com Bola Comp /90</t>
  </si>
  <si>
    <t>% Sucesso de ações com bola</t>
  </si>
  <si>
    <t>Bolas recuperadas</t>
  </si>
  <si>
    <t>Bolas recuperadas / 90</t>
  </si>
  <si>
    <t>Faltas/90</t>
  </si>
  <si>
    <t xml:space="preserve">Ações no último terço </t>
  </si>
  <si>
    <t>Lances ofensivos / 90</t>
  </si>
  <si>
    <t>Lances ofensivos conseguidos / 90</t>
  </si>
  <si>
    <t>Alívios /90</t>
  </si>
  <si>
    <t>Média de altura</t>
  </si>
  <si>
    <t>Gols+Ast /90</t>
  </si>
  <si>
    <t>% Fin</t>
  </si>
  <si>
    <t>% Passes certos/90</t>
  </si>
  <si>
    <t>Cabs Ganhos / 90</t>
  </si>
  <si>
    <t>Passes completados/90</t>
  </si>
  <si>
    <t>Lances aéreos disputados /90</t>
  </si>
  <si>
    <t>Passes tentados/90</t>
  </si>
  <si>
    <t>Média de idade</t>
  </si>
  <si>
    <t>Análise da Equipe</t>
  </si>
  <si>
    <t>Dist/90</t>
  </si>
  <si>
    <t>Posição</t>
  </si>
  <si>
    <t>% Desarmes</t>
  </si>
  <si>
    <t>Desarmes G/90</t>
  </si>
  <si>
    <t>Des T /90</t>
  </si>
  <si>
    <t>Cabeceios Disputados/90</t>
  </si>
  <si>
    <t>Conversão de Gols</t>
  </si>
  <si>
    <t>% Finalizações certas</t>
  </si>
  <si>
    <t>Finalizações Certas /90</t>
  </si>
  <si>
    <t>Fin/90</t>
  </si>
  <si>
    <t>xA + xG sem pen /90</t>
  </si>
  <si>
    <t>Cruzamentos %</t>
  </si>
  <si>
    <t>Perda de posse /90 minutos</t>
  </si>
  <si>
    <t>Perda da posse de bola</t>
  </si>
  <si>
    <t>% Passes certos /90</t>
  </si>
  <si>
    <t>Passes errados /90</t>
  </si>
  <si>
    <t>Pass Certos / 90</t>
  </si>
  <si>
    <t>Altura           (em metros)</t>
  </si>
  <si>
    <t>Minutos Jogados</t>
  </si>
  <si>
    <t>Non Pen xG/90</t>
  </si>
  <si>
    <t>Posse Ganha Total</t>
  </si>
  <si>
    <t>Posse Ganha /90</t>
  </si>
  <si>
    <t>Posse Perdida Total</t>
  </si>
  <si>
    <t>Falhas/90</t>
  </si>
  <si>
    <t>Clean Sheets/90</t>
  </si>
  <si>
    <t>Passes em progressão</t>
  </si>
  <si>
    <t>Pass Progr /90</t>
  </si>
  <si>
    <t>% Passes em progressão</t>
  </si>
  <si>
    <t>Pass D/90</t>
  </si>
  <si>
    <t>Passes Curtos</t>
  </si>
  <si>
    <t>Passes Curtos /90</t>
  </si>
  <si>
    <t>Expected Goals Prevented xGP</t>
  </si>
  <si>
    <t>xG Conclusion</t>
  </si>
  <si>
    <t>xA Conclusion</t>
  </si>
  <si>
    <t>% Passes Certos</t>
  </si>
  <si>
    <t>Passes Completados</t>
  </si>
  <si>
    <t>Passes completados /90</t>
  </si>
  <si>
    <t>182 cm</t>
  </si>
  <si>
    <t>xPG Ratio</t>
  </si>
  <si>
    <t>-</t>
  </si>
  <si>
    <t>192 cm</t>
  </si>
  <si>
    <t>178 cm</t>
  </si>
  <si>
    <t>Gols + Ast</t>
  </si>
  <si>
    <t>188 cm</t>
  </si>
  <si>
    <t>COL</t>
  </si>
  <si>
    <t>Grêmio</t>
  </si>
  <si>
    <t>Bragantino</t>
  </si>
  <si>
    <t>150m € - 1,5M €</t>
  </si>
  <si>
    <t>Atlético Mineiro</t>
  </si>
  <si>
    <t>Remo</t>
  </si>
  <si>
    <t>275m € - 2,8M €</t>
  </si>
  <si>
    <t>''''''''''''''''''</t>
  </si>
  <si>
    <t>% Finalizações em direção ao gol</t>
  </si>
  <si>
    <t>Cartão Amarelo/90</t>
  </si>
  <si>
    <t>Cartão Vermelho</t>
  </si>
  <si>
    <t>Cartão Vermelho/90</t>
  </si>
  <si>
    <t>% Cartões por falta cometida</t>
  </si>
  <si>
    <t>Cartões Recebidos no Total</t>
  </si>
  <si>
    <t>Posse perdida</t>
  </si>
  <si>
    <t>CT-JA</t>
  </si>
  <si>
    <t>CC-JA</t>
  </si>
  <si>
    <t>Gols Sem Pênalti</t>
  </si>
  <si>
    <t>Gols Sem Pênalti /90</t>
  </si>
  <si>
    <t>Pen Def/90</t>
  </si>
  <si>
    <t>Pen Enf/90</t>
  </si>
  <si>
    <t>184 cm</t>
  </si>
  <si>
    <t>186 cm</t>
  </si>
  <si>
    <t>Passes que são em progressão</t>
  </si>
  <si>
    <t>Cabs ganhos /90</t>
  </si>
  <si>
    <t>Cabs perdidos /90</t>
  </si>
  <si>
    <t>176 cm</t>
  </si>
  <si>
    <t>Bahia</t>
  </si>
  <si>
    <t>Cruzeiro</t>
  </si>
  <si>
    <t>Fluminense</t>
  </si>
  <si>
    <t>Vasco da Gama</t>
  </si>
  <si>
    <t>Internacional</t>
  </si>
  <si>
    <t>João Pedro</t>
  </si>
  <si>
    <t>183 cm</t>
  </si>
  <si>
    <t>185 cm</t>
  </si>
  <si>
    <t>175 cm</t>
  </si>
  <si>
    <t>180 cm</t>
  </si>
  <si>
    <t>Gustavo Henrique</t>
  </si>
  <si>
    <t>Gols + Assist /90</t>
  </si>
  <si>
    <t>Vitória</t>
  </si>
  <si>
    <t>189 cm</t>
  </si>
  <si>
    <t>URU</t>
  </si>
  <si>
    <t>191 cm</t>
  </si>
  <si>
    <t>Finalizações no gol pra marcar um gol</t>
  </si>
  <si>
    <t>Finalizações no gol /90</t>
  </si>
  <si>
    <t>% dos cabeceios que são ofensivos</t>
  </si>
  <si>
    <t>xG SP</t>
  </si>
  <si>
    <t>xG Esperados SEM PÊNALTI</t>
  </si>
  <si>
    <t>Cabeceios Ofensivos (Tentados)</t>
  </si>
  <si>
    <t>Cabeceios ofensivos T /90</t>
  </si>
  <si>
    <t>Cabeceios Ofensivos que foram no gol</t>
  </si>
  <si>
    <t>% Cabeceios que foram em direção ao gol</t>
  </si>
  <si>
    <t>xG por Remate ou Cabeceio</t>
  </si>
  <si>
    <t>Cabs Of. que foram no gol /90</t>
  </si>
  <si>
    <t>181 cm</t>
  </si>
  <si>
    <t>Passe Tentados/ 90</t>
  </si>
  <si>
    <t>Cruzamentos T/90</t>
  </si>
  <si>
    <t>Erros que originaram gol</t>
  </si>
  <si>
    <t>Erros que geraram gol/90</t>
  </si>
  <si>
    <t>Participações do jogador (Fintas, passes, etc)</t>
  </si>
  <si>
    <t>Cabeceios Disp /90</t>
  </si>
  <si>
    <t>Cabeceios G/90</t>
  </si>
  <si>
    <t>Athletico Paranaense</t>
  </si>
  <si>
    <t>João Lucas</t>
  </si>
  <si>
    <t>179 cm</t>
  </si>
  <si>
    <t>Mateusinho</t>
  </si>
  <si>
    <t>VEN</t>
  </si>
  <si>
    <t>160m € - 1,6M €</t>
  </si>
  <si>
    <t>Nação</t>
  </si>
  <si>
    <t>Minutos</t>
  </si>
  <si>
    <t>Des Dec/90</t>
  </si>
  <si>
    <t>EPG</t>
  </si>
  <si>
    <t>Recomendação</t>
  </si>
  <si>
    <t>Observação</t>
  </si>
  <si>
    <t>Nenhuma</t>
  </si>
  <si>
    <t>Completa</t>
  </si>
  <si>
    <t>Bruno Gomes</t>
  </si>
  <si>
    <t>650m € - 8M €</t>
  </si>
  <si>
    <t>26,5m € p/m</t>
  </si>
  <si>
    <t>Pressões Tentadas</t>
  </si>
  <si>
    <t>Pressões concluídas</t>
  </si>
  <si>
    <t>Pressões T /90</t>
  </si>
  <si>
    <t>Pressões C /90</t>
  </si>
  <si>
    <t>Des C</t>
  </si>
  <si>
    <t>Desarmes Conseguidos</t>
  </si>
  <si>
    <t>Desarmes C/90</t>
  </si>
  <si>
    <t>Placar de Esforço</t>
  </si>
  <si>
    <t>Les</t>
  </si>
  <si>
    <t>15m € p/m</t>
  </si>
  <si>
    <t>Golos Sofridos</t>
  </si>
  <si>
    <t>Classificação</t>
  </si>
  <si>
    <t>Pé Direito</t>
  </si>
  <si>
    <t>Somente Pé Direito</t>
  </si>
  <si>
    <t>Faltas Cometidas</t>
  </si>
  <si>
    <t>Faltas Contra</t>
  </si>
  <si>
    <t>PeP</t>
  </si>
  <si>
    <t>Passes Ch</t>
  </si>
  <si>
    <t>Somente Pé Esquerdo</t>
  </si>
  <si>
    <t>41,5m € p/m</t>
  </si>
  <si>
    <t>Pé Esquerdo</t>
  </si>
  <si>
    <t>65m € - 650m €</t>
  </si>
  <si>
    <t>Opç</t>
  </si>
  <si>
    <t>Everton Ribeiro</t>
  </si>
  <si>
    <t>553,3 km</t>
  </si>
  <si>
    <t>6m € - 22m €</t>
  </si>
  <si>
    <t>244m € p/m</t>
  </si>
  <si>
    <t>Coritiba</t>
  </si>
  <si>
    <t>41m € p/m</t>
  </si>
  <si>
    <t>Mirassol</t>
  </si>
  <si>
    <t>130m € - 1,3M €</t>
  </si>
  <si>
    <t>Erick</t>
  </si>
  <si>
    <t>418,2 km</t>
  </si>
  <si>
    <t>37,5m € p/m</t>
  </si>
  <si>
    <t>4,7m € p/m</t>
  </si>
  <si>
    <t>32,5m € p/m</t>
  </si>
  <si>
    <t>Sebastián Gómez</t>
  </si>
  <si>
    <t>19m € p/m</t>
  </si>
  <si>
    <t>457,2 km</t>
  </si>
  <si>
    <t>Lucas Silva</t>
  </si>
  <si>
    <t>442,1 km</t>
  </si>
  <si>
    <t>55m €</t>
  </si>
  <si>
    <t>55,5m € p/m</t>
  </si>
  <si>
    <t>12,5m € p/m</t>
  </si>
  <si>
    <t>Neto Moura</t>
  </si>
  <si>
    <t>440,7 km</t>
  </si>
  <si>
    <t>10,75m € p/m</t>
  </si>
  <si>
    <t>18m € - 65m €</t>
  </si>
  <si>
    <t>195 cm</t>
  </si>
  <si>
    <t>6,25m € p/m</t>
  </si>
  <si>
    <t>190 cm</t>
  </si>
  <si>
    <t>Presenças</t>
  </si>
  <si>
    <t>Golos</t>
  </si>
  <si>
    <t>Assist.</t>
  </si>
  <si>
    <t>Remates em livres</t>
  </si>
  <si>
    <t>Maicon</t>
  </si>
  <si>
    <t>210m € - 2,1M €</t>
  </si>
  <si>
    <t>14,5m € p/m</t>
  </si>
  <si>
    <t>Gustavo Martins</t>
  </si>
  <si>
    <t>6,4M € - 7,6M €</t>
  </si>
  <si>
    <t>16,5m € p/m</t>
  </si>
  <si>
    <t>2m € p/m</t>
  </si>
  <si>
    <t>6m € p/m</t>
  </si>
  <si>
    <t>39 (1)</t>
  </si>
  <si>
    <t>Pedro Henrique</t>
  </si>
  <si>
    <t>35m € p/m</t>
  </si>
  <si>
    <t>5M €</t>
  </si>
  <si>
    <t>42 (3)</t>
  </si>
  <si>
    <t>Pass Decisivos / 90</t>
  </si>
  <si>
    <t>83,5m € p/m</t>
  </si>
  <si>
    <t>53 (3)</t>
  </si>
  <si>
    <t>554,6 km</t>
  </si>
  <si>
    <t>Lucas Esquivel</t>
  </si>
  <si>
    <t>1,4M €</t>
  </si>
  <si>
    <t>25 (25)</t>
  </si>
  <si>
    <t>464,4 km</t>
  </si>
  <si>
    <t>4,5m € p/m</t>
  </si>
  <si>
    <t>17 (19)</t>
  </si>
  <si>
    <t>242,2 km</t>
  </si>
  <si>
    <t>Cuiabano</t>
  </si>
  <si>
    <t>9,2M € - 15,5M €</t>
  </si>
  <si>
    <t>97,5m € p/m</t>
  </si>
  <si>
    <t>40 (1)</t>
  </si>
  <si>
    <t>Guilherme Arana</t>
  </si>
  <si>
    <t>5,6M € - 9,4M €</t>
  </si>
  <si>
    <t>128m € p/m</t>
  </si>
  <si>
    <t>48 (3)</t>
  </si>
  <si>
    <t>511,3 km</t>
  </si>
  <si>
    <t>Braian Cufré</t>
  </si>
  <si>
    <t>43 (2)</t>
  </si>
  <si>
    <t>490,4 km</t>
  </si>
  <si>
    <t>Fágner</t>
  </si>
  <si>
    <t>168 cm</t>
  </si>
  <si>
    <t>150m € p/m</t>
  </si>
  <si>
    <t>23 (22)</t>
  </si>
  <si>
    <t>313,0 km</t>
  </si>
  <si>
    <t>Paulo Henrique</t>
  </si>
  <si>
    <t>2,1M € - 4,7M €</t>
  </si>
  <si>
    <t>41 (3)</t>
  </si>
  <si>
    <t>453,2 km</t>
  </si>
  <si>
    <t>22 (21)</t>
  </si>
  <si>
    <t>287,0 km</t>
  </si>
  <si>
    <t>Vanderlan</t>
  </si>
  <si>
    <t>5,8M €</t>
  </si>
  <si>
    <t>9,5m € p/m</t>
  </si>
  <si>
    <t>18 (29)</t>
  </si>
  <si>
    <t>276,5 km</t>
  </si>
  <si>
    <t>Passes curtos e certos /90</t>
  </si>
  <si>
    <t>1,95</t>
  </si>
  <si>
    <t>2,47</t>
  </si>
  <si>
    <t>2,97</t>
  </si>
  <si>
    <t>6,23</t>
  </si>
  <si>
    <t>6,92</t>
  </si>
  <si>
    <t>8,88</t>
  </si>
  <si>
    <t>0,96</t>
  </si>
  <si>
    <t>1,05</t>
  </si>
  <si>
    <t>2,73</t>
  </si>
  <si>
    <t>1,77</t>
  </si>
  <si>
    <t>3,2</t>
  </si>
  <si>
    <t>2,36</t>
  </si>
  <si>
    <t>2,29</t>
  </si>
  <si>
    <t>5,3</t>
  </si>
  <si>
    <t>5,21</t>
  </si>
  <si>
    <t>5,07</t>
  </si>
  <si>
    <t>4,08</t>
  </si>
  <si>
    <t>9,4</t>
  </si>
  <si>
    <t>5,56</t>
  </si>
  <si>
    <t>3,82</t>
  </si>
  <si>
    <t>500 € p/m</t>
  </si>
  <si>
    <t>30m € - 300m €</t>
  </si>
  <si>
    <t>8,5m € p/m</t>
  </si>
  <si>
    <t>Carabobo</t>
  </si>
  <si>
    <t>80m € - 800m €</t>
  </si>
  <si>
    <t>198 cm</t>
  </si>
  <si>
    <t>140m € - 1,4M €</t>
  </si>
  <si>
    <t>Lanús</t>
  </si>
  <si>
    <t>Universidad de Chile</t>
  </si>
  <si>
    <t>170m € - 1,7M €</t>
  </si>
  <si>
    <t>Londrina</t>
  </si>
  <si>
    <t>5,5m € p/m</t>
  </si>
  <si>
    <t>14,25m € p/m</t>
  </si>
  <si>
    <t>América Mineiro</t>
  </si>
  <si>
    <t>172 cm</t>
  </si>
  <si>
    <t>173 cm</t>
  </si>
  <si>
    <t>41 (2)</t>
  </si>
  <si>
    <t>174 cm</t>
  </si>
  <si>
    <t>Juventude</t>
  </si>
  <si>
    <t>20m € - 200m €</t>
  </si>
  <si>
    <t>47 (5)</t>
  </si>
  <si>
    <t>56,5m € p/m</t>
  </si>
  <si>
    <t>30 (26)</t>
  </si>
  <si>
    <t>171 cm</t>
  </si>
  <si>
    <t>3.74</t>
  </si>
  <si>
    <t>32m € p/m</t>
  </si>
  <si>
    <t>165 cm</t>
  </si>
  <si>
    <t>30 (3)</t>
  </si>
  <si>
    <t>Remates de fora da área em cada 90 minutes</t>
  </si>
  <si>
    <t>POR</t>
  </si>
  <si>
    <t>Josué</t>
  </si>
  <si>
    <t>10m € - 110m €</t>
  </si>
  <si>
    <t>461,0 km</t>
  </si>
  <si>
    <t>Juan Camilo Pérez</t>
  </si>
  <si>
    <t>40 (5)</t>
  </si>
  <si>
    <t>431,9 km</t>
  </si>
  <si>
    <t>Israel Poblete</t>
  </si>
  <si>
    <t>425,9 km</t>
  </si>
  <si>
    <t>Marcelino Moreno</t>
  </si>
  <si>
    <t>420,5 km</t>
  </si>
  <si>
    <t>Pablo Roberto</t>
  </si>
  <si>
    <t>6M € - 9,2M €</t>
  </si>
  <si>
    <t>392,6 km</t>
  </si>
  <si>
    <t>Bruno Zapelli</t>
  </si>
  <si>
    <t>3,5M €</t>
  </si>
  <si>
    <t>391,6 km</t>
  </si>
  <si>
    <t>11,25m € p/m</t>
  </si>
  <si>
    <t>1.4</t>
  </si>
  <si>
    <t>Taxa de Conversão %</t>
  </si>
  <si>
    <t>Matheuzinho</t>
  </si>
  <si>
    <t>1M € - 2,3M €</t>
  </si>
  <si>
    <t>336,2 km</t>
  </si>
  <si>
    <t>Golos marcados de fora da área</t>
  </si>
  <si>
    <t>Miguel Monsalve</t>
  </si>
  <si>
    <t>3,1M € - 6,2M €</t>
  </si>
  <si>
    <t>David Terans</t>
  </si>
  <si>
    <t>48m € p/m</t>
  </si>
  <si>
    <t>Chances Criadas em  Bolas Paradas</t>
  </si>
  <si>
    <t>Cobranças de falta (Diretas)</t>
  </si>
  <si>
    <t>Hulk</t>
  </si>
  <si>
    <t>375m € p/m</t>
  </si>
  <si>
    <t>Carlinhos</t>
  </si>
  <si>
    <t>GNB</t>
  </si>
  <si>
    <t>Tentativas de  Criar  uma chance em Bola Parada</t>
  </si>
  <si>
    <t>% Aproveitamento das Tentativas de Criar chance em  BP</t>
  </si>
  <si>
    <t>6,66</t>
  </si>
  <si>
    <t>Tentativas/90</t>
  </si>
  <si>
    <t>Chances C /90</t>
  </si>
  <si>
    <t>Conversão dos chutes de fora da  área</t>
  </si>
  <si>
    <t>Gols dentro da área</t>
  </si>
  <si>
    <t>Gols de pênalti</t>
  </si>
  <si>
    <t>Escolhido</t>
  </si>
  <si>
    <t>Tchoca</t>
  </si>
  <si>
    <t>196 cm</t>
  </si>
  <si>
    <t>André</t>
  </si>
  <si>
    <t>Rodrigo Garro</t>
  </si>
  <si>
    <t>Yuri Alberto</t>
  </si>
  <si>
    <t>0.14</t>
  </si>
  <si>
    <t>Yago Pikachu</t>
  </si>
  <si>
    <t>169 cm</t>
  </si>
  <si>
    <t>47m € p/m</t>
  </si>
  <si>
    <t>Felipe Amaral</t>
  </si>
  <si>
    <t>350m € - 3,4M €</t>
  </si>
  <si>
    <t>6,5m € p/m</t>
  </si>
  <si>
    <t>33 (5)</t>
  </si>
  <si>
    <t>5.11</t>
  </si>
  <si>
    <t>379,6 km</t>
  </si>
  <si>
    <t>Vicente Pizarro</t>
  </si>
  <si>
    <t>Rosario Central</t>
  </si>
  <si>
    <t>500m € - 5,2M €</t>
  </si>
  <si>
    <t>36 (3)</t>
  </si>
  <si>
    <t>302,4 km</t>
  </si>
  <si>
    <t>Ignacio Sosa</t>
  </si>
  <si>
    <t>400m € - 4M €</t>
  </si>
  <si>
    <t>38 (10)</t>
  </si>
  <si>
    <t>5.69</t>
  </si>
  <si>
    <t>395,5 km</t>
  </si>
  <si>
    <t>Johan Caicedo</t>
  </si>
  <si>
    <t>Deportivo Pasto</t>
  </si>
  <si>
    <t>1,6M € - 3,4M €</t>
  </si>
  <si>
    <t>10,25m € p/m</t>
  </si>
  <si>
    <t>32 (2)</t>
  </si>
  <si>
    <t>2.29</t>
  </si>
  <si>
    <t>330,2 km</t>
  </si>
  <si>
    <t>ECU</t>
  </si>
  <si>
    <t>Sergio Vásquez</t>
  </si>
  <si>
    <t>Orense</t>
  </si>
  <si>
    <t>325m € - 3,2M €</t>
  </si>
  <si>
    <t>2.71</t>
  </si>
  <si>
    <t>393,1 km</t>
  </si>
  <si>
    <t>José Mercado</t>
  </si>
  <si>
    <t>Unión Magdalena</t>
  </si>
  <si>
    <t>375m € - 1,3M €</t>
  </si>
  <si>
    <t>3,5m € p/m</t>
  </si>
  <si>
    <t>34 (4)</t>
  </si>
  <si>
    <t>6.87</t>
  </si>
  <si>
    <t>38,1 km</t>
  </si>
  <si>
    <t>Jhojan Torres</t>
  </si>
  <si>
    <t>Independiente Santa Fe</t>
  </si>
  <si>
    <t>750m € - 1,7M €</t>
  </si>
  <si>
    <t>22m € p/m</t>
  </si>
  <si>
    <t>37 (4)</t>
  </si>
  <si>
    <t>4.73</t>
  </si>
  <si>
    <t>243,9 km</t>
  </si>
  <si>
    <t>1,6m € p/m</t>
  </si>
  <si>
    <t>João Tavares</t>
  </si>
  <si>
    <t>55m € - 550m €</t>
  </si>
  <si>
    <t>1,1m € p/m</t>
  </si>
  <si>
    <t>33 (8)</t>
  </si>
  <si>
    <t>4.13</t>
  </si>
  <si>
    <t>326,5 km</t>
  </si>
  <si>
    <t>Cauan Barros</t>
  </si>
  <si>
    <t>4,9M € - 9,2M €</t>
  </si>
  <si>
    <t>32 (10)</t>
  </si>
  <si>
    <t>4.57</t>
  </si>
  <si>
    <t>371,3 km</t>
  </si>
  <si>
    <t>Zé Lucas</t>
  </si>
  <si>
    <t>Sport Recife</t>
  </si>
  <si>
    <t>1,6M €</t>
  </si>
  <si>
    <t>34 (7)</t>
  </si>
  <si>
    <t>6.09</t>
  </si>
  <si>
    <t>360,8 km</t>
  </si>
  <si>
    <t>Santos</t>
  </si>
  <si>
    <t>2.39</t>
  </si>
  <si>
    <t>53 (2)</t>
  </si>
  <si>
    <t>7,75m € p/m</t>
  </si>
  <si>
    <t>45 (1)</t>
  </si>
  <si>
    <t>3,4m € p/m</t>
  </si>
  <si>
    <t>Rafael Santos Borré</t>
  </si>
  <si>
    <t>319m € p/m</t>
  </si>
  <si>
    <t>194 cm</t>
  </si>
  <si>
    <t>187 cm</t>
  </si>
  <si>
    <t>110m € - 1,1M €</t>
  </si>
  <si>
    <t>10,5m € p/m</t>
  </si>
  <si>
    <t>1,8m € p/m</t>
  </si>
  <si>
    <t>1.65</t>
  </si>
  <si>
    <t>Renan Peixoto</t>
  </si>
  <si>
    <t>550m €</t>
  </si>
  <si>
    <t>600m € - 5,8M €</t>
  </si>
  <si>
    <t>1.73</t>
  </si>
  <si>
    <t>9.56</t>
  </si>
  <si>
    <t>0 € - 35m €</t>
  </si>
  <si>
    <t>Rodrigo Rodrigues</t>
  </si>
  <si>
    <t>Mateo Cassierra</t>
  </si>
  <si>
    <t>Impedimentos</t>
  </si>
  <si>
    <t>Impedimentos / 90</t>
  </si>
  <si>
    <t>1.92</t>
  </si>
  <si>
    <t>141m € p/m</t>
  </si>
  <si>
    <t>Pro</t>
  </si>
  <si>
    <t>1.62</t>
  </si>
  <si>
    <t>11,5m € p/m</t>
  </si>
  <si>
    <t>5,6M € - 8,4M €</t>
  </si>
  <si>
    <t>4.99</t>
  </si>
  <si>
    <t>12 (1)</t>
  </si>
  <si>
    <t>27 (3)</t>
  </si>
  <si>
    <t>Lucas Barbosa</t>
  </si>
  <si>
    <t>4,1M €</t>
  </si>
  <si>
    <t>2,7M € - 6M €</t>
  </si>
  <si>
    <t>6.07</t>
  </si>
  <si>
    <t>1.91</t>
  </si>
  <si>
    <t>7.48</t>
  </si>
  <si>
    <t>7.01</t>
  </si>
  <si>
    <t>850m € - 8,4M €</t>
  </si>
  <si>
    <t>1.3</t>
  </si>
  <si>
    <t>2.16</t>
  </si>
  <si>
    <t>168,9 km</t>
  </si>
  <si>
    <t>Rodrigo Nestor</t>
  </si>
  <si>
    <t>40m € p/m</t>
  </si>
  <si>
    <t>4.53</t>
  </si>
  <si>
    <t>400m € - 4,1M €</t>
  </si>
  <si>
    <t>2.89</t>
  </si>
  <si>
    <t>246,4 km</t>
  </si>
  <si>
    <t>250m € - 2,5M €</t>
  </si>
  <si>
    <t>240m € - 2,4M €</t>
  </si>
  <si>
    <t>0.25</t>
  </si>
  <si>
    <t>6.06</t>
  </si>
  <si>
    <t>180m € - 1,8M €</t>
  </si>
  <si>
    <t>33 (1)</t>
  </si>
  <si>
    <t>28m € p/m</t>
  </si>
  <si>
    <t>2.59</t>
  </si>
  <si>
    <t>315,3 km</t>
  </si>
  <si>
    <t>2.72</t>
  </si>
  <si>
    <t>15,75m € p/m</t>
  </si>
  <si>
    <t>0.78</t>
  </si>
  <si>
    <t>395,2 km</t>
  </si>
  <si>
    <t>22,5m € p/m</t>
  </si>
  <si>
    <t>43 (3)</t>
  </si>
  <si>
    <t>461,6 km</t>
  </si>
  <si>
    <t>70m € - 700m €</t>
  </si>
  <si>
    <t>60m € - 200m €</t>
  </si>
  <si>
    <t>1.08</t>
  </si>
  <si>
    <t>187,3 km</t>
  </si>
  <si>
    <t>39 (5)</t>
  </si>
  <si>
    <t>40 (3)</t>
  </si>
  <si>
    <t>35m € - 325m €</t>
  </si>
  <si>
    <t>0.48</t>
  </si>
  <si>
    <t>5.74</t>
  </si>
  <si>
    <t>43 (1)</t>
  </si>
  <si>
    <t>5.61</t>
  </si>
  <si>
    <t>17 (4)</t>
  </si>
  <si>
    <t>16 (22)</t>
  </si>
  <si>
    <t>0.96</t>
  </si>
  <si>
    <t>65,5m € p/m</t>
  </si>
  <si>
    <t>Gols de dentro da área</t>
  </si>
  <si>
    <t>13,25m € p/m</t>
  </si>
  <si>
    <t>Juan Camilo Portilla</t>
  </si>
  <si>
    <t>32M €</t>
  </si>
  <si>
    <t>850m € - 8,6M €</t>
  </si>
  <si>
    <t>4.24</t>
  </si>
  <si>
    <t>4.96</t>
  </si>
  <si>
    <t>Dudu</t>
  </si>
  <si>
    <t>Ignacio</t>
  </si>
  <si>
    <t>1.16</t>
  </si>
  <si>
    <t>Kanu</t>
  </si>
  <si>
    <t>1.56</t>
  </si>
  <si>
    <t>Juan Pablo Freytes</t>
  </si>
  <si>
    <t>Lucas Oliveira</t>
  </si>
  <si>
    <t>61,5m € p/m</t>
  </si>
  <si>
    <t>0.77</t>
  </si>
  <si>
    <t>Thalisson Gabriel</t>
  </si>
  <si>
    <t>Guzmán Rodríguez</t>
  </si>
  <si>
    <t>Marcos Victor</t>
  </si>
  <si>
    <t>0.65</t>
  </si>
  <si>
    <t>500 € - 7m €</t>
  </si>
  <si>
    <t>Víctor Cantillo</t>
  </si>
  <si>
    <t>24M €</t>
  </si>
  <si>
    <t>0.56</t>
  </si>
  <si>
    <t>6.63</t>
  </si>
  <si>
    <t>0.5</t>
  </si>
  <si>
    <t>2.81</t>
  </si>
  <si>
    <t>1.25</t>
  </si>
  <si>
    <t>16 (6)</t>
  </si>
  <si>
    <t>219,3 km</t>
  </si>
  <si>
    <t>159m € p/m</t>
  </si>
  <si>
    <t>53,5m € p/m</t>
  </si>
  <si>
    <t>Pen. Enfrentados</t>
  </si>
  <si>
    <t>Pen. Defendidos</t>
  </si>
  <si>
    <t>Corinthians</t>
  </si>
  <si>
    <t>501,3 km</t>
  </si>
  <si>
    <t>20M €</t>
  </si>
  <si>
    <t>154m € p/m</t>
  </si>
  <si>
    <t>420,3 km</t>
  </si>
  <si>
    <t>444,8 km</t>
  </si>
  <si>
    <t>452,6 km</t>
  </si>
  <si>
    <t>16m € - 50m €</t>
  </si>
  <si>
    <t>Jean Lucas</t>
  </si>
  <si>
    <t>469,6 km</t>
  </si>
  <si>
    <t>422,2 km</t>
  </si>
  <si>
    <t>Gabriel Menino</t>
  </si>
  <si>
    <t>335,7 km</t>
  </si>
  <si>
    <t>318,0 km</t>
  </si>
  <si>
    <t>429,8 km</t>
  </si>
  <si>
    <t>428,2 km</t>
  </si>
  <si>
    <t>1,7M € - 8,8M €</t>
  </si>
  <si>
    <t>409,1 km</t>
  </si>
  <si>
    <t>37 (3)</t>
  </si>
  <si>
    <t>414,1 km</t>
  </si>
  <si>
    <t>274,0 km</t>
  </si>
  <si>
    <t>2M € - 4,1M €</t>
  </si>
  <si>
    <t>22 (2)</t>
  </si>
  <si>
    <t>220,3 km</t>
  </si>
  <si>
    <t>406,7 km</t>
  </si>
  <si>
    <t>3,8M € - 7,4M €</t>
  </si>
  <si>
    <t>436,7 km</t>
  </si>
  <si>
    <t>451,7 km</t>
  </si>
  <si>
    <t>30m € - 500m €</t>
  </si>
  <si>
    <t>392,7 km</t>
  </si>
  <si>
    <t>366,3 km</t>
  </si>
  <si>
    <t>47 (4)</t>
  </si>
  <si>
    <t>10.63</t>
  </si>
  <si>
    <t>11.59</t>
  </si>
  <si>
    <t>Victor Hugo</t>
  </si>
  <si>
    <t>2,7M €</t>
  </si>
  <si>
    <t>35 (8)</t>
  </si>
  <si>
    <t>8.36</t>
  </si>
  <si>
    <t>346,2 km</t>
  </si>
  <si>
    <t>22 (14)</t>
  </si>
  <si>
    <t>261,4 km</t>
  </si>
  <si>
    <t>Roger Gabriel</t>
  </si>
  <si>
    <t>24 (5)</t>
  </si>
  <si>
    <t>243,1 km</t>
  </si>
  <si>
    <t>22 (20)</t>
  </si>
  <si>
    <t>308,6 km</t>
  </si>
  <si>
    <t>17 (18)</t>
  </si>
  <si>
    <t>11.24</t>
  </si>
  <si>
    <t>5.92</t>
  </si>
  <si>
    <t>16 (25)</t>
  </si>
  <si>
    <t>4.76</t>
  </si>
  <si>
    <t>209,5 km</t>
  </si>
  <si>
    <t>44 (4)</t>
  </si>
  <si>
    <t>4.4</t>
  </si>
  <si>
    <t>21.51</t>
  </si>
  <si>
    <t>541,1 km</t>
  </si>
  <si>
    <t>27 (17)</t>
  </si>
  <si>
    <t>294,8 km</t>
  </si>
  <si>
    <t>356,0 km</t>
  </si>
  <si>
    <t>André Luís</t>
  </si>
  <si>
    <t>28 (11)</t>
  </si>
  <si>
    <t>90m € - 300m €</t>
  </si>
  <si>
    <t>36 (9)</t>
  </si>
  <si>
    <t>386,4 km</t>
  </si>
  <si>
    <t>268,2 km</t>
  </si>
  <si>
    <t>Everaldo</t>
  </si>
  <si>
    <t>15 (23)</t>
  </si>
  <si>
    <t>190,1 km</t>
  </si>
  <si>
    <t>1,7M €</t>
  </si>
  <si>
    <t>22 (6)</t>
  </si>
  <si>
    <t>235,6 km</t>
  </si>
  <si>
    <t>12,5</t>
  </si>
  <si>
    <t>3,9</t>
  </si>
  <si>
    <t>15,09</t>
  </si>
  <si>
    <t>9,04</t>
  </si>
  <si>
    <t>2,34</t>
  </si>
  <si>
    <t>12,66</t>
  </si>
  <si>
    <t>7,55</t>
  </si>
  <si>
    <t>10,35</t>
  </si>
  <si>
    <t>9,32</t>
  </si>
  <si>
    <t>1,17</t>
  </si>
  <si>
    <t>9,74</t>
  </si>
  <si>
    <t>0,98</t>
  </si>
  <si>
    <t>11,24</t>
  </si>
  <si>
    <t>5,92</t>
  </si>
  <si>
    <t>7,67</t>
  </si>
  <si>
    <t>1,73</t>
  </si>
  <si>
    <t>7,32</t>
  </si>
  <si>
    <t>1,89</t>
  </si>
  <si>
    <t>46 (3)</t>
  </si>
  <si>
    <t>10.71</t>
  </si>
  <si>
    <t>8.77</t>
  </si>
  <si>
    <t>492,7 km</t>
  </si>
  <si>
    <t>40 (2)</t>
  </si>
  <si>
    <t>9.18</t>
  </si>
  <si>
    <t>49 (3)</t>
  </si>
  <si>
    <t>8.62</t>
  </si>
  <si>
    <t>507,3 km</t>
  </si>
  <si>
    <t>Raniele</t>
  </si>
  <si>
    <t>463,8 km</t>
  </si>
  <si>
    <t>1.55</t>
  </si>
  <si>
    <t>20 (10)</t>
  </si>
  <si>
    <t>Ret</t>
  </si>
  <si>
    <t>SPT</t>
  </si>
  <si>
    <t>Renan Ribeiro</t>
  </si>
  <si>
    <t>0 € - 20m €</t>
  </si>
  <si>
    <t>193 cm</t>
  </si>
  <si>
    <t>0.53</t>
  </si>
  <si>
    <t>CEA</t>
  </si>
  <si>
    <t>Pegorari</t>
  </si>
  <si>
    <t>10m €</t>
  </si>
  <si>
    <t>26m € p/m</t>
  </si>
  <si>
    <t>Marcílio Dias</t>
  </si>
  <si>
    <t>Rafael Martins</t>
  </si>
  <si>
    <t>0 €</t>
  </si>
  <si>
    <t>3,7m € p/m</t>
  </si>
  <si>
    <t>1.97</t>
  </si>
  <si>
    <t>GN</t>
  </si>
  <si>
    <t>Jordi</t>
  </si>
  <si>
    <t>0 € - 55m €</t>
  </si>
  <si>
    <t>19,25m € p/m</t>
  </si>
  <si>
    <t>AFC</t>
  </si>
  <si>
    <t>0 € - 1,5m €</t>
  </si>
  <si>
    <t>8,25m € p/m</t>
  </si>
  <si>
    <t>AOI</t>
  </si>
  <si>
    <t>Jefferson</t>
  </si>
  <si>
    <t>2,8m € p/m</t>
  </si>
  <si>
    <t>1.29</t>
  </si>
  <si>
    <t>Tirana</t>
  </si>
  <si>
    <t>Tony Batista</t>
  </si>
  <si>
    <t>14m € - 40m €</t>
  </si>
  <si>
    <t>8m € p/m</t>
  </si>
  <si>
    <t>-0.53</t>
  </si>
  <si>
    <t>Rio Branco (ES)</t>
  </si>
  <si>
    <t>André Luiz</t>
  </si>
  <si>
    <t>0 € - 3,5m €</t>
  </si>
  <si>
    <t>4.45</t>
  </si>
  <si>
    <t>Água Santa</t>
  </si>
  <si>
    <t>Alan Alves</t>
  </si>
  <si>
    <t>4,6m € p/m</t>
  </si>
  <si>
    <t>Central (PE)</t>
  </si>
  <si>
    <t>Léo Lopes</t>
  </si>
  <si>
    <t>2,3m € p/m</t>
  </si>
  <si>
    <t>1.27</t>
  </si>
  <si>
    <t>Resende</t>
  </si>
  <si>
    <t>Vitor Luiz</t>
  </si>
  <si>
    <t>1,2m € p/m</t>
  </si>
  <si>
    <t>ECS</t>
  </si>
  <si>
    <t>Cassiano</t>
  </si>
  <si>
    <t>2,4m € p/m</t>
  </si>
  <si>
    <t>8.94</t>
  </si>
  <si>
    <t>Juventus (SP)</t>
  </si>
  <si>
    <t>Thiago</t>
  </si>
  <si>
    <t>1,4m € p/m</t>
  </si>
  <si>
    <t>Tondela</t>
  </si>
  <si>
    <t>Gabriel Souza</t>
  </si>
  <si>
    <t>0 € - 18m €</t>
  </si>
  <si>
    <t>2,2m € p/m</t>
  </si>
  <si>
    <t>BTF</t>
  </si>
  <si>
    <t>Victor Souza</t>
  </si>
  <si>
    <t>0 € - 5m €</t>
  </si>
  <si>
    <t>7,5m € p/m</t>
  </si>
  <si>
    <t>3.53</t>
  </si>
  <si>
    <t>Mixto (MT)</t>
  </si>
  <si>
    <t>Robson</t>
  </si>
  <si>
    <t>1,5m € p/m</t>
  </si>
  <si>
    <t>-0.06</t>
  </si>
  <si>
    <t>AFE</t>
  </si>
  <si>
    <t>Léo Wall</t>
  </si>
  <si>
    <t>Bangu</t>
  </si>
  <si>
    <t>Marlon</t>
  </si>
  <si>
    <t>1,7m € p/m</t>
  </si>
  <si>
    <t>Alverca SAD</t>
  </si>
  <si>
    <t>Mateus</t>
  </si>
  <si>
    <t>4,5m € - 45m €</t>
  </si>
  <si>
    <t>2,6m € p/m</t>
  </si>
  <si>
    <t>199 cm</t>
  </si>
  <si>
    <t>Felgueiras 1932</t>
  </si>
  <si>
    <t>Felipe Scheibig</t>
  </si>
  <si>
    <t>12m € - 120m €</t>
  </si>
  <si>
    <t>Famalicão</t>
  </si>
  <si>
    <t>Gabriel Cabral</t>
  </si>
  <si>
    <t>LUV</t>
  </si>
  <si>
    <t>Afonso</t>
  </si>
  <si>
    <t>0.88</t>
  </si>
  <si>
    <t>Algeciras</t>
  </si>
  <si>
    <t>Álex Dos Santos</t>
  </si>
  <si>
    <t>4m € - 40m €</t>
  </si>
  <si>
    <t>OFI</t>
  </si>
  <si>
    <t>Lucas</t>
  </si>
  <si>
    <t>100m € - 300m €</t>
  </si>
  <si>
    <t>BK Häcken</t>
  </si>
  <si>
    <t>Andre Bernardini</t>
  </si>
  <si>
    <t>Lusitânia Lourosa</t>
  </si>
  <si>
    <t>Vitor Hugo</t>
  </si>
  <si>
    <t>35m € - 110m €</t>
  </si>
  <si>
    <t>5m € p/m</t>
  </si>
  <si>
    <t>Rio Branco (PR)</t>
  </si>
  <si>
    <t>Felipe</t>
  </si>
  <si>
    <t>2,7m € p/m</t>
  </si>
  <si>
    <t>-1.99</t>
  </si>
  <si>
    <t>Primavera</t>
  </si>
  <si>
    <t>Levy</t>
  </si>
  <si>
    <t>9.37</t>
  </si>
  <si>
    <t>1º Agosto</t>
  </si>
  <si>
    <t>Nayan</t>
  </si>
  <si>
    <t>45m € - 140m €</t>
  </si>
  <si>
    <t>GRE</t>
  </si>
  <si>
    <t>Thiago Beltrame</t>
  </si>
  <si>
    <t>2m €</t>
  </si>
  <si>
    <t>201 cm</t>
  </si>
  <si>
    <t>Ethnikos Achnas</t>
  </si>
  <si>
    <t>Lucas Flores</t>
  </si>
  <si>
    <t>0 € - 90m €</t>
  </si>
  <si>
    <t>3m € p/m</t>
  </si>
  <si>
    <t>SPO</t>
  </si>
  <si>
    <t>Leandro</t>
  </si>
  <si>
    <t>5,75m € p/m</t>
  </si>
  <si>
    <t>Emp</t>
  </si>
  <si>
    <t>BAH</t>
  </si>
  <si>
    <t>180m € - 550m €</t>
  </si>
  <si>
    <t>1.26</t>
  </si>
  <si>
    <t>Académico de Viseu</t>
  </si>
  <si>
    <t>Matheus Sampaio</t>
  </si>
  <si>
    <t>0 € - 75m €</t>
  </si>
  <si>
    <t>CHA</t>
  </si>
  <si>
    <t>Gabriel Werner</t>
  </si>
  <si>
    <t>2,1m € p/m</t>
  </si>
  <si>
    <t>SAN</t>
  </si>
  <si>
    <t>Edivaldo</t>
  </si>
  <si>
    <t>750 € p/m</t>
  </si>
  <si>
    <t>Rodrigo Falcão</t>
  </si>
  <si>
    <t>3,8m € p/m</t>
  </si>
  <si>
    <t>COR</t>
  </si>
  <si>
    <t>Felipe Longo</t>
  </si>
  <si>
    <t>12m € - 35m €</t>
  </si>
  <si>
    <t>11m € p/m</t>
  </si>
  <si>
    <t>AMG</t>
  </si>
  <si>
    <t>Pedro Lecce</t>
  </si>
  <si>
    <t>500 € - 3m €</t>
  </si>
  <si>
    <t>975 € p/m</t>
  </si>
  <si>
    <t>0.68</t>
  </si>
  <si>
    <t>BOT</t>
  </si>
  <si>
    <t>Cristiano Junior</t>
  </si>
  <si>
    <t>Nacional</t>
  </si>
  <si>
    <t>Kevyn Vinícius</t>
  </si>
  <si>
    <t>2m € - 18m €</t>
  </si>
  <si>
    <t>Luís Felipe</t>
  </si>
  <si>
    <t>Baniyas</t>
  </si>
  <si>
    <t>Luiz Turatto</t>
  </si>
  <si>
    <t>49,5m € p/m</t>
  </si>
  <si>
    <t>Calahorra</t>
  </si>
  <si>
    <t>Caio Barone</t>
  </si>
  <si>
    <t>6m € - 60m €</t>
  </si>
  <si>
    <t>CEC</t>
  </si>
  <si>
    <t>Otávio</t>
  </si>
  <si>
    <t>1,5m € - 4m €</t>
  </si>
  <si>
    <t>GOI</t>
  </si>
  <si>
    <t>José Catula</t>
  </si>
  <si>
    <t>Italo</t>
  </si>
  <si>
    <t>575 € p/m</t>
  </si>
  <si>
    <t>Vitória de Guimarães</t>
  </si>
  <si>
    <t>Lucas Furtado</t>
  </si>
  <si>
    <t>2,9m € p/m</t>
  </si>
  <si>
    <t>197 cm</t>
  </si>
  <si>
    <t>SEP</t>
  </si>
  <si>
    <t>Aranha</t>
  </si>
  <si>
    <t>0 € - 7m €</t>
  </si>
  <si>
    <t>JUA</t>
  </si>
  <si>
    <t>Igor Leonardo</t>
  </si>
  <si>
    <t>3,2m € p/m</t>
  </si>
  <si>
    <t>America (RJ)</t>
  </si>
  <si>
    <t>Anderson Testa</t>
  </si>
  <si>
    <t>0.24</t>
  </si>
  <si>
    <t>Matheus Gonçalves</t>
  </si>
  <si>
    <t>FOR</t>
  </si>
  <si>
    <t>Murilo D'angelo</t>
  </si>
  <si>
    <t>4,2m € p/m</t>
  </si>
  <si>
    <t>-0.27</t>
  </si>
  <si>
    <t>Márcio Adriano</t>
  </si>
  <si>
    <t>ATM</t>
  </si>
  <si>
    <t>Pedro Cobra</t>
  </si>
  <si>
    <t>28m € - 275m €</t>
  </si>
  <si>
    <t>Marítimo B</t>
  </si>
  <si>
    <t>Murillo</t>
  </si>
  <si>
    <t>20m € - 60m €</t>
  </si>
  <si>
    <t>5,25m € p/m</t>
  </si>
  <si>
    <t>Jackson</t>
  </si>
  <si>
    <t>875 € p/m</t>
  </si>
  <si>
    <t>Marcelo</t>
  </si>
  <si>
    <t>JUV</t>
  </si>
  <si>
    <t>Léo</t>
  </si>
  <si>
    <t>825 € p/m</t>
  </si>
  <si>
    <t>160 cm</t>
  </si>
  <si>
    <t>FLU</t>
  </si>
  <si>
    <t>Antônio Carlos</t>
  </si>
  <si>
    <t>Matheus</t>
  </si>
  <si>
    <t>3,1m € p/m</t>
  </si>
  <si>
    <t>Martins</t>
  </si>
  <si>
    <t>Gabriel Sena</t>
  </si>
  <si>
    <t>450 € p/m</t>
  </si>
  <si>
    <t>João Victor</t>
  </si>
  <si>
    <t>Rhyan</t>
  </si>
  <si>
    <t>CUI</t>
  </si>
  <si>
    <t>Pedro Melo</t>
  </si>
  <si>
    <t>525 € p/m</t>
  </si>
  <si>
    <t>Guilherme Leal</t>
  </si>
  <si>
    <t>Wallace</t>
  </si>
  <si>
    <t>40m € - 375m €</t>
  </si>
  <si>
    <t>1m € p/m</t>
  </si>
  <si>
    <t>Vitória de Setúbal</t>
  </si>
  <si>
    <t>Gabriel Menezes</t>
  </si>
  <si>
    <t>3,3m € p/m</t>
  </si>
  <si>
    <t>Ezequiel</t>
  </si>
  <si>
    <t>0 € - 28m €</t>
  </si>
  <si>
    <t>2.17</t>
  </si>
  <si>
    <t>VIT</t>
  </si>
  <si>
    <t>Davi Barbosa</t>
  </si>
  <si>
    <t>9m € - 85m €</t>
  </si>
  <si>
    <t>Robert</t>
  </si>
  <si>
    <t>7m € p/m</t>
  </si>
  <si>
    <t>VDG</t>
  </si>
  <si>
    <t>Marcão</t>
  </si>
  <si>
    <t>Ygor</t>
  </si>
  <si>
    <t>2,5m € p/m</t>
  </si>
  <si>
    <t>Luiz Sá</t>
  </si>
  <si>
    <t>CRI</t>
  </si>
  <si>
    <t>Pedro</t>
  </si>
  <si>
    <t>Ped</t>
  </si>
  <si>
    <t>Joaquim Horn</t>
  </si>
  <si>
    <t>725 € p/m</t>
  </si>
  <si>
    <t>PAY</t>
  </si>
  <si>
    <t>Cláudio Vitor</t>
  </si>
  <si>
    <t>0 € - 1m €</t>
  </si>
  <si>
    <t>1,9m € p/m</t>
  </si>
  <si>
    <t>Belenenses</t>
  </si>
  <si>
    <t>Luiz Xavier</t>
  </si>
  <si>
    <t>1,5m € - 14m €</t>
  </si>
  <si>
    <t>4,8m € p/m</t>
  </si>
  <si>
    <t>SBE</t>
  </si>
  <si>
    <t>Guilherme Alves</t>
  </si>
  <si>
    <t>Arthur Jampa</t>
  </si>
  <si>
    <t>João Nazari</t>
  </si>
  <si>
    <t>Gustavo Felix</t>
  </si>
  <si>
    <t>RFC</t>
  </si>
  <si>
    <t>Deivid</t>
  </si>
  <si>
    <t>900 € p/m</t>
  </si>
  <si>
    <t>VIL</t>
  </si>
  <si>
    <t>Kauã Paes</t>
  </si>
  <si>
    <t>0 € - 40m €</t>
  </si>
  <si>
    <t>Igor Carvalho</t>
  </si>
  <si>
    <t>ATP</t>
  </si>
  <si>
    <t>Carlos Eduardo</t>
  </si>
  <si>
    <t>Pedro Lopes</t>
  </si>
  <si>
    <t>Ruriel Dutra</t>
  </si>
  <si>
    <t>16m € - 150m €</t>
  </si>
  <si>
    <t>Gustavo Hobold</t>
  </si>
  <si>
    <t>18m € - 55m €</t>
  </si>
  <si>
    <t>550 € p/m</t>
  </si>
  <si>
    <t>Adriano</t>
  </si>
  <si>
    <t>Arthur do Vale</t>
  </si>
  <si>
    <t>425m € - 4,4M €</t>
  </si>
  <si>
    <t>Levi</t>
  </si>
  <si>
    <t>0 € - 65m €</t>
  </si>
  <si>
    <t>Portuguesa Santista</t>
  </si>
  <si>
    <t>Uberlan</t>
  </si>
  <si>
    <t>Ponte da Barca</t>
  </si>
  <si>
    <t>Gil</t>
  </si>
  <si>
    <t>N/D</t>
  </si>
  <si>
    <t>N/A</t>
  </si>
  <si>
    <t>Interporto</t>
  </si>
  <si>
    <t>Ariel</t>
  </si>
  <si>
    <t>-0.62</t>
  </si>
  <si>
    <t>Pelotas</t>
  </si>
  <si>
    <t>Crison Oliveira</t>
  </si>
  <si>
    <t>Araguacema</t>
  </si>
  <si>
    <t>Viana</t>
  </si>
  <si>
    <t>925 € p/m</t>
  </si>
  <si>
    <t>Operário Manacapuru</t>
  </si>
  <si>
    <t>Tiradentes (CE)</t>
  </si>
  <si>
    <t>Aníbal Vicente</t>
  </si>
  <si>
    <t>700 € p/m</t>
  </si>
  <si>
    <t>Pinheiros (ES)</t>
  </si>
  <si>
    <t>Valdir Gurgel</t>
  </si>
  <si>
    <t>Estanciano</t>
  </si>
  <si>
    <t>Nelson</t>
  </si>
  <si>
    <t>-1.47</t>
  </si>
  <si>
    <t>Vera Cruz (PE)</t>
  </si>
  <si>
    <t>Wendell</t>
  </si>
  <si>
    <t>1,3m € p/m</t>
  </si>
  <si>
    <t>Cristal (AP)</t>
  </si>
  <si>
    <t>Matheus Osório Silva</t>
  </si>
  <si>
    <t>650 € p/m</t>
  </si>
  <si>
    <t>Paragominas</t>
  </si>
  <si>
    <t>Luis Guilherme</t>
  </si>
  <si>
    <t>850 € p/m</t>
  </si>
  <si>
    <t>-2.37</t>
  </si>
  <si>
    <t>Nauás</t>
  </si>
  <si>
    <t>Willian</t>
  </si>
  <si>
    <t>Kléber Pimentel</t>
  </si>
  <si>
    <t>-4.61</t>
  </si>
  <si>
    <t>Cabofriense</t>
  </si>
  <si>
    <t>André Pereira</t>
  </si>
  <si>
    <t>950 € p/m</t>
  </si>
  <si>
    <t>Guarany (SE)</t>
  </si>
  <si>
    <t>Guilherme</t>
  </si>
  <si>
    <t>MFC</t>
  </si>
  <si>
    <t>Alexandre Simonato</t>
  </si>
  <si>
    <t>325m € - 3,3M €</t>
  </si>
  <si>
    <t>0.7</t>
  </si>
  <si>
    <t>Walter Goyiaz</t>
  </si>
  <si>
    <t>230m € - 2,3M €</t>
  </si>
  <si>
    <t>Bruno</t>
  </si>
  <si>
    <t>420 € p/m</t>
  </si>
  <si>
    <t>Batata</t>
  </si>
  <si>
    <t>180 € p/m</t>
  </si>
  <si>
    <t>Ronaldo Bentes</t>
  </si>
  <si>
    <t>18m € - 190m €</t>
  </si>
  <si>
    <t>Júlio César</t>
  </si>
  <si>
    <t>AVA</t>
  </si>
  <si>
    <t>Agnaldo Torreão</t>
  </si>
  <si>
    <t>0.19</t>
  </si>
  <si>
    <t>Fabio</t>
  </si>
  <si>
    <t>Can</t>
  </si>
  <si>
    <t>PON</t>
  </si>
  <si>
    <t>Diego Henrique</t>
  </si>
  <si>
    <t>600 € p/m</t>
  </si>
  <si>
    <t>Fumaça</t>
  </si>
  <si>
    <t>0 € - 50m €</t>
  </si>
  <si>
    <t>FIG</t>
  </si>
  <si>
    <t>140m € - 400m €</t>
  </si>
  <si>
    <t>0.74</t>
  </si>
  <si>
    <t>Baltemar Moraes</t>
  </si>
  <si>
    <t>320 € p/m</t>
  </si>
  <si>
    <t>Vicente</t>
  </si>
  <si>
    <t>0 € - 8m €</t>
  </si>
  <si>
    <t>CBR</t>
  </si>
  <si>
    <t>Antônio Silva</t>
  </si>
  <si>
    <t>0 € - 16m €</t>
  </si>
  <si>
    <t>GUA</t>
  </si>
  <si>
    <t>Ricardo</t>
  </si>
  <si>
    <t>75m € - 750m €</t>
  </si>
  <si>
    <t>Marinho</t>
  </si>
  <si>
    <t>ABF</t>
  </si>
  <si>
    <t>Marcos</t>
  </si>
  <si>
    <t>177 cm</t>
  </si>
  <si>
    <t>PSTC</t>
  </si>
  <si>
    <t>Wanderley</t>
  </si>
  <si>
    <t>625 € p/m</t>
  </si>
  <si>
    <t>Benício</t>
  </si>
  <si>
    <t>ATG</t>
  </si>
  <si>
    <t>Paulo Ponzoni</t>
  </si>
  <si>
    <t>Edcarlos</t>
  </si>
  <si>
    <t>24m € - 230m €</t>
  </si>
  <si>
    <t>REM</t>
  </si>
  <si>
    <t>Jean</t>
  </si>
  <si>
    <t>João Gabriel</t>
  </si>
  <si>
    <t>675 € p/m</t>
  </si>
  <si>
    <t>Jermário</t>
  </si>
  <si>
    <t>Didi</t>
  </si>
  <si>
    <t>Eduardo</t>
  </si>
  <si>
    <t>-0.29</t>
  </si>
  <si>
    <t>Plácido de Castro</t>
  </si>
  <si>
    <t>Jarbas</t>
  </si>
  <si>
    <t>Luiz Carlos</t>
  </si>
  <si>
    <t>12m € - 110m €</t>
  </si>
  <si>
    <t>Luciano Francisco</t>
  </si>
  <si>
    <t>775 € p/m</t>
  </si>
  <si>
    <t>Rodrigo Junqueira</t>
  </si>
  <si>
    <t>For</t>
  </si>
  <si>
    <t>Audax (SP)</t>
  </si>
  <si>
    <t>Fernando César</t>
  </si>
  <si>
    <t>Jajá</t>
  </si>
  <si>
    <t>Novo Hamburgo</t>
  </si>
  <si>
    <t>Marcio</t>
  </si>
  <si>
    <t>Guarani de Palhoça</t>
  </si>
  <si>
    <t>João António</t>
  </si>
  <si>
    <t>Camboriú</t>
  </si>
  <si>
    <t>Gustavo</t>
  </si>
  <si>
    <t>São-Joseense</t>
  </si>
  <si>
    <t>China</t>
  </si>
  <si>
    <t>Kabila</t>
  </si>
  <si>
    <t>Atlético (ES)</t>
  </si>
  <si>
    <t>José Ângelo</t>
  </si>
  <si>
    <t>Planaltina EC</t>
  </si>
  <si>
    <t>Da Silva</t>
  </si>
  <si>
    <t>Emerson Luiz</t>
  </si>
  <si>
    <t>Izael</t>
  </si>
  <si>
    <t>Pinheiro (MA)</t>
  </si>
  <si>
    <t>José Rafael</t>
  </si>
  <si>
    <t>-8.99</t>
  </si>
  <si>
    <t>Mengo</t>
  </si>
  <si>
    <t>0.2</t>
  </si>
  <si>
    <t>SERC</t>
  </si>
  <si>
    <t>Digão</t>
  </si>
  <si>
    <t>Chapada</t>
  </si>
  <si>
    <t>Felipinho</t>
  </si>
  <si>
    <t>Dom Bosco</t>
  </si>
  <si>
    <t>Ronaldo</t>
  </si>
  <si>
    <t>2.05</t>
  </si>
  <si>
    <t>Democrata GV</t>
  </si>
  <si>
    <t>Vantuir</t>
  </si>
  <si>
    <t>Hélder Padilha Gomes</t>
  </si>
  <si>
    <t>-0.12</t>
  </si>
  <si>
    <t>Eduardo Garcia Serrão</t>
  </si>
  <si>
    <t>-11.87</t>
  </si>
  <si>
    <t>Atlético de Cajazeiras</t>
  </si>
  <si>
    <t>0.12</t>
  </si>
  <si>
    <t>Cláudio</t>
  </si>
  <si>
    <t>Kaká</t>
  </si>
  <si>
    <t>Fábio</t>
  </si>
  <si>
    <t>Nação Araquari</t>
  </si>
  <si>
    <t>Aleilson</t>
  </si>
  <si>
    <t>SAL</t>
  </si>
  <si>
    <t>Altair</t>
  </si>
  <si>
    <t>-9.11</t>
  </si>
  <si>
    <t>Aparecido</t>
  </si>
  <si>
    <t>Sertanense</t>
  </si>
  <si>
    <t>Benfica e Castelo Branco</t>
  </si>
  <si>
    <t>Paulo Roberto</t>
  </si>
  <si>
    <t>Luizinho</t>
  </si>
  <si>
    <t>Carlos Renato</t>
  </si>
  <si>
    <t>22m € - 210m €</t>
  </si>
  <si>
    <t>NAU</t>
  </si>
  <si>
    <t>Charles</t>
  </si>
  <si>
    <t>18m € - 180m €</t>
  </si>
  <si>
    <t>Alexandre Custódio</t>
  </si>
  <si>
    <t>Tiago Charlab</t>
  </si>
  <si>
    <t>400 € p/m</t>
  </si>
  <si>
    <t>Vivaldo</t>
  </si>
  <si>
    <t>VRE</t>
  </si>
  <si>
    <t>65m € - 190m €</t>
  </si>
  <si>
    <t>Felipe José</t>
  </si>
  <si>
    <t>0.27</t>
  </si>
  <si>
    <t>Marcos Antônio</t>
  </si>
  <si>
    <t>14m € - 130m €</t>
  </si>
  <si>
    <t>ALA</t>
  </si>
  <si>
    <t>BRP</t>
  </si>
  <si>
    <t>Bartolomeu</t>
  </si>
  <si>
    <t>BRU</t>
  </si>
  <si>
    <t>Márcio Alexandre</t>
  </si>
  <si>
    <t>-0.86</t>
  </si>
  <si>
    <t>Fernandão</t>
  </si>
  <si>
    <t>TOM</t>
  </si>
  <si>
    <t>Guilherme Henrique</t>
  </si>
  <si>
    <t>Desportivo Brasil</t>
  </si>
  <si>
    <t>Nascimento</t>
  </si>
  <si>
    <t>Gean Moreira</t>
  </si>
  <si>
    <t>PAR</t>
  </si>
  <si>
    <t>Dermival Szermeta</t>
  </si>
  <si>
    <t>MAD</t>
  </si>
  <si>
    <t>Clóvis Lebeis</t>
  </si>
  <si>
    <t>São Caetano</t>
  </si>
  <si>
    <t>Francismar Barbosa</t>
  </si>
  <si>
    <t>União São João</t>
  </si>
  <si>
    <t>Benedito</t>
  </si>
  <si>
    <t>Nova Iguaçu</t>
  </si>
  <si>
    <t>Ramon Dassie</t>
  </si>
  <si>
    <t>Brasiliense</t>
  </si>
  <si>
    <t>Osmair</t>
  </si>
  <si>
    <t>JOI</t>
  </si>
  <si>
    <t>Leonardo Pinho</t>
  </si>
  <si>
    <t>0.32</t>
  </si>
  <si>
    <t>Vânder Félix</t>
  </si>
  <si>
    <t>José Maria</t>
  </si>
  <si>
    <t>-3.59</t>
  </si>
  <si>
    <t>Gabriel</t>
  </si>
  <si>
    <t>Gama</t>
  </si>
  <si>
    <t>Diego Careca</t>
  </si>
  <si>
    <t>0.52</t>
  </si>
  <si>
    <t>Santo André</t>
  </si>
  <si>
    <t>Maicon Douglas</t>
  </si>
  <si>
    <t>Fluminense de Feira</t>
  </si>
  <si>
    <t>Spencer Pereira</t>
  </si>
  <si>
    <t>Votuporanguense</t>
  </si>
  <si>
    <t>Álvaro</t>
  </si>
  <si>
    <t>ICA</t>
  </si>
  <si>
    <t>-2.83</t>
  </si>
  <si>
    <t>XV de Jaú</t>
  </si>
  <si>
    <t>Sebastião</t>
  </si>
  <si>
    <t>Flamengo (PI)</t>
  </si>
  <si>
    <t>Noroeste</t>
  </si>
  <si>
    <t>Sérgio</t>
  </si>
  <si>
    <t>SAM</t>
  </si>
  <si>
    <t>Júlio Ribeiro</t>
  </si>
  <si>
    <t>0.16</t>
  </si>
  <si>
    <t>AAA</t>
  </si>
  <si>
    <t>Leonardo</t>
  </si>
  <si>
    <t>-0.64</t>
  </si>
  <si>
    <t>ARA</t>
  </si>
  <si>
    <t>Enzo Menga</t>
  </si>
  <si>
    <t>Sergipe</t>
  </si>
  <si>
    <t>1.59</t>
  </si>
  <si>
    <t>Lucas Felipe</t>
  </si>
  <si>
    <t>Santa Cruz (RS)</t>
  </si>
  <si>
    <t>Carabina</t>
  </si>
  <si>
    <t>CRAC</t>
  </si>
  <si>
    <t>Duque de Caxias</t>
  </si>
  <si>
    <t>Mário Sérgio</t>
  </si>
  <si>
    <t>Rio Branco (SP)</t>
  </si>
  <si>
    <t>Herculano das Mercês</t>
  </si>
  <si>
    <t>CON</t>
  </si>
  <si>
    <t>Danillo Spindula</t>
  </si>
  <si>
    <t>Alexandre Mastroiani</t>
  </si>
  <si>
    <t>Cianorte</t>
  </si>
  <si>
    <t>Kleyton Pitanga</t>
  </si>
  <si>
    <t>-1.61</t>
  </si>
  <si>
    <t>Audax Rio</t>
  </si>
  <si>
    <t>Vinicius Winitskowski</t>
  </si>
  <si>
    <t>Anapolina</t>
  </si>
  <si>
    <t>Matheusão</t>
  </si>
  <si>
    <t>Alecrim</t>
  </si>
  <si>
    <t>Alexandre Luiz</t>
  </si>
  <si>
    <t>BFC</t>
  </si>
  <si>
    <t>Linense (SP)</t>
  </si>
  <si>
    <t>Steninho</t>
  </si>
  <si>
    <t>Olaria</t>
  </si>
  <si>
    <t>Bahia de Feira</t>
  </si>
  <si>
    <t>Andrinho</t>
  </si>
  <si>
    <t>Galícia</t>
  </si>
  <si>
    <t>Eliomar</t>
  </si>
  <si>
    <t>Caruaru City</t>
  </si>
  <si>
    <t>Clayton</t>
  </si>
  <si>
    <t>ASEEV</t>
  </si>
  <si>
    <t>Cruz Alta</t>
  </si>
  <si>
    <t>Chico</t>
  </si>
  <si>
    <t>Cametá</t>
  </si>
  <si>
    <t>Fabiano Rech</t>
  </si>
  <si>
    <t>Blumenau</t>
  </si>
  <si>
    <t>Bruno Batata</t>
  </si>
  <si>
    <t>Caeté</t>
  </si>
  <si>
    <t>Genílson</t>
  </si>
  <si>
    <t>-1.75</t>
  </si>
  <si>
    <t>Cerrado (GO)</t>
  </si>
  <si>
    <t>Wagner Perondi</t>
  </si>
  <si>
    <t>Manthiqueira</t>
  </si>
  <si>
    <t>Fonte Nova</t>
  </si>
  <si>
    <t>Daniel Iser</t>
  </si>
  <si>
    <t>Mamoré</t>
  </si>
  <si>
    <t>Laerte</t>
  </si>
  <si>
    <t>Andrei</t>
  </si>
  <si>
    <t>ADESG</t>
  </si>
  <si>
    <t>Cléber Machado</t>
  </si>
  <si>
    <t>Guarany Alagoano</t>
  </si>
  <si>
    <t>Roberval Jordão</t>
  </si>
  <si>
    <t>0.83</t>
  </si>
  <si>
    <t>Santana (AP)</t>
  </si>
  <si>
    <t>Tiago Cervilha</t>
  </si>
  <si>
    <t>0.01</t>
  </si>
  <si>
    <t>Unidos do Alvorada</t>
  </si>
  <si>
    <t>Michel</t>
  </si>
  <si>
    <t>Princesa</t>
  </si>
  <si>
    <t>Alex</t>
  </si>
  <si>
    <t>Vitória da Conquista</t>
  </si>
  <si>
    <t>Eanes Chalkiadakis</t>
  </si>
  <si>
    <t>-0.83</t>
  </si>
  <si>
    <t>SESP Brasília</t>
  </si>
  <si>
    <t>Dedé</t>
  </si>
  <si>
    <t>-6.78</t>
  </si>
  <si>
    <t>Vilavelhense</t>
  </si>
  <si>
    <t>André Ricardo</t>
  </si>
  <si>
    <t>Nova Venecia</t>
  </si>
  <si>
    <t>-3.73</t>
  </si>
  <si>
    <t>Esportivo</t>
  </si>
  <si>
    <t>Danilo</t>
  </si>
  <si>
    <t>-1.3</t>
  </si>
  <si>
    <t>Grêmio Anápolis</t>
  </si>
  <si>
    <t>José Romário Antunes</t>
  </si>
  <si>
    <t>-1.14</t>
  </si>
  <si>
    <t>Santa Quitéria</t>
  </si>
  <si>
    <t>João Vitor</t>
  </si>
  <si>
    <t>Sete de Dourados</t>
  </si>
  <si>
    <t>Vitor</t>
  </si>
  <si>
    <t>-0.11</t>
  </si>
  <si>
    <t>URT</t>
  </si>
  <si>
    <t>Francinaldo Martins</t>
  </si>
  <si>
    <t>Canaã (PA)</t>
  </si>
  <si>
    <t>Paulo Vítor</t>
  </si>
  <si>
    <t>Pombal (PB)</t>
  </si>
  <si>
    <t>Idenilson Costa</t>
  </si>
  <si>
    <t>Porto de Caruaru</t>
  </si>
  <si>
    <t>Janderson</t>
  </si>
  <si>
    <t>-0.8</t>
  </si>
  <si>
    <t>Petrolina</t>
  </si>
  <si>
    <t>Corisabbá</t>
  </si>
  <si>
    <t>Marlisson Souza Alves</t>
  </si>
  <si>
    <t>-0.14</t>
  </si>
  <si>
    <t>Genus</t>
  </si>
  <si>
    <t>Ewerton</t>
  </si>
  <si>
    <t>Carmópolis</t>
  </si>
  <si>
    <t>Teobaldo Braz</t>
  </si>
  <si>
    <t>Boca Júnior (SE)</t>
  </si>
  <si>
    <t>Sandrinho</t>
  </si>
  <si>
    <t>Bela Vista (TO)</t>
  </si>
  <si>
    <t>Dener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</si>
</sst>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0.0"/>
    <numFmt numFmtId="165" formatCode="0.0%"/>
    <numFmt numFmtId="166" formatCode="_-[$€-2]\ * #,##0.00_ ;_-[$€-2]\ * \-#,##0.00\ ;_-[$€-2]\ * &quot;-&quot;??_ ;_-@_ "/>
    <numFmt numFmtId="167" formatCode="_-[$€-2]\ * #,##0.00_-;\-[$€-2]\ * #,##0.00_-;_-[$€-2]\ * &quot;-&quot;??_-;_-@_-"/>
    <numFmt numFmtId="168" formatCode="0.000"/>
    <numFmt numFmtId="169" formatCode="0.0000"/>
  </numFmts>
  <fonts count="84" x14ac:knownFonts="1">
    <font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9"/>
      <color theme="0" tint="0.79998168889431442"/>
      <name val="Verdana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 tint="0.79998168889431442"/>
      <name val="Verdana"/>
      <family val="2"/>
    </font>
    <font>
      <b/>
      <sz val="9"/>
      <color theme="1" tint="4.9989318521683403E-2"/>
      <name val="Verdana"/>
      <family val="2"/>
    </font>
    <font>
      <b/>
      <sz val="8"/>
      <color theme="1" tint="4.9989318521683403E-2"/>
      <name val="Verdana"/>
      <family val="2"/>
    </font>
    <font>
      <b/>
      <i/>
      <sz val="10"/>
      <color theme="1" tint="4.9989318521683403E-2"/>
      <name val="Calibri"/>
      <family val="2"/>
      <scheme val="minor"/>
    </font>
    <font>
      <b/>
      <sz val="8"/>
      <color theme="1"/>
      <name val="Verdana"/>
      <family val="2"/>
    </font>
    <font>
      <b/>
      <sz val="9"/>
      <color theme="7" tint="0.39997558519241921"/>
      <name val="Verdana"/>
      <family val="2"/>
    </font>
    <font>
      <b/>
      <sz val="9"/>
      <color theme="5" tint="0.39997558519241921"/>
      <name val="Verdana"/>
      <family val="2"/>
    </font>
    <font>
      <b/>
      <sz val="9"/>
      <color rgb="FFFFFF00"/>
      <name val="Verdana"/>
      <family val="2"/>
    </font>
    <font>
      <b/>
      <sz val="9"/>
      <color theme="7" tint="0.79998168889431442"/>
      <name val="Verdana"/>
      <family val="2"/>
    </font>
    <font>
      <b/>
      <sz val="9"/>
      <color theme="0" tint="0.39997558519241921"/>
      <name val="Verdana"/>
      <family val="2"/>
    </font>
    <font>
      <sz val="11"/>
      <color theme="1"/>
      <name val="Calibri"/>
      <family val="2"/>
    </font>
    <font>
      <b/>
      <sz val="11"/>
      <color theme="1" tint="4.9989318521683403E-2"/>
      <name val="Calibri"/>
      <family val="2"/>
      <scheme val="minor"/>
    </font>
    <font>
      <b/>
      <sz val="12"/>
      <color theme="1"/>
      <name val="Calibri"/>
      <family val="2"/>
    </font>
    <font>
      <b/>
      <sz val="9"/>
      <color theme="4" tint="-0.499984740745262"/>
      <name val="Verdana"/>
      <family val="2"/>
    </font>
    <font>
      <b/>
      <sz val="9"/>
      <color theme="0" tint="0.59999389629810485"/>
      <name val="Verdana"/>
      <family val="2"/>
    </font>
    <font>
      <b/>
      <sz val="11"/>
      <color theme="1"/>
      <name val="Calibri"/>
      <family val="2"/>
    </font>
    <font>
      <b/>
      <sz val="9"/>
      <color theme="1" tint="0.14999847407452621"/>
      <name val="Verdana"/>
      <family val="2"/>
    </font>
    <font>
      <b/>
      <sz val="9"/>
      <color theme="5" tint="0.59999389629810485"/>
      <name val="Verdana"/>
      <family val="2"/>
    </font>
    <font>
      <b/>
      <i/>
      <u/>
      <sz val="11"/>
      <color theme="1"/>
      <name val="Calibri"/>
      <family val="2"/>
      <scheme val="minor"/>
    </font>
    <font>
      <b/>
      <sz val="8"/>
      <color theme="0" tint="0.39997558519241921"/>
      <name val="Verdana"/>
      <family val="2"/>
    </font>
    <font>
      <b/>
      <i/>
      <sz val="11"/>
      <color theme="1"/>
      <name val="Calibri"/>
      <family val="2"/>
      <scheme val="minor"/>
    </font>
    <font>
      <b/>
      <sz val="8"/>
      <color theme="7" tint="0.39997558519241921"/>
      <name val="Verdana"/>
      <family val="2"/>
    </font>
    <font>
      <b/>
      <sz val="8"/>
      <color theme="0" tint="0.59999389629810485"/>
      <name val="Verdana"/>
      <family val="2"/>
    </font>
    <font>
      <b/>
      <sz val="8"/>
      <color rgb="FFFF0000"/>
      <name val="Verdana"/>
      <family val="2"/>
    </font>
    <font>
      <b/>
      <i/>
      <sz val="11"/>
      <color theme="1" tint="0.14999847407452621"/>
      <name val="Verdana"/>
      <family val="2"/>
    </font>
    <font>
      <b/>
      <sz val="9"/>
      <color rgb="FFFF9B9B"/>
      <name val="Verdana"/>
      <family val="2"/>
    </font>
    <font>
      <b/>
      <sz val="9"/>
      <color rgb="FFC00000"/>
      <name val="Verdana"/>
      <family val="2"/>
    </font>
    <font>
      <b/>
      <i/>
      <sz val="11"/>
      <color theme="1"/>
      <name val="Calibri"/>
      <family val="2"/>
    </font>
    <font>
      <b/>
      <sz val="9"/>
      <color theme="7" tint="0.59999389629810485"/>
      <name val="Verdana"/>
      <family val="2"/>
    </font>
    <font>
      <b/>
      <sz val="10"/>
      <color rgb="FF00B0F0"/>
      <name val="Verdana"/>
      <family val="2"/>
    </font>
    <font>
      <b/>
      <sz val="10"/>
      <color theme="4" tint="0.59999389629810485"/>
      <name val="Verdana"/>
      <family val="2"/>
    </font>
    <font>
      <b/>
      <sz val="9"/>
      <color theme="3" tint="-0.499984740745262"/>
      <name val="Verdana"/>
      <family val="2"/>
    </font>
    <font>
      <b/>
      <sz val="9"/>
      <color rgb="FFFF0000"/>
      <name val="Verdana"/>
      <family val="2"/>
    </font>
    <font>
      <b/>
      <sz val="11"/>
      <color theme="1" tint="0.14999847407452621"/>
      <name val="Calibri"/>
      <family val="2"/>
    </font>
    <font>
      <b/>
      <sz val="9"/>
      <color rgb="FF17230F"/>
      <name val="Verdana"/>
      <family val="2"/>
    </font>
    <font>
      <b/>
      <sz val="14"/>
      <color theme="4" tint="-0.499984740745262"/>
      <name val="Calibri"/>
      <family val="2"/>
      <scheme val="minor"/>
    </font>
    <font>
      <b/>
      <sz val="9"/>
      <color theme="9" tint="0.39997558519241921"/>
      <name val="Verdana"/>
      <family val="2"/>
    </font>
    <font>
      <b/>
      <sz val="11"/>
      <color theme="0" tint="0.79998168889431442"/>
      <name val="Calibri"/>
      <family val="2"/>
    </font>
    <font>
      <b/>
      <sz val="8"/>
      <color theme="5" tint="0.39997558519241921"/>
      <name val="Verdana"/>
      <family val="2"/>
    </font>
    <font>
      <b/>
      <sz val="9"/>
      <color theme="4" tint="0.79998168889431442"/>
      <name val="Verdana"/>
      <family val="2"/>
    </font>
    <font>
      <b/>
      <sz val="9"/>
      <color indexed="81"/>
      <name val="Segoe UI"/>
      <family val="2"/>
    </font>
    <font>
      <b/>
      <sz val="9"/>
      <color theme="5" tint="-0.249977111117893"/>
      <name val="Verdana"/>
      <family val="2"/>
    </font>
    <font>
      <sz val="9"/>
      <color indexed="81"/>
      <name val="Segoe UI"/>
      <family val="2"/>
    </font>
    <font>
      <b/>
      <sz val="10"/>
      <color indexed="81"/>
      <name val="Segoe UI"/>
      <family val="2"/>
    </font>
    <font>
      <b/>
      <sz val="9"/>
      <color rgb="FFFFC000"/>
      <name val="Verdana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 tint="0.79998168889431442"/>
      <name val="Calibri"/>
      <family val="2"/>
      <scheme val="minor"/>
    </font>
    <font>
      <b/>
      <sz val="12"/>
      <color theme="0" tint="0.3999755851924192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9"/>
      <color theme="0" tint="0.79998168889431442"/>
      <name val="Calibri"/>
      <family val="2"/>
      <scheme val="minor"/>
    </font>
    <font>
      <b/>
      <sz val="8"/>
      <color theme="0" tint="0.7999816888943144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0.79998168889431442"/>
      <name val="Calibri"/>
      <family val="2"/>
      <scheme val="minor"/>
    </font>
    <font>
      <b/>
      <sz val="16"/>
      <color theme="0" tint="0.7999816888943144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0" tint="0.39997558519241921"/>
      <name val="Calibri"/>
      <family val="2"/>
      <scheme val="minor"/>
    </font>
    <font>
      <b/>
      <sz val="12"/>
      <color theme="0" tint="0.79998168889431442"/>
      <name val="Calibri"/>
      <family val="2"/>
      <scheme val="minor"/>
    </font>
    <font>
      <b/>
      <sz val="9"/>
      <color theme="0" tint="-4.9989318521683403E-2"/>
      <name val="Verdana"/>
      <family val="2"/>
    </font>
    <font>
      <b/>
      <sz val="9"/>
      <color rgb="FFFCB6B8"/>
      <name val="Verdana"/>
      <family val="2"/>
    </font>
    <font>
      <b/>
      <sz val="9"/>
      <color theme="9" tint="0.79998168889431442"/>
      <name val="Verdana"/>
      <family val="2"/>
    </font>
    <font>
      <b/>
      <sz val="9"/>
      <color indexed="81"/>
      <name val="Segoe UI"/>
      <charset val="1"/>
    </font>
    <font>
      <b/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5" tint="0.79998168889431442"/>
      <name val="Verdana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 tint="4.9989318521683403E-2"/>
      <name val="Verdana"/>
      <family val="2"/>
    </font>
    <font>
      <b/>
      <sz val="9"/>
      <color theme="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D1457"/>
        <bgColor indexed="64"/>
      </patternFill>
    </fill>
    <fill>
      <patternFill patternType="solid">
        <fgColor rgb="FF3B071D"/>
        <bgColor indexed="64"/>
      </patternFill>
    </fill>
    <fill>
      <patternFill patternType="solid">
        <fgColor rgb="FF680C3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E367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737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A8B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800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00384C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684D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E66914"/>
        <bgColor indexed="64"/>
      </patternFill>
    </fill>
    <fill>
      <patternFill patternType="solid">
        <fgColor rgb="FFA40000"/>
        <bgColor indexed="64"/>
      </patternFill>
    </fill>
  </fills>
  <borders count="1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83">
    <xf numFmtId="0" fontId="0" fillId="0" borderId="0" xfId="0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 wrapText="1"/>
    </xf>
    <xf numFmtId="2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left" vertical="center"/>
    </xf>
    <xf numFmtId="43" fontId="4" fillId="6" borderId="2" xfId="1" applyFont="1" applyFill="1" applyBorder="1" applyAlignment="1">
      <alignment horizontal="center" vertical="center" wrapText="1"/>
    </xf>
    <xf numFmtId="43" fontId="0" fillId="0" borderId="0" xfId="1" applyFont="1"/>
    <xf numFmtId="9" fontId="0" fillId="4" borderId="2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165" fontId="0" fillId="4" borderId="2" xfId="2" applyNumberFormat="1" applyFont="1" applyFill="1" applyBorder="1" applyAlignment="1">
      <alignment horizontal="center" vertical="center"/>
    </xf>
    <xf numFmtId="10" fontId="0" fillId="4" borderId="2" xfId="2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 wrapText="1"/>
    </xf>
    <xf numFmtId="0" fontId="8" fillId="18" borderId="2" xfId="0" applyFont="1" applyFill="1" applyBorder="1" applyAlignment="1">
      <alignment horizontal="center" vertical="center" wrapText="1"/>
    </xf>
    <xf numFmtId="164" fontId="0" fillId="4" borderId="2" xfId="0" applyNumberForma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 wrapText="1"/>
    </xf>
    <xf numFmtId="0" fontId="12" fillId="13" borderId="2" xfId="0" applyFont="1" applyFill="1" applyBorder="1" applyAlignment="1">
      <alignment horizontal="center" vertical="center" wrapText="1"/>
    </xf>
    <xf numFmtId="0" fontId="4" fillId="22" borderId="2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 wrapText="1"/>
    </xf>
    <xf numFmtId="0" fontId="9" fillId="17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13" fillId="26" borderId="2" xfId="0" applyFont="1" applyFill="1" applyBorder="1" applyAlignment="1">
      <alignment horizontal="center" vertical="center" wrapText="1"/>
    </xf>
    <xf numFmtId="0" fontId="14" fillId="25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27" borderId="2" xfId="0" applyFont="1" applyFill="1" applyBorder="1" applyAlignment="1">
      <alignment horizontal="center" vertical="center" wrapText="1"/>
    </xf>
    <xf numFmtId="0" fontId="16" fillId="26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3" fillId="27" borderId="2" xfId="0" applyFont="1" applyFill="1" applyBorder="1" applyAlignment="1">
      <alignment horizontal="center" vertical="center" wrapText="1"/>
    </xf>
    <xf numFmtId="43" fontId="1" fillId="3" borderId="2" xfId="1" applyFont="1" applyFill="1" applyBorder="1" applyAlignment="1">
      <alignment horizontal="center" vertical="center" wrapText="1"/>
    </xf>
    <xf numFmtId="43" fontId="1" fillId="20" borderId="2" xfId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9" borderId="2" xfId="0" applyFont="1" applyFill="1" applyBorder="1" applyAlignment="1">
      <alignment horizontal="center" vertical="center" wrapText="1"/>
    </xf>
    <xf numFmtId="0" fontId="1" fillId="28" borderId="2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8" fillId="2" borderId="3" xfId="0" applyFont="1" applyFill="1" applyBorder="1" applyAlignment="1">
      <alignment horizontal="center" vertical="center" wrapText="1"/>
    </xf>
    <xf numFmtId="1" fontId="18" fillId="2" borderId="3" xfId="0" applyNumberFormat="1" applyFont="1" applyFill="1" applyBorder="1" applyAlignment="1">
      <alignment horizontal="center" vertical="center" wrapText="1"/>
    </xf>
    <xf numFmtId="2" fontId="18" fillId="2" borderId="3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165" fontId="18" fillId="2" borderId="3" xfId="0" applyNumberFormat="1" applyFont="1" applyFill="1" applyBorder="1" applyAlignment="1">
      <alignment horizontal="center" vertical="center" wrapText="1"/>
    </xf>
    <xf numFmtId="165" fontId="18" fillId="2" borderId="3" xfId="2" applyNumberFormat="1" applyFont="1" applyFill="1" applyBorder="1" applyAlignment="1">
      <alignment horizontal="center" vertical="center" wrapText="1"/>
    </xf>
    <xf numFmtId="3" fontId="18" fillId="2" borderId="3" xfId="0" applyNumberFormat="1" applyFont="1" applyFill="1" applyBorder="1" applyAlignment="1">
      <alignment horizontal="center" vertical="center" wrapText="1"/>
    </xf>
    <xf numFmtId="4" fontId="18" fillId="2" borderId="3" xfId="0" applyNumberFormat="1" applyFont="1" applyFill="1" applyBorder="1" applyAlignment="1">
      <alignment horizontal="center" vertical="center" wrapText="1"/>
    </xf>
    <xf numFmtId="10" fontId="18" fillId="2" borderId="3" xfId="2" applyNumberFormat="1" applyFont="1" applyFill="1" applyBorder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0" fontId="18" fillId="8" borderId="3" xfId="0" applyFont="1" applyFill="1" applyBorder="1" applyAlignment="1">
      <alignment vertical="center" wrapText="1"/>
    </xf>
    <xf numFmtId="0" fontId="18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left" vertical="center"/>
    </xf>
    <xf numFmtId="0" fontId="20" fillId="5" borderId="3" xfId="0" applyFont="1" applyFill="1" applyBorder="1" applyAlignment="1">
      <alignment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3" fillId="27" borderId="0" xfId="0" applyFont="1" applyFill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2" fillId="17" borderId="2" xfId="0" applyFont="1" applyFill="1" applyBorder="1" applyAlignment="1">
      <alignment horizontal="center" vertical="center" wrapText="1"/>
    </xf>
    <xf numFmtId="1" fontId="18" fillId="2" borderId="1" xfId="0" applyNumberFormat="1" applyFont="1" applyFill="1" applyBorder="1" applyAlignment="1">
      <alignment horizontal="center" vertical="center" wrapText="1"/>
    </xf>
    <xf numFmtId="2" fontId="18" fillId="2" borderId="1" xfId="0" applyNumberFormat="1" applyFont="1" applyFill="1" applyBorder="1" applyAlignment="1">
      <alignment horizontal="center" vertical="center" wrapText="1"/>
    </xf>
    <xf numFmtId="0" fontId="9" fillId="32" borderId="2" xfId="0" applyFont="1" applyFill="1" applyBorder="1" applyAlignment="1">
      <alignment horizontal="center" vertical="center" wrapText="1"/>
    </xf>
    <xf numFmtId="0" fontId="9" fillId="31" borderId="2" xfId="0" applyFont="1" applyFill="1" applyBorder="1" applyAlignment="1">
      <alignment horizontal="center" vertical="center" wrapText="1"/>
    </xf>
    <xf numFmtId="10" fontId="18" fillId="2" borderId="1" xfId="2" applyNumberFormat="1" applyFont="1" applyFill="1" applyBorder="1" applyAlignment="1">
      <alignment horizontal="center" vertical="center" wrapText="1"/>
    </xf>
    <xf numFmtId="0" fontId="9" fillId="34" borderId="2" xfId="0" applyFont="1" applyFill="1" applyBorder="1" applyAlignment="1">
      <alignment horizontal="center" vertical="center" wrapText="1"/>
    </xf>
    <xf numFmtId="0" fontId="9" fillId="33" borderId="2" xfId="0" applyFont="1" applyFill="1" applyBorder="1" applyAlignment="1">
      <alignment horizontal="center" vertical="center" wrapText="1"/>
    </xf>
    <xf numFmtId="0" fontId="9" fillId="20" borderId="2" xfId="0" applyFont="1" applyFill="1" applyBorder="1" applyAlignment="1">
      <alignment horizontal="center" vertical="center" wrapText="1"/>
    </xf>
    <xf numFmtId="3" fontId="18" fillId="2" borderId="1" xfId="0" applyNumberFormat="1" applyFont="1" applyFill="1" applyBorder="1" applyAlignment="1">
      <alignment horizontal="center" vertical="center" wrapText="1"/>
    </xf>
    <xf numFmtId="10" fontId="23" fillId="2" borderId="1" xfId="2" applyNumberFormat="1" applyFont="1" applyFill="1" applyBorder="1" applyAlignment="1">
      <alignment horizontal="center" vertical="center" wrapText="1"/>
    </xf>
    <xf numFmtId="0" fontId="13" fillId="21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/>
    </xf>
    <xf numFmtId="0" fontId="21" fillId="35" borderId="2" xfId="0" applyFont="1" applyFill="1" applyBorder="1" applyAlignment="1">
      <alignment horizontal="center" vertical="center" wrapText="1"/>
    </xf>
    <xf numFmtId="0" fontId="24" fillId="28" borderId="2" xfId="0" applyFont="1" applyFill="1" applyBorder="1" applyAlignment="1">
      <alignment horizontal="center" vertical="center" wrapText="1"/>
    </xf>
    <xf numFmtId="0" fontId="25" fillId="27" borderId="2" xfId="0" applyFont="1" applyFill="1" applyBorder="1" applyAlignment="1">
      <alignment horizontal="center" vertical="center" wrapText="1"/>
    </xf>
    <xf numFmtId="0" fontId="1" fillId="20" borderId="2" xfId="0" applyFont="1" applyFill="1" applyBorder="1" applyAlignment="1">
      <alignment horizontal="center" vertical="center" wrapText="1"/>
    </xf>
    <xf numFmtId="0" fontId="1" fillId="30" borderId="2" xfId="0" applyFont="1" applyFill="1" applyBorder="1" applyAlignment="1">
      <alignment horizontal="center" vertical="center" wrapText="1"/>
    </xf>
    <xf numFmtId="165" fontId="18" fillId="2" borderId="1" xfId="2" applyNumberFormat="1" applyFont="1" applyFill="1" applyBorder="1" applyAlignment="1">
      <alignment horizontal="center" vertical="center" wrapText="1"/>
    </xf>
    <xf numFmtId="0" fontId="4" fillId="36" borderId="2" xfId="0" applyFont="1" applyFill="1" applyBorder="1" applyAlignment="1">
      <alignment horizontal="center" vertical="center" wrapText="1"/>
    </xf>
    <xf numFmtId="0" fontId="4" fillId="37" borderId="2" xfId="0" applyFont="1" applyFill="1" applyBorder="1" applyAlignment="1">
      <alignment horizontal="center" vertical="center" wrapText="1"/>
    </xf>
    <xf numFmtId="43" fontId="13" fillId="21" borderId="2" xfId="1" applyFont="1" applyFill="1" applyBorder="1" applyAlignment="1">
      <alignment horizontal="center" vertical="center" wrapText="1"/>
    </xf>
    <xf numFmtId="1" fontId="26" fillId="3" borderId="2" xfId="0" applyNumberFormat="1" applyFont="1" applyFill="1" applyBorder="1" applyAlignment="1">
      <alignment horizontal="center" vertical="center"/>
    </xf>
    <xf numFmtId="0" fontId="22" fillId="16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8" fillId="8" borderId="2" xfId="0" applyFont="1" applyFill="1" applyBorder="1" applyAlignment="1">
      <alignment horizontal="left" vertical="center"/>
    </xf>
    <xf numFmtId="0" fontId="4" fillId="38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vertical="center" wrapText="1"/>
    </xf>
    <xf numFmtId="165" fontId="0" fillId="4" borderId="2" xfId="0" applyNumberFormat="1" applyFill="1" applyBorder="1" applyAlignment="1">
      <alignment horizontal="center" vertical="center"/>
    </xf>
    <xf numFmtId="43" fontId="0" fillId="0" borderId="0" xfId="1" applyFont="1" applyAlignment="1">
      <alignment horizontal="center"/>
    </xf>
    <xf numFmtId="0" fontId="30" fillId="38" borderId="2" xfId="0" applyFont="1" applyFill="1" applyBorder="1" applyAlignment="1">
      <alignment horizontal="center" vertical="center" wrapText="1"/>
    </xf>
    <xf numFmtId="0" fontId="31" fillId="39" borderId="2" xfId="0" applyFont="1" applyFill="1" applyBorder="1" applyAlignment="1">
      <alignment horizontal="center" vertical="center" wrapText="1"/>
    </xf>
    <xf numFmtId="167" fontId="0" fillId="0" borderId="0" xfId="0" applyNumberFormat="1"/>
    <xf numFmtId="10" fontId="0" fillId="4" borderId="2" xfId="0" applyNumberFormat="1" applyFill="1" applyBorder="1" applyAlignment="1">
      <alignment horizontal="center" vertical="center"/>
    </xf>
    <xf numFmtId="167" fontId="9" fillId="29" borderId="2" xfId="0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43" fontId="32" fillId="11" borderId="2" xfId="1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0" fillId="40" borderId="2" xfId="0" applyFill="1" applyBorder="1"/>
    <xf numFmtId="0" fontId="4" fillId="41" borderId="2" xfId="0" applyFont="1" applyFill="1" applyBorder="1" applyAlignment="1">
      <alignment horizontal="center" vertical="center" wrapText="1"/>
    </xf>
    <xf numFmtId="10" fontId="18" fillId="2" borderId="3" xfId="0" applyNumberFormat="1" applyFont="1" applyFill="1" applyBorder="1" applyAlignment="1">
      <alignment horizontal="center" vertical="center" wrapText="1"/>
    </xf>
    <xf numFmtId="0" fontId="1" fillId="31" borderId="2" xfId="0" applyFont="1" applyFill="1" applyBorder="1" applyAlignment="1">
      <alignment horizontal="center" vertical="center" wrapText="1"/>
    </xf>
    <xf numFmtId="0" fontId="1" fillId="32" borderId="2" xfId="0" applyFont="1" applyFill="1" applyBorder="1" applyAlignment="1">
      <alignment horizontal="center" vertical="center" wrapText="1"/>
    </xf>
    <xf numFmtId="2" fontId="0" fillId="4" borderId="7" xfId="0" applyNumberFormat="1" applyFill="1" applyBorder="1" applyAlignment="1">
      <alignment horizontal="center" vertical="center"/>
    </xf>
    <xf numFmtId="43" fontId="32" fillId="11" borderId="6" xfId="1" applyFont="1" applyFill="1" applyBorder="1" applyAlignment="1">
      <alignment horizontal="center" vertical="center" wrapText="1"/>
    </xf>
    <xf numFmtId="43" fontId="1" fillId="5" borderId="2" xfId="1" applyFont="1" applyFill="1" applyBorder="1" applyAlignment="1">
      <alignment horizontal="center" vertical="center" wrapText="1"/>
    </xf>
    <xf numFmtId="43" fontId="1" fillId="5" borderId="5" xfId="1" applyFont="1" applyFill="1" applyBorder="1" applyAlignment="1">
      <alignment horizontal="center" vertical="center" wrapText="1"/>
    </xf>
    <xf numFmtId="43" fontId="1" fillId="8" borderId="2" xfId="1" applyFont="1" applyFill="1" applyBorder="1" applyAlignment="1">
      <alignment horizontal="center" vertical="center" wrapText="1"/>
    </xf>
    <xf numFmtId="43" fontId="4" fillId="41" borderId="2" xfId="1" applyFont="1" applyFill="1" applyBorder="1" applyAlignment="1">
      <alignment horizontal="center" vertical="center" wrapText="1"/>
    </xf>
    <xf numFmtId="43" fontId="33" fillId="41" borderId="2" xfId="1" applyFont="1" applyFill="1" applyBorder="1" applyAlignment="1">
      <alignment horizontal="center" vertical="center" wrapText="1"/>
    </xf>
    <xf numFmtId="43" fontId="13" fillId="41" borderId="2" xfId="1" applyFont="1" applyFill="1" applyBorder="1" applyAlignment="1">
      <alignment horizontal="center" vertical="center" wrapText="1"/>
    </xf>
    <xf numFmtId="43" fontId="34" fillId="5" borderId="2" xfId="1" applyFont="1" applyFill="1" applyBorder="1" applyAlignment="1">
      <alignment horizontal="center" vertical="center" wrapText="1"/>
    </xf>
    <xf numFmtId="43" fontId="34" fillId="5" borderId="4" xfId="1" applyFont="1" applyFill="1" applyBorder="1" applyAlignment="1">
      <alignment horizontal="center" vertical="center" wrapText="1"/>
    </xf>
    <xf numFmtId="43" fontId="9" fillId="8" borderId="2" xfId="1" applyFont="1" applyFill="1" applyBorder="1" applyAlignment="1">
      <alignment horizontal="center" vertical="center" wrapText="1"/>
    </xf>
    <xf numFmtId="43" fontId="34" fillId="20" borderId="2" xfId="1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34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25" fillId="15" borderId="2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1" fillId="23" borderId="0" xfId="0" applyFont="1" applyFill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21" borderId="4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12" fillId="28" borderId="2" xfId="0" applyFont="1" applyFill="1" applyBorder="1" applyAlignment="1">
      <alignment horizontal="center" vertical="center" wrapText="1"/>
    </xf>
    <xf numFmtId="0" fontId="8" fillId="41" borderId="2" xfId="0" applyFont="1" applyFill="1" applyBorder="1" applyAlignment="1">
      <alignment horizontal="center" vertical="center" wrapText="1"/>
    </xf>
    <xf numFmtId="0" fontId="4" fillId="26" borderId="2" xfId="0" applyFont="1" applyFill="1" applyBorder="1" applyAlignment="1">
      <alignment horizontal="center" vertical="center" wrapText="1"/>
    </xf>
    <xf numFmtId="0" fontId="34" fillId="12" borderId="2" xfId="0" applyFont="1" applyFill="1" applyBorder="1" applyAlignment="1">
      <alignment horizontal="center" vertical="center" wrapText="1"/>
    </xf>
    <xf numFmtId="1" fontId="28" fillId="5" borderId="2" xfId="0" applyNumberFormat="1" applyFont="1" applyFill="1" applyBorder="1" applyAlignment="1">
      <alignment horizontal="center" vertical="center"/>
    </xf>
    <xf numFmtId="1" fontId="28" fillId="4" borderId="2" xfId="0" applyNumberFormat="1" applyFont="1" applyFill="1" applyBorder="1" applyAlignment="1">
      <alignment horizontal="center" vertical="center"/>
    </xf>
    <xf numFmtId="1" fontId="35" fillId="2" borderId="3" xfId="0" applyNumberFormat="1" applyFont="1" applyFill="1" applyBorder="1" applyAlignment="1">
      <alignment horizontal="center" vertical="center" wrapText="1"/>
    </xf>
    <xf numFmtId="1" fontId="35" fillId="9" borderId="3" xfId="0" applyNumberFormat="1" applyFont="1" applyFill="1" applyBorder="1" applyAlignment="1">
      <alignment horizontal="center" vertical="center" wrapText="1"/>
    </xf>
    <xf numFmtId="0" fontId="9" fillId="24" borderId="4" xfId="0" applyFont="1" applyFill="1" applyBorder="1" applyAlignment="1">
      <alignment horizontal="center" vertical="center" wrapText="1"/>
    </xf>
    <xf numFmtId="14" fontId="0" fillId="16" borderId="2" xfId="0" applyNumberFormat="1" applyFill="1" applyBorder="1" applyAlignment="1">
      <alignment horizontal="center" vertical="center"/>
    </xf>
    <xf numFmtId="0" fontId="36" fillId="36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0" fontId="4" fillId="43" borderId="2" xfId="0" applyFont="1" applyFill="1" applyBorder="1" applyAlignment="1">
      <alignment horizontal="center" vertical="center" wrapText="1"/>
    </xf>
    <xf numFmtId="2" fontId="3" fillId="4" borderId="2" xfId="0" applyNumberFormat="1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 wrapText="1"/>
    </xf>
    <xf numFmtId="0" fontId="38" fillId="25" borderId="4" xfId="0" applyFont="1" applyFill="1" applyBorder="1" applyAlignment="1">
      <alignment horizontal="center" vertical="center" wrapText="1"/>
    </xf>
    <xf numFmtId="0" fontId="37" fillId="26" borderId="4" xfId="0" applyFont="1" applyFill="1" applyBorder="1" applyAlignment="1">
      <alignment horizontal="center" vertical="center" wrapText="1"/>
    </xf>
    <xf numFmtId="0" fontId="4" fillId="44" borderId="2" xfId="0" applyFont="1" applyFill="1" applyBorder="1" applyAlignment="1">
      <alignment horizontal="center" vertical="center" wrapText="1"/>
    </xf>
    <xf numFmtId="0" fontId="40" fillId="36" borderId="2" xfId="0" applyFont="1" applyFill="1" applyBorder="1" applyAlignment="1">
      <alignment horizontal="center" vertical="center" wrapText="1"/>
    </xf>
    <xf numFmtId="10" fontId="41" fillId="2" borderId="1" xfId="2" applyNumberFormat="1" applyFont="1" applyFill="1" applyBorder="1" applyAlignment="1">
      <alignment horizontal="center" vertical="center" wrapText="1"/>
    </xf>
    <xf numFmtId="0" fontId="22" fillId="9" borderId="2" xfId="0" applyFont="1" applyFill="1" applyBorder="1" applyAlignment="1">
      <alignment horizontal="center" vertical="center" wrapText="1"/>
    </xf>
    <xf numFmtId="0" fontId="4" fillId="37" borderId="0" xfId="0" applyFont="1" applyFill="1" applyAlignment="1">
      <alignment horizontal="center" vertical="center" wrapText="1"/>
    </xf>
    <xf numFmtId="167" fontId="9" fillId="30" borderId="2" xfId="0" applyNumberFormat="1" applyFont="1" applyFill="1" applyBorder="1" applyAlignment="1">
      <alignment horizontal="center" vertical="center" wrapText="1"/>
    </xf>
    <xf numFmtId="0" fontId="9" fillId="30" borderId="2" xfId="0" applyFont="1" applyFill="1" applyBorder="1" applyAlignment="1">
      <alignment horizontal="center" vertical="center" wrapText="1"/>
    </xf>
    <xf numFmtId="0" fontId="40" fillId="6" borderId="2" xfId="0" applyFont="1" applyFill="1" applyBorder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 wrapText="1"/>
    </xf>
    <xf numFmtId="2" fontId="3" fillId="8" borderId="2" xfId="0" applyNumberFormat="1" applyFont="1" applyFill="1" applyBorder="1" applyAlignment="1">
      <alignment horizontal="center" vertical="center"/>
    </xf>
    <xf numFmtId="2" fontId="3" fillId="8" borderId="3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43" fontId="1" fillId="23" borderId="2" xfId="1" applyFont="1" applyFill="1" applyBorder="1" applyAlignment="1">
      <alignment horizontal="center" vertical="center" wrapText="1"/>
    </xf>
    <xf numFmtId="43" fontId="1" fillId="13" borderId="2" xfId="1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39" fillId="3" borderId="2" xfId="0" applyFont="1" applyFill="1" applyBorder="1" applyAlignment="1">
      <alignment horizontal="center" vertical="center" wrapText="1"/>
    </xf>
    <xf numFmtId="0" fontId="39" fillId="12" borderId="2" xfId="0" applyFont="1" applyFill="1" applyBorder="1" applyAlignment="1">
      <alignment horizontal="center" vertical="center" wrapText="1"/>
    </xf>
    <xf numFmtId="0" fontId="9" fillId="45" borderId="2" xfId="0" applyFont="1" applyFill="1" applyBorder="1" applyAlignment="1">
      <alignment horizontal="center" vertical="center" wrapText="1"/>
    </xf>
    <xf numFmtId="0" fontId="42" fillId="45" borderId="2" xfId="0" applyFont="1" applyFill="1" applyBorder="1" applyAlignment="1">
      <alignment horizontal="center" vertical="center" wrapText="1"/>
    </xf>
    <xf numFmtId="0" fontId="34" fillId="45" borderId="2" xfId="0" applyFont="1" applyFill="1" applyBorder="1" applyAlignment="1">
      <alignment horizontal="center" vertical="center" wrapText="1"/>
    </xf>
    <xf numFmtId="168" fontId="3" fillId="4" borderId="2" xfId="0" applyNumberFormat="1" applyFont="1" applyFill="1" applyBorder="1" applyAlignment="1">
      <alignment horizontal="center" vertical="center"/>
    </xf>
    <xf numFmtId="1" fontId="3" fillId="4" borderId="2" xfId="0" applyNumberFormat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164" fontId="18" fillId="4" borderId="3" xfId="0" applyNumberFormat="1" applyFont="1" applyFill="1" applyBorder="1" applyAlignment="1">
      <alignment horizontal="center" vertical="center" wrapText="1"/>
    </xf>
    <xf numFmtId="2" fontId="18" fillId="4" borderId="3" xfId="0" applyNumberFormat="1" applyFont="1" applyFill="1" applyBorder="1" applyAlignment="1">
      <alignment horizontal="center" vertical="center" wrapText="1"/>
    </xf>
    <xf numFmtId="1" fontId="18" fillId="4" borderId="3" xfId="0" applyNumberFormat="1" applyFont="1" applyFill="1" applyBorder="1" applyAlignment="1">
      <alignment horizontal="center" vertical="center" wrapText="1"/>
    </xf>
    <xf numFmtId="10" fontId="28" fillId="4" borderId="2" xfId="2" applyNumberFormat="1" applyFont="1" applyFill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0" borderId="0" xfId="0" applyFont="1"/>
    <xf numFmtId="1" fontId="35" fillId="4" borderId="3" xfId="0" applyNumberFormat="1" applyFont="1" applyFill="1" applyBorder="1" applyAlignment="1">
      <alignment horizontal="center" vertical="center" wrapText="1"/>
    </xf>
    <xf numFmtId="9" fontId="35" fillId="4" borderId="3" xfId="2" applyFont="1" applyFill="1" applyBorder="1" applyAlignment="1">
      <alignment horizontal="center" vertical="center" wrapText="1"/>
    </xf>
    <xf numFmtId="9" fontId="35" fillId="2" borderId="3" xfId="2" applyFont="1" applyFill="1" applyBorder="1" applyAlignment="1">
      <alignment horizontal="center" vertical="center" wrapText="1"/>
    </xf>
    <xf numFmtId="2" fontId="18" fillId="2" borderId="2" xfId="2" applyNumberFormat="1" applyFont="1" applyFill="1" applyBorder="1" applyAlignment="1">
      <alignment horizontal="center" vertical="center" wrapText="1"/>
    </xf>
    <xf numFmtId="0" fontId="34" fillId="28" borderId="2" xfId="0" applyFont="1" applyFill="1" applyBorder="1" applyAlignment="1">
      <alignment horizontal="center" vertical="center" wrapText="1"/>
    </xf>
    <xf numFmtId="0" fontId="1" fillId="23" borderId="2" xfId="0" applyFont="1" applyFill="1" applyBorder="1" applyAlignment="1">
      <alignment horizontal="center" vertical="center" wrapText="1"/>
    </xf>
    <xf numFmtId="1" fontId="35" fillId="2" borderId="1" xfId="0" applyNumberFormat="1" applyFont="1" applyFill="1" applyBorder="1" applyAlignment="1">
      <alignment horizontal="center" vertical="center" wrapText="1"/>
    </xf>
    <xf numFmtId="9" fontId="35" fillId="2" borderId="1" xfId="2" applyFont="1" applyFill="1" applyBorder="1" applyAlignment="1">
      <alignment horizontal="center" vertical="center" wrapText="1"/>
    </xf>
    <xf numFmtId="2" fontId="0" fillId="4" borderId="2" xfId="2" applyNumberFormat="1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 wrapText="1"/>
    </xf>
    <xf numFmtId="14" fontId="0" fillId="2" borderId="3" xfId="0" applyNumberForma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7" fontId="19" fillId="4" borderId="2" xfId="0" applyNumberFormat="1" applyFont="1" applyFill="1" applyBorder="1" applyAlignment="1">
      <alignment horizontal="center" vertical="center"/>
    </xf>
    <xf numFmtId="0" fontId="44" fillId="6" borderId="2" xfId="0" applyFont="1" applyFill="1" applyBorder="1" applyAlignment="1">
      <alignment horizontal="center" vertical="center" wrapText="1"/>
    </xf>
    <xf numFmtId="0" fontId="44" fillId="6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23" fillId="4" borderId="1" xfId="0" applyNumberFormat="1" applyFont="1" applyFill="1" applyBorder="1" applyAlignment="1">
      <alignment horizontal="center" vertical="center" wrapText="1"/>
    </xf>
    <xf numFmtId="1" fontId="18" fillId="4" borderId="1" xfId="0" applyNumberFormat="1" applyFont="1" applyFill="1" applyBorder="1" applyAlignment="1">
      <alignment horizontal="center" vertical="center" wrapText="1"/>
    </xf>
    <xf numFmtId="168" fontId="45" fillId="21" borderId="8" xfId="0" applyNumberFormat="1" applyFont="1" applyFill="1" applyBorder="1" applyAlignment="1">
      <alignment horizontal="center" vertical="center" wrapText="1"/>
    </xf>
    <xf numFmtId="169" fontId="45" fillId="21" borderId="8" xfId="0" applyNumberFormat="1" applyFont="1" applyFill="1" applyBorder="1" applyAlignment="1">
      <alignment horizontal="center" vertical="center" wrapText="1"/>
    </xf>
    <xf numFmtId="1" fontId="0" fillId="4" borderId="2" xfId="2" applyNumberFormat="1" applyFont="1" applyFill="1" applyBorder="1" applyAlignment="1">
      <alignment horizontal="center" vertical="center"/>
    </xf>
    <xf numFmtId="2" fontId="18" fillId="2" borderId="3" xfId="2" applyNumberFormat="1" applyFont="1" applyFill="1" applyBorder="1" applyAlignment="1">
      <alignment horizontal="center" vertical="center" wrapText="1"/>
    </xf>
    <xf numFmtId="1" fontId="18" fillId="2" borderId="3" xfId="2" applyNumberFormat="1" applyFont="1" applyFill="1" applyBorder="1" applyAlignment="1">
      <alignment horizontal="center" vertical="center" wrapText="1"/>
    </xf>
    <xf numFmtId="43" fontId="40" fillId="46" borderId="2" xfId="1" applyFont="1" applyFill="1" applyBorder="1" applyAlignment="1">
      <alignment horizontal="center" vertical="center" wrapText="1"/>
    </xf>
    <xf numFmtId="0" fontId="29" fillId="26" borderId="2" xfId="0" applyFont="1" applyFill="1" applyBorder="1" applyAlignment="1">
      <alignment horizontal="center" vertical="center" wrapText="1"/>
    </xf>
    <xf numFmtId="0" fontId="47" fillId="10" borderId="2" xfId="0" applyFont="1" applyFill="1" applyBorder="1" applyAlignment="1">
      <alignment horizontal="center" vertical="center" wrapText="1"/>
    </xf>
    <xf numFmtId="0" fontId="17" fillId="47" borderId="2" xfId="0" applyFont="1" applyFill="1" applyBorder="1" applyAlignment="1">
      <alignment horizontal="center" vertical="center" wrapText="1"/>
    </xf>
    <xf numFmtId="0" fontId="9" fillId="28" borderId="2" xfId="0" applyFont="1" applyFill="1" applyBorder="1" applyAlignment="1">
      <alignment horizontal="center" vertical="center" wrapText="1"/>
    </xf>
    <xf numFmtId="0" fontId="10" fillId="28" borderId="2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2" fillId="48" borderId="4" xfId="0" applyFont="1" applyFill="1" applyBorder="1" applyAlignment="1">
      <alignment horizontal="center" vertical="center" wrapText="1"/>
    </xf>
    <xf numFmtId="1" fontId="23" fillId="2" borderId="1" xfId="0" applyNumberFormat="1" applyFont="1" applyFill="1" applyBorder="1" applyAlignment="1">
      <alignment horizontal="center" vertical="center" wrapText="1"/>
    </xf>
    <xf numFmtId="2" fontId="23" fillId="2" borderId="1" xfId="0" applyNumberFormat="1" applyFont="1" applyFill="1" applyBorder="1" applyAlignment="1">
      <alignment horizontal="center" vertical="center" wrapText="1"/>
    </xf>
    <xf numFmtId="0" fontId="52" fillId="26" borderId="2" xfId="0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/>
    </xf>
    <xf numFmtId="0" fontId="55" fillId="0" borderId="0" xfId="0" applyFont="1"/>
    <xf numFmtId="0" fontId="0" fillId="49" borderId="0" xfId="0" applyFill="1"/>
    <xf numFmtId="2" fontId="5" fillId="33" borderId="2" xfId="0" applyNumberFormat="1" applyFont="1" applyFill="1" applyBorder="1" applyAlignment="1">
      <alignment horizontal="center" vertical="center"/>
    </xf>
    <xf numFmtId="0" fontId="56" fillId="14" borderId="2" xfId="0" applyFont="1" applyFill="1" applyBorder="1" applyAlignment="1">
      <alignment horizontal="center" vertical="center" wrapText="1"/>
    </xf>
    <xf numFmtId="2" fontId="5" fillId="24" borderId="2" xfId="0" applyNumberFormat="1" applyFont="1" applyFill="1" applyBorder="1" applyAlignment="1">
      <alignment horizontal="center" vertical="center"/>
    </xf>
    <xf numFmtId="0" fontId="57" fillId="15" borderId="2" xfId="0" applyFont="1" applyFill="1" applyBorder="1" applyAlignment="1">
      <alignment horizontal="center" vertical="center"/>
    </xf>
    <xf numFmtId="164" fontId="5" fillId="33" borderId="2" xfId="0" applyNumberFormat="1" applyFont="1" applyFill="1" applyBorder="1" applyAlignment="1">
      <alignment horizontal="center" vertical="center"/>
    </xf>
    <xf numFmtId="0" fontId="56" fillId="6" borderId="2" xfId="0" applyFont="1" applyFill="1" applyBorder="1" applyAlignment="1">
      <alignment horizontal="center" vertical="center"/>
    </xf>
    <xf numFmtId="0" fontId="56" fillId="19" borderId="2" xfId="0" applyFont="1" applyFill="1" applyBorder="1" applyAlignment="1">
      <alignment horizontal="center" vertical="center"/>
    </xf>
    <xf numFmtId="0" fontId="0" fillId="21" borderId="0" xfId="0" applyFill="1"/>
    <xf numFmtId="1" fontId="5" fillId="33" borderId="2" xfId="0" applyNumberFormat="1" applyFont="1" applyFill="1" applyBorder="1" applyAlignment="1">
      <alignment horizontal="center" vertical="center"/>
    </xf>
    <xf numFmtId="10" fontId="5" fillId="24" borderId="2" xfId="2" applyNumberFormat="1" applyFont="1" applyFill="1" applyBorder="1" applyAlignment="1">
      <alignment horizontal="center" vertical="center"/>
    </xf>
    <xf numFmtId="0" fontId="58" fillId="11" borderId="2" xfId="0" applyFont="1" applyFill="1" applyBorder="1" applyAlignment="1">
      <alignment horizontal="center" vertical="center"/>
    </xf>
    <xf numFmtId="164" fontId="5" fillId="29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/>
    </xf>
    <xf numFmtId="164" fontId="5" fillId="24" borderId="2" xfId="0" applyNumberFormat="1" applyFont="1" applyFill="1" applyBorder="1" applyAlignment="1">
      <alignment horizontal="center" vertical="center"/>
    </xf>
    <xf numFmtId="10" fontId="5" fillId="50" borderId="2" xfId="2" applyNumberFormat="1" applyFont="1" applyFill="1" applyBorder="1" applyAlignment="1">
      <alignment horizontal="center" vertical="center"/>
    </xf>
    <xf numFmtId="10" fontId="5" fillId="8" borderId="2" xfId="2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4" fontId="5" fillId="50" borderId="2" xfId="0" applyNumberFormat="1" applyFont="1" applyFill="1" applyBorder="1" applyAlignment="1">
      <alignment horizontal="center" vertical="center"/>
    </xf>
    <xf numFmtId="0" fontId="59" fillId="6" borderId="2" xfId="0" applyFont="1" applyFill="1" applyBorder="1" applyAlignment="1">
      <alignment horizontal="center" vertical="center" wrapText="1"/>
    </xf>
    <xf numFmtId="164" fontId="5" fillId="30" borderId="2" xfId="0" applyNumberFormat="1" applyFont="1" applyFill="1" applyBorder="1" applyAlignment="1">
      <alignment horizontal="center" vertical="center"/>
    </xf>
    <xf numFmtId="0" fontId="60" fillId="6" borderId="2" xfId="0" applyFont="1" applyFill="1" applyBorder="1" applyAlignment="1">
      <alignment horizontal="center" vertical="center" wrapText="1"/>
    </xf>
    <xf numFmtId="2" fontId="61" fillId="35" borderId="2" xfId="0" applyNumberFormat="1" applyFont="1" applyFill="1" applyBorder="1" applyAlignment="1">
      <alignment horizontal="center" vertical="center"/>
    </xf>
    <xf numFmtId="0" fontId="62" fillId="6" borderId="2" xfId="0" applyFont="1" applyFill="1" applyBorder="1" applyAlignment="1">
      <alignment horizontal="center" vertical="center" wrapText="1"/>
    </xf>
    <xf numFmtId="2" fontId="3" fillId="4" borderId="2" xfId="2" applyNumberFormat="1" applyFont="1" applyFill="1" applyBorder="1" applyAlignment="1">
      <alignment horizontal="center" vertical="center"/>
    </xf>
    <xf numFmtId="1" fontId="3" fillId="4" borderId="2" xfId="2" applyNumberFormat="1" applyFont="1" applyFill="1" applyBorder="1" applyAlignment="1">
      <alignment horizontal="center" vertical="center"/>
    </xf>
    <xf numFmtId="164" fontId="3" fillId="4" borderId="2" xfId="2" applyNumberFormat="1" applyFont="1" applyFill="1" applyBorder="1" applyAlignment="1">
      <alignment horizontal="center" vertical="center"/>
    </xf>
    <xf numFmtId="1" fontId="5" fillId="4" borderId="2" xfId="0" applyNumberFormat="1" applyFont="1" applyFill="1" applyBorder="1" applyAlignment="1">
      <alignment horizontal="center" vertical="center"/>
    </xf>
    <xf numFmtId="0" fontId="64" fillId="8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vertical="center"/>
    </xf>
    <xf numFmtId="0" fontId="65" fillId="49" borderId="4" xfId="0" applyFont="1" applyFill="1" applyBorder="1" applyAlignment="1">
      <alignment horizontal="center" vertical="center"/>
    </xf>
    <xf numFmtId="0" fontId="65" fillId="49" borderId="4" xfId="0" applyFont="1" applyFill="1" applyBorder="1" applyAlignment="1">
      <alignment horizontal="center" vertical="center" wrapText="1"/>
    </xf>
    <xf numFmtId="0" fontId="56" fillId="6" borderId="2" xfId="0" applyFont="1" applyFill="1" applyBorder="1" applyAlignment="1">
      <alignment horizontal="center" vertical="center" wrapText="1"/>
    </xf>
    <xf numFmtId="0" fontId="56" fillId="19" borderId="2" xfId="0" applyFont="1" applyFill="1" applyBorder="1" applyAlignment="1">
      <alignment horizontal="center" vertical="center" wrapText="1"/>
    </xf>
    <xf numFmtId="0" fontId="66" fillId="26" borderId="2" xfId="0" applyFont="1" applyFill="1" applyBorder="1" applyAlignment="1">
      <alignment horizontal="center" vertical="center"/>
    </xf>
    <xf numFmtId="0" fontId="67" fillId="15" borderId="2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center" vertical="center" wrapText="1"/>
    </xf>
    <xf numFmtId="0" fontId="68" fillId="15" borderId="2" xfId="0" applyFont="1" applyFill="1" applyBorder="1" applyAlignment="1">
      <alignment horizontal="center" vertical="center"/>
    </xf>
    <xf numFmtId="0" fontId="4" fillId="26" borderId="4" xfId="0" applyFont="1" applyFill="1" applyBorder="1" applyAlignment="1">
      <alignment horizontal="center" vertical="center" wrapText="1"/>
    </xf>
    <xf numFmtId="0" fontId="27" fillId="26" borderId="2" xfId="0" applyFont="1" applyFill="1" applyBorder="1" applyAlignment="1">
      <alignment horizontal="center" vertical="center" wrapText="1"/>
    </xf>
    <xf numFmtId="0" fontId="69" fillId="14" borderId="4" xfId="0" applyFont="1" applyFill="1" applyBorder="1" applyAlignment="1">
      <alignment horizontal="center" vertical="center" wrapText="1"/>
    </xf>
    <xf numFmtId="49" fontId="5" fillId="12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 wrapText="1"/>
    </xf>
    <xf numFmtId="0" fontId="0" fillId="49" borderId="0" xfId="0" quotePrefix="1" applyFill="1"/>
    <xf numFmtId="0" fontId="0" fillId="40" borderId="2" xfId="0" quotePrefix="1" applyFill="1" applyBorder="1"/>
    <xf numFmtId="2" fontId="18" fillId="2" borderId="1" xfId="2" applyNumberFormat="1" applyFont="1" applyFill="1" applyBorder="1" applyAlignment="1">
      <alignment horizontal="center" vertical="center" wrapText="1"/>
    </xf>
    <xf numFmtId="1" fontId="18" fillId="2" borderId="1" xfId="2" applyNumberFormat="1" applyFont="1" applyFill="1" applyBorder="1" applyAlignment="1">
      <alignment horizontal="center" vertical="center" wrapText="1"/>
    </xf>
    <xf numFmtId="0" fontId="36" fillId="26" borderId="2" xfId="0" applyFont="1" applyFill="1" applyBorder="1" applyAlignment="1">
      <alignment horizontal="center" vertical="center" wrapText="1"/>
    </xf>
    <xf numFmtId="0" fontId="70" fillId="26" borderId="2" xfId="0" applyFont="1" applyFill="1" applyBorder="1" applyAlignment="1">
      <alignment horizontal="center" vertical="center" wrapText="1"/>
    </xf>
    <xf numFmtId="0" fontId="71" fillId="26" borderId="2" xfId="0" applyFont="1" applyFill="1" applyBorder="1" applyAlignment="1">
      <alignment horizontal="center" vertical="center" wrapText="1"/>
    </xf>
    <xf numFmtId="43" fontId="69" fillId="36" borderId="2" xfId="1" applyFont="1" applyFill="1" applyBorder="1" applyAlignment="1">
      <alignment horizontal="center" vertical="center" wrapText="1"/>
    </xf>
    <xf numFmtId="169" fontId="0" fillId="4" borderId="2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0" fontId="69" fillId="6" borderId="2" xfId="0" applyFont="1" applyFill="1" applyBorder="1" applyAlignment="1">
      <alignment horizontal="center" vertical="center" wrapText="1"/>
    </xf>
    <xf numFmtId="0" fontId="0" fillId="51" borderId="0" xfId="0" applyFill="1"/>
    <xf numFmtId="0" fontId="1" fillId="52" borderId="2" xfId="0" applyFont="1" applyFill="1" applyBorder="1" applyAlignment="1">
      <alignment horizontal="center" vertical="center" wrapText="1"/>
    </xf>
    <xf numFmtId="2" fontId="35" fillId="2" borderId="1" xfId="0" applyNumberFormat="1" applyFont="1" applyFill="1" applyBorder="1" applyAlignment="1">
      <alignment horizontal="center" vertical="center" wrapText="1"/>
    </xf>
    <xf numFmtId="10" fontId="3" fillId="51" borderId="2" xfId="2" applyNumberFormat="1" applyFont="1" applyFill="1" applyBorder="1" applyAlignment="1">
      <alignment horizontal="center" vertical="center"/>
    </xf>
    <xf numFmtId="1" fontId="73" fillId="26" borderId="2" xfId="0" applyNumberFormat="1" applyFont="1" applyFill="1" applyBorder="1" applyAlignment="1">
      <alignment horizontal="center" vertical="center"/>
    </xf>
    <xf numFmtId="2" fontId="73" fillId="26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 wrapText="1"/>
    </xf>
    <xf numFmtId="1" fontId="74" fillId="53" borderId="1" xfId="0" applyNumberFormat="1" applyFont="1" applyFill="1" applyBorder="1" applyAlignment="1">
      <alignment horizontal="center" vertical="center" wrapText="1"/>
    </xf>
    <xf numFmtId="2" fontId="74" fillId="53" borderId="1" xfId="0" applyNumberFormat="1" applyFont="1" applyFill="1" applyBorder="1" applyAlignment="1">
      <alignment horizontal="center" vertical="center" wrapText="1"/>
    </xf>
    <xf numFmtId="0" fontId="13" fillId="25" borderId="4" xfId="0" applyFont="1" applyFill="1" applyBorder="1" applyAlignment="1">
      <alignment horizontal="center" vertical="center" wrapText="1"/>
    </xf>
    <xf numFmtId="2" fontId="18" fillId="51" borderId="10" xfId="0" applyNumberFormat="1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2" fillId="54" borderId="1" xfId="0" applyFont="1" applyFill="1" applyBorder="1" applyAlignment="1">
      <alignment vertical="center" wrapText="1"/>
    </xf>
    <xf numFmtId="14" fontId="2" fillId="54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0" fontId="2" fillId="54" borderId="14" xfId="0" applyFont="1" applyFill="1" applyBorder="1" applyAlignment="1">
      <alignment vertical="center" wrapText="1"/>
    </xf>
    <xf numFmtId="0" fontId="2" fillId="54" borderId="15" xfId="0" applyFont="1" applyFill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166" fontId="0" fillId="34" borderId="2" xfId="0" applyNumberFormat="1" applyFill="1" applyBorder="1" applyAlignment="1">
      <alignment horizontal="center" vertical="center"/>
    </xf>
    <xf numFmtId="167" fontId="0" fillId="34" borderId="2" xfId="0" applyNumberFormat="1" applyFill="1" applyBorder="1" applyAlignment="1">
      <alignment horizontal="center" vertical="center"/>
    </xf>
    <xf numFmtId="2" fontId="75" fillId="25" borderId="2" xfId="0" applyNumberFormat="1" applyFont="1" applyFill="1" applyBorder="1" applyAlignment="1">
      <alignment horizontal="center" vertical="center"/>
    </xf>
    <xf numFmtId="2" fontId="76" fillId="25" borderId="3" xfId="2" applyNumberFormat="1" applyFont="1" applyFill="1" applyBorder="1" applyAlignment="1">
      <alignment horizontal="center" vertical="center" wrapText="1"/>
    </xf>
    <xf numFmtId="1" fontId="76" fillId="25" borderId="3" xfId="0" applyNumberFormat="1" applyFont="1" applyFill="1" applyBorder="1" applyAlignment="1">
      <alignment horizontal="center" vertical="center" wrapText="1"/>
    </xf>
    <xf numFmtId="2" fontId="76" fillId="25" borderId="3" xfId="0" applyNumberFormat="1" applyFont="1" applyFill="1" applyBorder="1" applyAlignment="1">
      <alignment horizontal="center" vertical="center" wrapText="1"/>
    </xf>
    <xf numFmtId="2" fontId="19" fillId="25" borderId="2" xfId="0" applyNumberFormat="1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 wrapText="1"/>
    </xf>
    <xf numFmtId="0" fontId="2" fillId="5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" fillId="54" borderId="14" xfId="0" applyFont="1" applyFill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4" fontId="2" fillId="54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18" fillId="33" borderId="3" xfId="0" applyNumberFormat="1" applyFont="1" applyFill="1" applyBorder="1" applyAlignment="1">
      <alignment horizontal="center" vertical="center" wrapText="1"/>
    </xf>
    <xf numFmtId="10" fontId="76" fillId="49" borderId="3" xfId="2" applyNumberFormat="1" applyFont="1" applyFill="1" applyBorder="1" applyAlignment="1">
      <alignment horizontal="center" vertical="center" wrapText="1"/>
    </xf>
    <xf numFmtId="0" fontId="34" fillId="55" borderId="2" xfId="0" applyFont="1" applyFill="1" applyBorder="1" applyAlignment="1">
      <alignment horizontal="center" vertical="center" wrapText="1"/>
    </xf>
    <xf numFmtId="1" fontId="76" fillId="49" borderId="3" xfId="0" applyNumberFormat="1" applyFont="1" applyFill="1" applyBorder="1" applyAlignment="1">
      <alignment horizontal="center" vertical="center" wrapText="1"/>
    </xf>
    <xf numFmtId="2" fontId="76" fillId="49" borderId="3" xfId="0" applyNumberFormat="1" applyFont="1" applyFill="1" applyBorder="1" applyAlignment="1">
      <alignment horizontal="center" vertical="center" wrapText="1"/>
    </xf>
    <xf numFmtId="0" fontId="4" fillId="56" borderId="2" xfId="0" applyFont="1" applyFill="1" applyBorder="1" applyAlignment="1">
      <alignment horizontal="center" vertical="center" wrapText="1"/>
    </xf>
    <xf numFmtId="1" fontId="18" fillId="51" borderId="3" xfId="0" applyNumberFormat="1" applyFont="1" applyFill="1" applyBorder="1" applyAlignment="1">
      <alignment horizontal="center" vertical="center" wrapText="1"/>
    </xf>
    <xf numFmtId="2" fontId="18" fillId="51" borderId="3" xfId="0" applyNumberFormat="1" applyFont="1" applyFill="1" applyBorder="1" applyAlignment="1">
      <alignment horizontal="center" vertical="center" wrapText="1"/>
    </xf>
    <xf numFmtId="0" fontId="4" fillId="57" borderId="2" xfId="0" applyFont="1" applyFill="1" applyBorder="1" applyAlignment="1">
      <alignment horizontal="center" vertical="center" wrapText="1"/>
    </xf>
    <xf numFmtId="0" fontId="17" fillId="56" borderId="2" xfId="0" applyFont="1" applyFill="1" applyBorder="1" applyAlignment="1">
      <alignment horizontal="center" vertical="center" wrapText="1"/>
    </xf>
    <xf numFmtId="0" fontId="22" fillId="56" borderId="2" xfId="0" applyFont="1" applyFill="1" applyBorder="1" applyAlignment="1">
      <alignment horizontal="center" vertical="center" wrapText="1"/>
    </xf>
    <xf numFmtId="0" fontId="2" fillId="54" borderId="16" xfId="0" applyFont="1" applyFill="1" applyBorder="1" applyAlignment="1">
      <alignment vertical="center" wrapText="1"/>
    </xf>
    <xf numFmtId="0" fontId="2" fillId="54" borderId="17" xfId="0" applyFont="1" applyFill="1" applyBorder="1" applyAlignment="1">
      <alignment vertical="center" wrapText="1"/>
    </xf>
    <xf numFmtId="0" fontId="2" fillId="54" borderId="18" xfId="0" applyFont="1" applyFill="1" applyBorder="1" applyAlignment="1">
      <alignment vertical="center" wrapText="1"/>
    </xf>
    <xf numFmtId="1" fontId="75" fillId="49" borderId="2" xfId="0" applyNumberFormat="1" applyFont="1" applyFill="1" applyBorder="1" applyAlignment="1">
      <alignment horizontal="center" vertical="center"/>
    </xf>
    <xf numFmtId="2" fontId="75" fillId="49" borderId="2" xfId="0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left" vertical="center"/>
    </xf>
    <xf numFmtId="3" fontId="0" fillId="4" borderId="2" xfId="0" applyNumberFormat="1" applyFill="1" applyBorder="1" applyAlignment="1">
      <alignment horizontal="center" vertical="center"/>
    </xf>
    <xf numFmtId="10" fontId="75" fillId="49" borderId="2" xfId="2" applyNumberFormat="1" applyFont="1" applyFill="1" applyBorder="1" applyAlignment="1">
      <alignment horizontal="center" vertical="center"/>
    </xf>
    <xf numFmtId="43" fontId="69" fillId="58" borderId="2" xfId="1" applyFont="1" applyFill="1" applyBorder="1" applyAlignment="1">
      <alignment horizontal="center" vertical="center" wrapText="1"/>
    </xf>
    <xf numFmtId="3" fontId="76" fillId="49" borderId="3" xfId="0" applyNumberFormat="1" applyFont="1" applyFill="1" applyBorder="1" applyAlignment="1">
      <alignment horizontal="center" vertical="center" wrapText="1"/>
    </xf>
    <xf numFmtId="4" fontId="76" fillId="49" borderId="3" xfId="0" applyNumberFormat="1" applyFont="1" applyFill="1" applyBorder="1" applyAlignment="1">
      <alignment horizontal="center" vertical="center" wrapText="1"/>
    </xf>
    <xf numFmtId="0" fontId="14" fillId="49" borderId="2" xfId="0" applyFont="1" applyFill="1" applyBorder="1" applyAlignment="1">
      <alignment horizontal="center" vertical="center" wrapText="1"/>
    </xf>
    <xf numFmtId="2" fontId="45" fillId="21" borderId="8" xfId="0" applyNumberFormat="1" applyFont="1" applyFill="1" applyBorder="1" applyAlignment="1">
      <alignment horizontal="center" vertical="center" wrapText="1"/>
    </xf>
    <xf numFmtId="0" fontId="78" fillId="14" borderId="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2" fillId="54" borderId="1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66" fontId="0" fillId="33" borderId="2" xfId="0" applyNumberFormat="1" applyFill="1" applyBorder="1" applyAlignment="1">
      <alignment horizontal="center" vertical="center"/>
    </xf>
    <xf numFmtId="1" fontId="75" fillId="49" borderId="2" xfId="2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center" vertical="center"/>
    </xf>
    <xf numFmtId="2" fontId="75" fillId="49" borderId="2" xfId="2" applyNumberFormat="1" applyFont="1" applyFill="1" applyBorder="1" applyAlignment="1">
      <alignment horizontal="center" vertical="center"/>
    </xf>
    <xf numFmtId="1" fontId="75" fillId="53" borderId="2" xfId="0" applyNumberFormat="1" applyFont="1" applyFill="1" applyBorder="1" applyAlignment="1">
      <alignment horizontal="center" vertical="center"/>
    </xf>
    <xf numFmtId="2" fontId="30" fillId="38" borderId="2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75" fillId="59" borderId="2" xfId="0" applyNumberFormat="1" applyFont="1" applyFill="1" applyBorder="1" applyAlignment="1">
      <alignment horizontal="center" vertical="center"/>
    </xf>
    <xf numFmtId="2" fontId="75" fillId="59" borderId="2" xfId="0" applyNumberFormat="1" applyFont="1" applyFill="1" applyBorder="1" applyAlignment="1">
      <alignment horizontal="center" vertical="center"/>
    </xf>
    <xf numFmtId="0" fontId="14" fillId="59" borderId="2" xfId="0" applyFont="1" applyFill="1" applyBorder="1" applyAlignment="1">
      <alignment horizontal="center" vertical="center" wrapText="1"/>
    </xf>
    <xf numFmtId="10" fontId="0" fillId="0" borderId="0" xfId="2" applyNumberFormat="1" applyFont="1" applyAlignment="1">
      <alignment horizontal="center"/>
    </xf>
    <xf numFmtId="2" fontId="4" fillId="14" borderId="2" xfId="0" applyNumberFormat="1" applyFont="1" applyFill="1" applyBorder="1" applyAlignment="1">
      <alignment horizontal="center" vertical="center" wrapText="1"/>
    </xf>
    <xf numFmtId="10" fontId="24" fillId="60" borderId="2" xfId="2" applyNumberFormat="1" applyFont="1" applyFill="1" applyBorder="1" applyAlignment="1">
      <alignment horizontal="center" vertical="center" wrapText="1"/>
    </xf>
    <xf numFmtId="0" fontId="75" fillId="49" borderId="2" xfId="0" applyFont="1" applyFill="1" applyBorder="1" applyAlignment="1">
      <alignment horizontal="center" vertical="center"/>
    </xf>
    <xf numFmtId="164" fontId="75" fillId="49" borderId="2" xfId="0" applyNumberFormat="1" applyFont="1" applyFill="1" applyBorder="1" applyAlignment="1">
      <alignment horizontal="center" vertical="center"/>
    </xf>
    <xf numFmtId="1" fontId="77" fillId="25" borderId="2" xfId="0" applyNumberFormat="1" applyFont="1" applyFill="1" applyBorder="1" applyAlignment="1">
      <alignment horizontal="center" vertical="center"/>
    </xf>
    <xf numFmtId="2" fontId="77" fillId="25" borderId="2" xfId="0" applyNumberFormat="1" applyFont="1" applyFill="1" applyBorder="1" applyAlignment="1">
      <alignment horizontal="center" vertical="center"/>
    </xf>
    <xf numFmtId="0" fontId="49" fillId="37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/>
    </xf>
    <xf numFmtId="0" fontId="4" fillId="61" borderId="2" xfId="0" applyFont="1" applyFill="1" applyBorder="1" applyAlignment="1">
      <alignment horizontal="center" vertical="center" wrapText="1"/>
    </xf>
    <xf numFmtId="165" fontId="76" fillId="49" borderId="3" xfId="2" applyNumberFormat="1" applyFont="1" applyFill="1" applyBorder="1" applyAlignment="1">
      <alignment horizontal="center" vertical="center" wrapText="1"/>
    </xf>
    <xf numFmtId="9" fontId="76" fillId="49" borderId="3" xfId="2" applyFont="1" applyFill="1" applyBorder="1" applyAlignment="1">
      <alignment horizontal="center" vertical="center" wrapText="1"/>
    </xf>
    <xf numFmtId="1" fontId="76" fillId="53" borderId="3" xfId="0" applyNumberFormat="1" applyFont="1" applyFill="1" applyBorder="1" applyAlignment="1">
      <alignment horizontal="center" vertical="center" wrapText="1"/>
    </xf>
    <xf numFmtId="0" fontId="4" fillId="53" borderId="2" xfId="0" applyFont="1" applyFill="1" applyBorder="1" applyAlignment="1">
      <alignment horizontal="center" vertical="center" wrapText="1"/>
    </xf>
    <xf numFmtId="43" fontId="9" fillId="17" borderId="2" xfId="1" applyFont="1" applyFill="1" applyBorder="1" applyAlignment="1">
      <alignment horizontal="center" vertical="center" wrapText="1"/>
    </xf>
    <xf numFmtId="165" fontId="79" fillId="49" borderId="9" xfId="2" applyNumberFormat="1" applyFont="1" applyFill="1" applyBorder="1" applyAlignment="1">
      <alignment horizontal="center" vertical="center" wrapText="1"/>
    </xf>
    <xf numFmtId="43" fontId="80" fillId="0" borderId="0" xfId="1" applyFont="1"/>
    <xf numFmtId="0" fontId="83" fillId="16" borderId="2" xfId="0" applyFont="1" applyFill="1" applyBorder="1" applyAlignment="1">
      <alignment horizontal="center" vertical="center" wrapText="1"/>
    </xf>
    <xf numFmtId="0" fontId="81" fillId="49" borderId="2" xfId="0" applyFont="1" applyFill="1" applyBorder="1" applyAlignment="1">
      <alignment horizontal="center" vertical="center"/>
    </xf>
    <xf numFmtId="1" fontId="81" fillId="49" borderId="2" xfId="0" applyNumberFormat="1" applyFont="1" applyFill="1" applyBorder="1" applyAlignment="1">
      <alignment horizontal="center" vertical="center"/>
    </xf>
    <xf numFmtId="43" fontId="82" fillId="3" borderId="2" xfId="1" applyFont="1" applyFill="1" applyBorder="1" applyAlignment="1">
      <alignment horizontal="center" vertical="center" wrapText="1"/>
    </xf>
    <xf numFmtId="43" fontId="82" fillId="3" borderId="4" xfId="1" applyFont="1" applyFill="1" applyBorder="1" applyAlignment="1">
      <alignment horizontal="center" vertical="center" wrapText="1"/>
    </xf>
    <xf numFmtId="0" fontId="63" fillId="49" borderId="4" xfId="0" applyFont="1" applyFill="1" applyBorder="1" applyAlignment="1">
      <alignment horizontal="center" vertical="center" wrapText="1"/>
    </xf>
    <xf numFmtId="0" fontId="63" fillId="49" borderId="5" xfId="0" applyFont="1" applyFill="1" applyBorder="1" applyAlignment="1">
      <alignment horizontal="center" vertical="center" wrapText="1"/>
    </xf>
    <xf numFmtId="14" fontId="2" fillId="54" borderId="17" xfId="0" applyNumberFormat="1" applyFont="1" applyFill="1" applyBorder="1" applyAlignment="1">
      <alignment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10"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  <dxf>
      <font>
        <b/>
        <i val="0"/>
        <color theme="0" tint="0.79998168889431442"/>
      </font>
      <fill>
        <patternFill>
          <bgColor rgb="FFC00000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8168889431442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24994659260841701"/>
          <bgColor theme="1" tint="4.9989318521683403E-2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5117038483843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00000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</dxfs>
  <tableStyles count="0" defaultTableStyle="TableStyleMedium2" defaultPivotStyle="PivotStyleLight16"/>
  <colors>
    <mruColors>
      <color rgb="FFA40000"/>
      <color rgb="FF305484"/>
      <color rgb="FF480000"/>
      <color rgb="FFAD1457"/>
      <color rgb="FF007A37"/>
      <color rgb="FFFAA0A2"/>
      <color rgb="FFE66914"/>
      <color rgb="FF2F5281"/>
      <color rgb="FF001132"/>
      <color rgb="FF7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126</xdr:col>
      <xdr:colOff>105833</xdr:colOff>
      <xdr:row>0</xdr:row>
      <xdr:rowOff>21166</xdr:rowOff>
    </xdr:from>
    <xdr:to>
      <xdr:col>127</xdr:col>
      <xdr:colOff>582084</xdr:colOff>
      <xdr:row>0</xdr:row>
      <xdr:rowOff>592666</xdr:rowOff>
    </xdr:to>
    <xdr:sp macro="[0]!Goleiros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2531433" y="21166"/>
          <a:ext cx="1085851" cy="1714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7" name="Elips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8" name="Elips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9" name="Elipse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0" name="Elips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1" name="Elipse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2" name="Elipse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3" name="Elipse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4" name="Elips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5" name="Elips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6" name="Elipse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7" name="Elipse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8" name="Elipse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177</xdr:col>
      <xdr:colOff>116417</xdr:colOff>
      <xdr:row>0</xdr:row>
      <xdr:rowOff>31750</xdr:rowOff>
    </xdr:from>
    <xdr:to>
      <xdr:col>178</xdr:col>
      <xdr:colOff>592668</xdr:colOff>
      <xdr:row>0</xdr:row>
      <xdr:rowOff>603250</xdr:rowOff>
    </xdr:to>
    <xdr:sp macro="[0]!Zagueiros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46843750" y="31750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2333" y="105833"/>
          <a:ext cx="518584" cy="804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160</xdr:col>
      <xdr:colOff>96877</xdr:colOff>
      <xdr:row>0</xdr:row>
      <xdr:rowOff>0</xdr:rowOff>
    </xdr:from>
    <xdr:to>
      <xdr:col>161</xdr:col>
      <xdr:colOff>486834</xdr:colOff>
      <xdr:row>1</xdr:row>
      <xdr:rowOff>0</xdr:rowOff>
    </xdr:to>
    <xdr:sp macro="[0]!Laterais" textlink="">
      <xdr:nvSpPr>
        <xdr:cNvPr id="2" name="Elips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42093460" y="0"/>
          <a:ext cx="1437707" cy="624417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4">
                  <a:lumMod val="60000"/>
                  <a:lumOff val="40000"/>
                </a:schemeClr>
              </a:solidFill>
            </a:rPr>
            <a:t>AJUSTES</a:t>
          </a:r>
          <a:endParaRPr lang="pt-BR" sz="18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42333</xdr:colOff>
      <xdr:row>0</xdr:row>
      <xdr:rowOff>74084</xdr:rowOff>
    </xdr:from>
    <xdr:to>
      <xdr:col>0</xdr:col>
      <xdr:colOff>560917</xdr:colOff>
      <xdr:row>0</xdr:row>
      <xdr:rowOff>497418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42333" y="7408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151</xdr:col>
      <xdr:colOff>52917</xdr:colOff>
      <xdr:row>0</xdr:row>
      <xdr:rowOff>21166</xdr:rowOff>
    </xdr:from>
    <xdr:to>
      <xdr:col>152</xdr:col>
      <xdr:colOff>529169</xdr:colOff>
      <xdr:row>0</xdr:row>
      <xdr:rowOff>592666</xdr:rowOff>
    </xdr:to>
    <xdr:sp macro="[0]!Volantes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04616250" y="21166"/>
          <a:ext cx="1090086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2333" y="105833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159</xdr:col>
      <xdr:colOff>116415</xdr:colOff>
      <xdr:row>0</xdr:row>
      <xdr:rowOff>21167</xdr:rowOff>
    </xdr:from>
    <xdr:to>
      <xdr:col>160</xdr:col>
      <xdr:colOff>592667</xdr:colOff>
      <xdr:row>0</xdr:row>
      <xdr:rowOff>592667</xdr:rowOff>
    </xdr:to>
    <xdr:sp macro="[0]!BoxBox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21422582" y="21167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52917</xdr:colOff>
      <xdr:row>0</xdr:row>
      <xdr:rowOff>95250</xdr:rowOff>
    </xdr:from>
    <xdr:to>
      <xdr:col>0</xdr:col>
      <xdr:colOff>571501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2917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151</xdr:col>
      <xdr:colOff>95251</xdr:colOff>
      <xdr:row>0</xdr:row>
      <xdr:rowOff>21166</xdr:rowOff>
    </xdr:from>
    <xdr:to>
      <xdr:col>152</xdr:col>
      <xdr:colOff>571502</xdr:colOff>
      <xdr:row>0</xdr:row>
      <xdr:rowOff>592666</xdr:rowOff>
    </xdr:to>
    <xdr:sp macro="[0]!Armador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15411251" y="21166"/>
          <a:ext cx="1090084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105834</xdr:rowOff>
    </xdr:from>
    <xdr:to>
      <xdr:col>0</xdr:col>
      <xdr:colOff>560918</xdr:colOff>
      <xdr:row>0</xdr:row>
      <xdr:rowOff>529168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190</xdr:col>
      <xdr:colOff>116417</xdr:colOff>
      <xdr:row>0</xdr:row>
      <xdr:rowOff>31750</xdr:rowOff>
    </xdr:from>
    <xdr:to>
      <xdr:col>191</xdr:col>
      <xdr:colOff>592667</xdr:colOff>
      <xdr:row>0</xdr:row>
      <xdr:rowOff>603250</xdr:rowOff>
    </xdr:to>
    <xdr:sp macro="[0]!Avançados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27910167" y="31750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52916</xdr:colOff>
      <xdr:row>0</xdr:row>
      <xdr:rowOff>95250</xdr:rowOff>
    </xdr:from>
    <xdr:to>
      <xdr:col>0</xdr:col>
      <xdr:colOff>571500</xdr:colOff>
      <xdr:row>0</xdr:row>
      <xdr:rowOff>518584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52916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179295</xdr:colOff>
      <xdr:row>15</xdr:row>
      <xdr:rowOff>42334</xdr:rowOff>
    </xdr:from>
    <xdr:to>
      <xdr:col>5</xdr:col>
      <xdr:colOff>750795</xdr:colOff>
      <xdr:row>17</xdr:row>
      <xdr:rowOff>101475</xdr:rowOff>
    </xdr:to>
    <xdr:sp macro="[0]!Ajustes_TEstatisticas" textlink="">
      <xdr:nvSpPr>
        <xdr:cNvPr id="2" name="Retângulo 1">
          <a:extLst>
            <a:ext uri="{FF2B5EF4-FFF2-40B4-BE49-F238E27FC236}">
              <a16:creationId xmlns:a16="http://schemas.microsoft.com/office/drawing/2014/main" xmlns="" id="{942080D7-8FAC-4EAA-98A7-9E711560BCD1}"/>
            </a:ext>
          </a:extLst>
        </xdr:cNvPr>
        <xdr:cNvSpPr/>
      </xdr:nvSpPr>
      <xdr:spPr>
        <a:xfrm>
          <a:off x="4624295" y="5799667"/>
          <a:ext cx="1481667" cy="77880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00"/>
              </a:solidFill>
            </a:rPr>
            <a:t>AJUSTES</a:t>
          </a:r>
          <a:endParaRPr lang="pt-B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444500</xdr:colOff>
      <xdr:row>17</xdr:row>
      <xdr:rowOff>201083</xdr:rowOff>
    </xdr:from>
    <xdr:to>
      <xdr:col>5</xdr:col>
      <xdr:colOff>645583</xdr:colOff>
      <xdr:row>18</xdr:row>
      <xdr:rowOff>264583</xdr:rowOff>
    </xdr:to>
    <xdr:sp macro="[0]!Limpa_TEstatisticas" textlink="">
      <xdr:nvSpPr>
        <xdr:cNvPr id="3" name="Retângulo com Único Canto Aparado 2">
          <a:extLst>
            <a:ext uri="{FF2B5EF4-FFF2-40B4-BE49-F238E27FC236}">
              <a16:creationId xmlns:a16="http://schemas.microsoft.com/office/drawing/2014/main" xmlns="" id="{B9180CA0-4595-4B38-8D63-4572B83AA66D}"/>
            </a:ext>
          </a:extLst>
        </xdr:cNvPr>
        <xdr:cNvSpPr/>
      </xdr:nvSpPr>
      <xdr:spPr>
        <a:xfrm>
          <a:off x="2882900" y="3430058"/>
          <a:ext cx="772583" cy="187325"/>
        </a:xfrm>
        <a:prstGeom prst="snip1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chemeClr val="bg1">
                  <a:lumMod val="20000"/>
                  <a:lumOff val="80000"/>
                </a:schemeClr>
              </a:solidFill>
            </a:rPr>
            <a:t>L</a:t>
          </a:r>
          <a:r>
            <a:rPr lang="pt-BR" sz="1400" b="1" baseline="0">
              <a:solidFill>
                <a:schemeClr val="bg1">
                  <a:lumMod val="20000"/>
                  <a:lumOff val="80000"/>
                </a:schemeClr>
              </a:solidFill>
            </a:rPr>
            <a:t> I M P A R</a:t>
          </a:r>
          <a:endParaRPr lang="pt-BR" sz="1400" b="1">
            <a:solidFill>
              <a:schemeClr val="bg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arLinhas25" textlink="">
      <xdr:nvSpPr>
        <xdr:cNvPr id="2" name="Elipse 1">
          <a:extLst>
            <a:ext uri="{FF2B5EF4-FFF2-40B4-BE49-F238E27FC236}">
              <a16:creationId xmlns:a16="http://schemas.microsoft.com/office/drawing/2014/main" xmlns="" id="{E659478E-1D0D-4D54-B960-6360A813F0E1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42334</xdr:colOff>
      <xdr:row>0</xdr:row>
      <xdr:rowOff>105834</xdr:rowOff>
    </xdr:from>
    <xdr:to>
      <xdr:col>1</xdr:col>
      <xdr:colOff>560918</xdr:colOff>
      <xdr:row>0</xdr:row>
      <xdr:rowOff>529168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xmlns="" id="{BBE0473D-BEE4-4EDB-8EA6-1DCF95CA9D0E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42333</xdr:colOff>
      <xdr:row>0</xdr:row>
      <xdr:rowOff>84666</xdr:rowOff>
    </xdr:from>
    <xdr:to>
      <xdr:col>1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xmlns="" id="{45975BF9-0E99-4247-B334-1DCED4699AD7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190</xdr:col>
      <xdr:colOff>95250</xdr:colOff>
      <xdr:row>0</xdr:row>
      <xdr:rowOff>10583</xdr:rowOff>
    </xdr:from>
    <xdr:to>
      <xdr:col>191</xdr:col>
      <xdr:colOff>571499</xdr:colOff>
      <xdr:row>0</xdr:row>
      <xdr:rowOff>582083</xdr:rowOff>
    </xdr:to>
    <xdr:sp macro="[0]!Overall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123930833" y="10583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5" tint="-0.249977111117893"/>
  </sheetPr>
  <dimension ref="A1:DV1001"/>
  <sheetViews>
    <sheetView tabSelected="1" zoomScale="90" zoomScaleNormal="90" workbookViewId="0">
      <pane xSplit="2" ySplit="1" topLeftCell="C2" activePane="bottomRight" state="frozen"/>
      <selection activeCell="G1" sqref="G1:G1048576"/>
      <selection pane="topRight" activeCell="G1" sqref="G1:G1048576"/>
      <selection pane="bottomLeft" activeCell="G1" sqref="G1:G1048576"/>
      <selection pane="bottomRight" activeCell="CO7" sqref="CO7"/>
    </sheetView>
  </sheetViews>
  <sheetFormatPr defaultRowHeight="15" x14ac:dyDescent="0.25"/>
  <cols>
    <col min="2" max="2" width="30.7109375" style="54" customWidth="1"/>
    <col min="3" max="3" width="12.5703125" customWidth="1"/>
    <col min="4" max="4" width="21.7109375" customWidth="1"/>
    <col min="5" max="5" width="25.5703125" bestFit="1" customWidth="1"/>
    <col min="6" max="6" width="13.28515625" customWidth="1"/>
    <col min="7" max="9" width="15.7109375" customWidth="1"/>
    <col min="10" max="10" width="15.7109375" style="13" customWidth="1"/>
    <col min="11" max="12" width="15.7109375" customWidth="1"/>
    <col min="13" max="71" width="18.7109375" customWidth="1"/>
    <col min="72" max="72" width="18.7109375" style="13" customWidth="1"/>
    <col min="73" max="89" width="18.7109375" customWidth="1"/>
    <col min="90" max="90" width="9.7109375" style="1" customWidth="1"/>
    <col min="91" max="95" width="12.7109375" customWidth="1"/>
    <col min="96" max="96" width="12.7109375" style="1" customWidth="1"/>
    <col min="97" max="97" width="12.7109375" style="152" customWidth="1"/>
    <col min="98" max="126" width="12.7109375" style="1" customWidth="1"/>
  </cols>
  <sheetData>
    <row r="1" spans="1:126" ht="49.5" customHeight="1" thickBot="1" x14ac:dyDescent="0.3">
      <c r="A1" s="112" t="s">
        <v>307</v>
      </c>
      <c r="B1" s="4" t="s">
        <v>20</v>
      </c>
      <c r="C1" s="4" t="s">
        <v>214</v>
      </c>
      <c r="D1" s="94" t="s">
        <v>232</v>
      </c>
      <c r="E1" s="4" t="s">
        <v>28</v>
      </c>
      <c r="F1" s="8" t="s">
        <v>1</v>
      </c>
      <c r="G1" s="8" t="s">
        <v>96</v>
      </c>
      <c r="H1" s="8" t="s">
        <v>29</v>
      </c>
      <c r="I1" s="8" t="s">
        <v>90</v>
      </c>
      <c r="J1" s="85" t="s">
        <v>3</v>
      </c>
      <c r="K1" s="4" t="s">
        <v>231</v>
      </c>
      <c r="L1" s="8" t="s">
        <v>121</v>
      </c>
      <c r="M1" s="98" t="s">
        <v>38</v>
      </c>
      <c r="N1" s="98" t="s">
        <v>417</v>
      </c>
      <c r="O1" s="98" t="s">
        <v>416</v>
      </c>
      <c r="P1" s="140" t="s">
        <v>82</v>
      </c>
      <c r="Q1" s="140" t="s">
        <v>53</v>
      </c>
      <c r="R1" s="140" t="s">
        <v>325</v>
      </c>
      <c r="S1" s="140" t="s">
        <v>27</v>
      </c>
      <c r="T1" s="140" t="s">
        <v>85</v>
      </c>
      <c r="U1" s="140" t="s">
        <v>83</v>
      </c>
      <c r="V1" s="140" t="s">
        <v>77</v>
      </c>
      <c r="W1" s="140" t="s">
        <v>538</v>
      </c>
      <c r="X1" s="140" t="s">
        <v>539</v>
      </c>
      <c r="Y1" s="140" t="s">
        <v>534</v>
      </c>
      <c r="Z1" s="140" t="s">
        <v>535</v>
      </c>
      <c r="AA1" s="140" t="s">
        <v>536</v>
      </c>
      <c r="AB1" s="140" t="s">
        <v>433</v>
      </c>
      <c r="AC1" s="140" t="s">
        <v>537</v>
      </c>
      <c r="AD1" s="157" t="s">
        <v>363</v>
      </c>
      <c r="AE1" s="157" t="s">
        <v>364</v>
      </c>
      <c r="AF1" s="156" t="s">
        <v>114</v>
      </c>
      <c r="AG1" s="157" t="s">
        <v>365</v>
      </c>
      <c r="AH1" s="157" t="s">
        <v>366</v>
      </c>
      <c r="AI1" s="156" t="s">
        <v>370</v>
      </c>
      <c r="AJ1" s="157" t="s">
        <v>367</v>
      </c>
      <c r="AK1" s="157" t="s">
        <v>368</v>
      </c>
      <c r="AL1" s="156" t="s">
        <v>369</v>
      </c>
      <c r="AM1" s="138" t="s">
        <v>308</v>
      </c>
      <c r="AN1" s="138" t="s">
        <v>37</v>
      </c>
      <c r="AO1" s="138" t="s">
        <v>533</v>
      </c>
      <c r="AP1" s="135" t="s">
        <v>84</v>
      </c>
      <c r="AQ1" s="135" t="s">
        <v>36</v>
      </c>
      <c r="AR1" s="139" t="s">
        <v>95</v>
      </c>
      <c r="AS1" s="139" t="s">
        <v>151</v>
      </c>
      <c r="AT1" s="220" t="s">
        <v>362</v>
      </c>
      <c r="AU1" s="220" t="s">
        <v>419</v>
      </c>
      <c r="AV1" s="221" t="s">
        <v>224</v>
      </c>
      <c r="AW1" s="138" t="s">
        <v>472</v>
      </c>
      <c r="AX1" s="138" t="s">
        <v>174</v>
      </c>
      <c r="AY1" s="149" t="s">
        <v>157</v>
      </c>
      <c r="AZ1" s="149" t="s">
        <v>158</v>
      </c>
      <c r="BA1" s="155" t="s">
        <v>161</v>
      </c>
      <c r="BB1" s="155" t="s">
        <v>162</v>
      </c>
      <c r="BC1" s="155" t="s">
        <v>352</v>
      </c>
      <c r="BD1" s="155" t="s">
        <v>353</v>
      </c>
      <c r="BE1" s="155" t="s">
        <v>547</v>
      </c>
      <c r="BF1" s="268" t="s">
        <v>540</v>
      </c>
      <c r="BG1" s="149" t="s">
        <v>172</v>
      </c>
      <c r="BH1" s="149" t="s">
        <v>573</v>
      </c>
      <c r="BI1" s="149" t="s">
        <v>321</v>
      </c>
      <c r="BJ1" s="149" t="s">
        <v>572</v>
      </c>
      <c r="BK1" s="27" t="s">
        <v>173</v>
      </c>
      <c r="BL1" s="137" t="s">
        <v>358</v>
      </c>
      <c r="BM1" s="136" t="s">
        <v>359</v>
      </c>
      <c r="BN1" s="136" t="s">
        <v>35</v>
      </c>
      <c r="BO1" s="324" t="s">
        <v>39</v>
      </c>
      <c r="BP1" s="324" t="s">
        <v>532</v>
      </c>
      <c r="BQ1" s="266" t="s">
        <v>529</v>
      </c>
      <c r="BR1" s="266" t="s">
        <v>530</v>
      </c>
      <c r="BS1" s="266" t="s">
        <v>531</v>
      </c>
      <c r="BT1" s="267" t="s">
        <v>460</v>
      </c>
      <c r="BU1" s="177" t="s">
        <v>406</v>
      </c>
      <c r="BV1" s="177" t="s">
        <v>407</v>
      </c>
      <c r="BW1" s="178" t="s">
        <v>408</v>
      </c>
      <c r="BX1" s="178" t="s">
        <v>409</v>
      </c>
      <c r="BY1" s="179" t="s">
        <v>410</v>
      </c>
      <c r="BZ1" s="179" t="s">
        <v>411</v>
      </c>
      <c r="CA1" s="177" t="s">
        <v>412</v>
      </c>
      <c r="CB1" s="22" t="s">
        <v>360</v>
      </c>
      <c r="CC1" s="22" t="s">
        <v>361</v>
      </c>
      <c r="CD1" s="23" t="s">
        <v>68</v>
      </c>
      <c r="CE1" s="18" t="s">
        <v>323</v>
      </c>
      <c r="CF1" s="18" t="s">
        <v>69</v>
      </c>
      <c r="CG1" s="4" t="s">
        <v>233</v>
      </c>
      <c r="CH1" s="4" t="s">
        <v>234</v>
      </c>
      <c r="CI1" s="4" t="s">
        <v>235</v>
      </c>
      <c r="CJ1" s="134" t="s">
        <v>322</v>
      </c>
      <c r="CK1" s="110" t="s">
        <v>25</v>
      </c>
      <c r="CL1" s="293" t="s">
        <v>14</v>
      </c>
      <c r="CM1" s="294" t="s">
        <v>621</v>
      </c>
      <c r="CN1" s="294" t="s">
        <v>0</v>
      </c>
      <c r="CO1" s="294" t="s">
        <v>1</v>
      </c>
      <c r="CP1" s="294" t="s">
        <v>20</v>
      </c>
      <c r="CQ1" s="294" t="s">
        <v>2</v>
      </c>
      <c r="CR1" s="294" t="s">
        <v>40</v>
      </c>
      <c r="CS1" s="294" t="s">
        <v>3</v>
      </c>
      <c r="CT1" s="294" t="s">
        <v>29</v>
      </c>
      <c r="CU1" s="294" t="s">
        <v>89</v>
      </c>
      <c r="CV1" s="294" t="s">
        <v>30</v>
      </c>
      <c r="CW1" s="294" t="s">
        <v>622</v>
      </c>
      <c r="CX1" s="294" t="s">
        <v>642</v>
      </c>
      <c r="CY1" s="294" t="s">
        <v>31</v>
      </c>
      <c r="CZ1" s="294" t="s">
        <v>32</v>
      </c>
      <c r="DA1" s="294" t="s">
        <v>33</v>
      </c>
      <c r="DB1" s="294" t="s">
        <v>189</v>
      </c>
      <c r="DC1" s="294" t="s">
        <v>165</v>
      </c>
      <c r="DD1" s="294" t="s">
        <v>179</v>
      </c>
      <c r="DE1" s="294" t="s">
        <v>34</v>
      </c>
      <c r="DF1" s="294" t="s">
        <v>63</v>
      </c>
      <c r="DG1" s="294" t="s">
        <v>264</v>
      </c>
      <c r="DH1" s="294" t="s">
        <v>646</v>
      </c>
      <c r="DI1" s="294" t="s">
        <v>647</v>
      </c>
      <c r="DJ1" s="294" t="s">
        <v>648</v>
      </c>
      <c r="DK1" s="294" t="s">
        <v>649</v>
      </c>
      <c r="DL1" s="294" t="s">
        <v>15</v>
      </c>
      <c r="DM1" s="294" t="s">
        <v>16</v>
      </c>
      <c r="DN1" s="294" t="s">
        <v>163</v>
      </c>
      <c r="DO1" s="294" t="s">
        <v>190</v>
      </c>
      <c r="DP1" s="294" t="s">
        <v>624</v>
      </c>
      <c r="DQ1" s="294" t="s">
        <v>104</v>
      </c>
      <c r="DR1" s="294" t="s">
        <v>636</v>
      </c>
      <c r="DS1" s="294" t="s">
        <v>48</v>
      </c>
      <c r="DT1" s="294" t="s">
        <v>1015</v>
      </c>
      <c r="DU1" s="294" t="s">
        <v>1016</v>
      </c>
      <c r="DV1" s="295" t="s">
        <v>643</v>
      </c>
    </row>
    <row r="2" spans="1:126" ht="24.95" customHeight="1" thickBot="1" x14ac:dyDescent="0.3">
      <c r="A2" s="29" t="str">
        <f t="shared" ref="A2:A65" si="0">ROW()-1 &amp; "º"</f>
        <v>1º</v>
      </c>
      <c r="B2" s="69" t="str">
        <f t="shared" ref="B2:B11" si="1">CP2</f>
        <v>Renan Ribeiro</v>
      </c>
      <c r="C2" s="269" t="str">
        <f t="shared" ref="C2:C11" si="2">CM2</f>
        <v>BRA</v>
      </c>
      <c r="D2" s="99" t="str">
        <f t="shared" ref="D2:D11" si="3">CR2</f>
        <v>Somente Pé Direito</v>
      </c>
      <c r="E2" s="28" t="str">
        <f t="shared" ref="E2:E11" si="4">CN2</f>
        <v>SPT</v>
      </c>
      <c r="F2" s="169">
        <f t="shared" ref="F2:F11" si="5">CO2</f>
        <v>38</v>
      </c>
      <c r="G2" s="2" t="str">
        <f t="shared" ref="G2:G11" si="6">CQ2</f>
        <v>0 € - 20m €</v>
      </c>
      <c r="H2" s="154">
        <f t="shared" ref="H2:H11" si="7">IFERROR(SUBSTITUTE(CT2," cm","")/100,0)</f>
        <v>1.93</v>
      </c>
      <c r="I2" s="64">
        <f t="shared" ref="I2:I11" si="8">IF(CU2="-", "Sem Data Final", CU2)</f>
        <v>47118</v>
      </c>
      <c r="J2" s="304" t="str">
        <f t="shared" ref="J2:J11" si="9">IFERROR(CS2,0)</f>
        <v>7,75m € p/m</v>
      </c>
      <c r="K2" s="96">
        <f t="shared" ref="K2:K65" si="10">IFERROR(AVERAGE(L:L),0)</f>
        <v>3.5222222222222221</v>
      </c>
      <c r="L2" s="146">
        <f t="shared" ref="L2:L11" si="11">IFERROR(CW2/90,0)</f>
        <v>10.744444444444444</v>
      </c>
      <c r="M2" s="6">
        <f t="shared" ref="M2:M11" si="12">CV2</f>
        <v>1</v>
      </c>
      <c r="N2" s="5">
        <f t="shared" ref="N2:N11" si="13">IFERROR((CW2/M2),5400)</f>
        <v>967</v>
      </c>
      <c r="O2" s="21">
        <f t="shared" ref="O2:O11" si="14">IFERROR((M2*1)/L2,0)</f>
        <v>9.3071354705274056E-2</v>
      </c>
      <c r="P2" s="2">
        <f t="shared" ref="P2:P11" si="15">DL2</f>
        <v>296</v>
      </c>
      <c r="Q2" s="2">
        <f t="shared" ref="Q2:Q11" si="16">DM2</f>
        <v>208</v>
      </c>
      <c r="R2" s="5">
        <f t="shared" ref="R2:R11" si="17">IFERROR((Q2/L2),0)</f>
        <v>19.358841778697002</v>
      </c>
      <c r="S2" s="2">
        <f t="shared" ref="S2:S11" si="18">IFERROR(P2-Q2,0)</f>
        <v>88</v>
      </c>
      <c r="T2" s="2">
        <f t="shared" ref="T2:T11" si="19">IFERROR(Q2-S2,0)</f>
        <v>120</v>
      </c>
      <c r="U2" s="102">
        <f t="shared" ref="U2:U11" si="20">IFERROR(((P2-Q2)*1)/P2,0)</f>
        <v>0.29729729729729731</v>
      </c>
      <c r="V2" s="102">
        <f t="shared" ref="V2:V11" si="21">IFERROR((Q2*1)/P2,0)</f>
        <v>0.70270270270270274</v>
      </c>
      <c r="W2" s="6">
        <f t="shared" ref="W2:W11" si="22">DL2-DJ2</f>
        <v>296</v>
      </c>
      <c r="X2" s="5">
        <f t="shared" ref="X2:X11" si="23">IFERROR(W2/L2,0)</f>
        <v>27.549120992761118</v>
      </c>
      <c r="Y2" s="6">
        <f t="shared" ref="Y2:Y11" si="24">DJ2</f>
        <v>0</v>
      </c>
      <c r="Z2" s="5">
        <f t="shared" ref="Z2:Z11" si="25">Y2/L2</f>
        <v>0</v>
      </c>
      <c r="AA2" s="21">
        <f t="shared" ref="AA2:AA11" si="26">IFERROR(Y2/W2,0)</f>
        <v>0</v>
      </c>
      <c r="AB2" s="6">
        <f t="shared" ref="AB2:AB11" si="27">DK2</f>
        <v>2</v>
      </c>
      <c r="AC2" s="5">
        <f t="shared" ref="AC2:AC11" si="28">AB2/L2</f>
        <v>0.18614270941054811</v>
      </c>
      <c r="AD2" s="6">
        <f t="shared" ref="AD2:AD11" si="29">CY2</f>
        <v>6</v>
      </c>
      <c r="AE2" s="5">
        <f t="shared" ref="AE2:AE11" si="30">IFERROR(AD2/L2,0)</f>
        <v>0.55842812823164434</v>
      </c>
      <c r="AF2" s="21">
        <f t="shared" ref="AF2:AF11" si="31">IFERROR((AD2*1)/AP2,0)</f>
        <v>0.2608695652173913</v>
      </c>
      <c r="AG2" s="6">
        <f t="shared" ref="AG2:AG11" si="32">CZ2</f>
        <v>5</v>
      </c>
      <c r="AH2" s="5">
        <f t="shared" ref="AH2:AH11" si="33">IFERROR(AG2/L2,0)</f>
        <v>0.46535677352637028</v>
      </c>
      <c r="AI2" s="21">
        <f t="shared" ref="AI2:AI11" si="34">IFERROR((AG2*1)/AP2,0)</f>
        <v>0.21739130434782608</v>
      </c>
      <c r="AJ2" s="6">
        <f t="shared" ref="AJ2:AJ11" si="35">DA2</f>
        <v>12</v>
      </c>
      <c r="AK2" s="5">
        <f t="shared" ref="AK2:AK11" si="36">IFERROR(AJ2/R2,0)</f>
        <v>0.61987179487179489</v>
      </c>
      <c r="AL2" s="21">
        <f t="shared" ref="AL2:AL11" si="37">IFERROR((AJ2*1)/AP2,0)</f>
        <v>0.52173913043478259</v>
      </c>
      <c r="AM2" s="21">
        <f t="shared" ref="AM2:AM11" si="38">IFERROR((AN2*1)/L2,0)</f>
        <v>0.27921406411582217</v>
      </c>
      <c r="AN2" s="6">
        <f t="shared" ref="AN2:AN11" si="39">DE2</f>
        <v>3</v>
      </c>
      <c r="AO2" s="5">
        <f t="shared" ref="AO2:AO11" si="40">IFERROR(AN2/L2,0)</f>
        <v>0.27921406411582217</v>
      </c>
      <c r="AP2" s="6">
        <f t="shared" ref="AP2:AP11" si="41">IFERROR(CY2+CZ2+DA2,0)</f>
        <v>23</v>
      </c>
      <c r="AQ2" s="5">
        <f t="shared" ref="AQ2:AQ11" si="42">IFERROR(AP2/L2,0)</f>
        <v>2.1406411582213032</v>
      </c>
      <c r="AR2" s="2">
        <f t="shared" ref="AR2:AR11" si="43">IFERROR((CZ2+DA2+CY2+CX2),0)</f>
        <v>32</v>
      </c>
      <c r="AS2" s="5">
        <f t="shared" ref="AS2:AS11" si="44">IFERROR(AR2/L2,0)</f>
        <v>2.9782833505687698</v>
      </c>
      <c r="AT2" s="21">
        <f t="shared" ref="AT2:AT11" si="45">IFERROR(AP2/AR2,0)</f>
        <v>0.71875</v>
      </c>
      <c r="AU2" s="20">
        <f t="shared" ref="AU2:AU11" si="46">IFERROR(((CZ2+DA2+BI2)*1)/(AR2-CY2),0)</f>
        <v>0.69230769230769229</v>
      </c>
      <c r="AV2" s="20">
        <f t="shared" ref="AV2:AV11" si="47">IFERROR((BN2*1)/AS2,1)</f>
        <v>0.28125</v>
      </c>
      <c r="AW2" s="199">
        <f t="shared" ref="AW2:AW11" si="48">IFERROR((AG2*2+AJ2*1.5+AD2*1)/AR2,0)</f>
        <v>1.0625</v>
      </c>
      <c r="AX2" s="24">
        <f t="shared" ref="AX2:AX11" si="49">IFERROR(CW2/CX2,0)</f>
        <v>107.44444444444444</v>
      </c>
      <c r="AY2" s="5">
        <f t="shared" ref="AY2:AY11" si="50">IFERROR((CX2+CY2+CZ2+DA2)/CX2,0)</f>
        <v>3.5555555555555554</v>
      </c>
      <c r="AZ2" s="5">
        <f t="shared" ref="AZ2:AZ11" si="51">IFERROR((CX2+CZ2+DA2)/CX2,0)</f>
        <v>2.8888888888888888</v>
      </c>
      <c r="BA2" s="5">
        <f t="shared" ref="BA2:BA11" si="52">IF(DN2="-","Sem Dados",VALUE(SUBSTITUTE(DN2,".",","))
)</f>
        <v>0.53</v>
      </c>
      <c r="BB2" s="5">
        <f t="shared" ref="BB2:BB11" si="53">IFERROR(BA2/L2,0)</f>
        <v>4.932781799379525E-2</v>
      </c>
      <c r="BC2" s="5">
        <f t="shared" ref="BC2:BC11" si="54">IFERROR(BA2-(BI2*0.79),-100)</f>
        <v>-0.26</v>
      </c>
      <c r="BD2" s="5">
        <f t="shared" ref="BD2:BD11" si="55">IFERROR(BC2/L2,0)</f>
        <v>-2.4198552223371254E-2</v>
      </c>
      <c r="BE2" s="199">
        <f t="shared" ref="BE2:BE11" si="56">IFERROR(BB2/AO2,BB2)</f>
        <v>0.17666666666666667</v>
      </c>
      <c r="BF2" s="21">
        <f t="shared" ref="BF2:BF11" si="57">IFERROR(BA2/(BA2+CX2),0)</f>
        <v>5.5613850996852052E-2</v>
      </c>
      <c r="BG2" s="6">
        <f t="shared" ref="BG2:BG11" si="58">DT2</f>
        <v>2</v>
      </c>
      <c r="BH2" s="5">
        <f t="shared" ref="BH2:BH11" si="59">BG2/L2</f>
        <v>0.18614270941054811</v>
      </c>
      <c r="BI2" s="6">
        <f t="shared" ref="BI2:BI11" si="60">DU2</f>
        <v>1</v>
      </c>
      <c r="BJ2" s="5">
        <f t="shared" ref="BJ2:BJ11" si="61">BI2/L2</f>
        <v>9.3071354705274056E-2</v>
      </c>
      <c r="BK2" s="20">
        <f t="shared" ref="BK2:BK11" si="62">IFERROR((DU2*1)/DT2,-0.000000000001)</f>
        <v>0.5</v>
      </c>
      <c r="BL2" s="20">
        <f t="shared" ref="BL2:BL11" si="63">IFERROR((CX2*1)/SUM(CX:CX),0)</f>
        <v>6.0687795010114631E-3</v>
      </c>
      <c r="BM2" s="6">
        <f t="shared" ref="BM2:BM11" si="64">CX2</f>
        <v>9</v>
      </c>
      <c r="BN2" s="5">
        <f t="shared" ref="BN2:BN11" si="65">IFERROR(BM2/L2,0)</f>
        <v>0.83764219234746651</v>
      </c>
      <c r="BO2" s="333">
        <f t="shared" ref="BO2:BO11" si="66">DP2</f>
        <v>0</v>
      </c>
      <c r="BP2" s="334">
        <f t="shared" ref="BP2:BP11" si="67">IFERROR(BO2/L2,0)</f>
        <v>0</v>
      </c>
      <c r="BQ2" s="6">
        <f t="shared" ref="BQ2:BQ11" si="68">IFERROR(BR2*L2,0)</f>
        <v>32.233333333333334</v>
      </c>
      <c r="BR2" s="5">
        <f t="shared" ref="BR2:BR11" si="69">DC2</f>
        <v>3</v>
      </c>
      <c r="BS2" s="6">
        <f t="shared" ref="BS2:BS11" si="70">IFERROR(BT2*L2,0)</f>
        <v>138.60333333333332</v>
      </c>
      <c r="BT2" s="5">
        <f t="shared" ref="BT2:BT11" si="71">DD2</f>
        <v>12.9</v>
      </c>
      <c r="BU2" s="181">
        <f t="shared" ref="BU2:BU11" si="72">IFERROR((DB2+DQ2+(DS2*2.5)+DF2+DP2),0)</f>
        <v>2</v>
      </c>
      <c r="BV2" s="154">
        <f t="shared" ref="BV2:BV11" si="73">IFERROR(BU2/L2,0)</f>
        <v>0.18614270941054811</v>
      </c>
      <c r="BW2" s="181">
        <f t="shared" ref="BW2:BW11" si="74">IFERROR((DO2+DR2+(DS2*2.5)),0)</f>
        <v>1</v>
      </c>
      <c r="BX2" s="180">
        <f t="shared" ref="BX2:BX11" si="75">IFERROR(BW2/L2,0)</f>
        <v>9.3071354705274056E-2</v>
      </c>
      <c r="BY2" s="181">
        <f t="shared" ref="BY2:BY11" si="76">IFERROR((DB2-DO2)+(DQ2-DR2)+(DS2*2.5)+(DF2),0)</f>
        <v>1</v>
      </c>
      <c r="BZ2" s="154">
        <f t="shared" ref="BZ2:BZ11" si="77">IFERROR(BY2/L2,0)</f>
        <v>9.3071354705274056E-2</v>
      </c>
      <c r="CA2" s="182">
        <f t="shared" ref="CA2:CA11" si="78">IFERROR((BW2*1)/BU2,0)</f>
        <v>0.5</v>
      </c>
      <c r="CB2" s="2">
        <f t="shared" ref="CB2:CB11" si="79">DF2</f>
        <v>0</v>
      </c>
      <c r="CC2" s="2">
        <f t="shared" ref="CC2:CC11" si="80">DG2</f>
        <v>1</v>
      </c>
      <c r="CD2" s="2">
        <f t="shared" ref="CD2:CD11" si="81">IFERROR(CB2+CC2,0)</f>
        <v>1</v>
      </c>
      <c r="CE2" s="2">
        <f t="shared" ref="CE2:CE11" si="82">DI2</f>
        <v>4</v>
      </c>
      <c r="CF2" s="6">
        <f t="shared" ref="CF2:CF11" si="83">DH2</f>
        <v>0</v>
      </c>
      <c r="CG2" s="6">
        <f t="shared" ref="CG2:CG11" si="84">IFERROR(CY2+CX2+CZ2+DA2+DT2+DL2+DF2+(DD2*1.33)+(DE2*2)+(DP2*2.5)+DQ2+DB2,0)</f>
        <v>355.15699999999998</v>
      </c>
      <c r="CH2" s="6">
        <f t="shared" ref="CH2:CH11" si="85">IFERROR(CY2+CZ2+DA2+DU2+DM2+DR2+DO2,0)</f>
        <v>233</v>
      </c>
      <c r="CI2" s="20">
        <f t="shared" ref="CI2:CI11" si="86">IFERROR((CH2*1)/CG2,0)</f>
        <v>0.65604788868021746</v>
      </c>
      <c r="CJ2" s="133">
        <f t="shared" ref="CJ2:CJ11" si="87">SUM(AR:AR)</f>
        <v>2521</v>
      </c>
      <c r="CK2" s="5">
        <f t="shared" ref="CK2:CK11" si="88">IFERROR(VALUE(SUBSTITUTE(DV2, ".", ",")),0)</f>
        <v>6.76</v>
      </c>
      <c r="CL2" s="300" t="s">
        <v>1119</v>
      </c>
      <c r="CM2" s="296" t="s">
        <v>13</v>
      </c>
      <c r="CN2" s="296" t="s">
        <v>1120</v>
      </c>
      <c r="CO2" s="296">
        <v>38</v>
      </c>
      <c r="CP2" s="296" t="s">
        <v>1121</v>
      </c>
      <c r="CQ2" s="296" t="s">
        <v>1122</v>
      </c>
      <c r="CR2" s="296" t="s">
        <v>645</v>
      </c>
      <c r="CS2" s="296" t="s">
        <v>905</v>
      </c>
      <c r="CT2" s="296" t="s">
        <v>1123</v>
      </c>
      <c r="CU2" s="297">
        <v>47118</v>
      </c>
      <c r="CV2" s="296">
        <v>1</v>
      </c>
      <c r="CW2" s="296">
        <v>967</v>
      </c>
      <c r="CX2" s="296">
        <v>9</v>
      </c>
      <c r="CY2" s="296">
        <v>6</v>
      </c>
      <c r="CZ2" s="296">
        <v>5</v>
      </c>
      <c r="DA2" s="296">
        <v>12</v>
      </c>
      <c r="DB2" s="296">
        <v>0</v>
      </c>
      <c r="DC2" s="296">
        <v>3</v>
      </c>
      <c r="DD2" s="296">
        <v>12.9</v>
      </c>
      <c r="DE2" s="296">
        <v>3</v>
      </c>
      <c r="DF2" s="296">
        <v>0</v>
      </c>
      <c r="DG2" s="296">
        <v>1</v>
      </c>
      <c r="DH2" s="296">
        <v>0</v>
      </c>
      <c r="DI2" s="296">
        <v>4</v>
      </c>
      <c r="DJ2" s="296">
        <v>0</v>
      </c>
      <c r="DK2" s="296">
        <v>2</v>
      </c>
      <c r="DL2" s="296">
        <v>296</v>
      </c>
      <c r="DM2" s="296">
        <v>208</v>
      </c>
      <c r="DN2" s="296" t="s">
        <v>1124</v>
      </c>
      <c r="DO2" s="296">
        <v>0</v>
      </c>
      <c r="DP2" s="296">
        <v>0</v>
      </c>
      <c r="DQ2" s="296">
        <v>2</v>
      </c>
      <c r="DR2" s="296">
        <v>1</v>
      </c>
      <c r="DS2" s="296">
        <v>0</v>
      </c>
      <c r="DT2" s="296">
        <v>2</v>
      </c>
      <c r="DU2" s="296">
        <v>1</v>
      </c>
      <c r="DV2" s="301">
        <v>6.76</v>
      </c>
    </row>
    <row r="3" spans="1:126" ht="24.95" customHeight="1" thickBot="1" x14ac:dyDescent="0.3">
      <c r="A3" s="29" t="str">
        <f t="shared" si="0"/>
        <v>2º</v>
      </c>
      <c r="B3" s="69" t="str">
        <f t="shared" si="1"/>
        <v>Pegorari</v>
      </c>
      <c r="C3" s="269" t="str">
        <f t="shared" si="2"/>
        <v>BRA</v>
      </c>
      <c r="D3" s="99" t="str">
        <f t="shared" si="3"/>
        <v>Somente Pé Direito</v>
      </c>
      <c r="E3" s="28" t="str">
        <f t="shared" si="4"/>
        <v>CEA</v>
      </c>
      <c r="F3" s="169">
        <f t="shared" si="5"/>
        <v>37</v>
      </c>
      <c r="G3" s="2" t="str">
        <f t="shared" si="6"/>
        <v>10m €</v>
      </c>
      <c r="H3" s="154">
        <f t="shared" si="7"/>
        <v>1.91</v>
      </c>
      <c r="I3" s="64">
        <f t="shared" si="8"/>
        <v>47483</v>
      </c>
      <c r="J3" s="304" t="str">
        <f t="shared" si="9"/>
        <v>26m € p/m</v>
      </c>
      <c r="K3" s="96">
        <f t="shared" si="10"/>
        <v>3.5222222222222221</v>
      </c>
      <c r="L3" s="146">
        <f t="shared" si="11"/>
        <v>0</v>
      </c>
      <c r="M3" s="6">
        <f t="shared" si="12"/>
        <v>0</v>
      </c>
      <c r="N3" s="5">
        <f t="shared" si="13"/>
        <v>5400</v>
      </c>
      <c r="O3" s="21">
        <f t="shared" si="14"/>
        <v>0</v>
      </c>
      <c r="P3" s="2">
        <f t="shared" si="15"/>
        <v>0</v>
      </c>
      <c r="Q3" s="2">
        <f t="shared" si="16"/>
        <v>0</v>
      </c>
      <c r="R3" s="5">
        <f t="shared" si="17"/>
        <v>0</v>
      </c>
      <c r="S3" s="2">
        <f t="shared" si="18"/>
        <v>0</v>
      </c>
      <c r="T3" s="2">
        <f t="shared" si="19"/>
        <v>0</v>
      </c>
      <c r="U3" s="102">
        <f t="shared" si="20"/>
        <v>0</v>
      </c>
      <c r="V3" s="102">
        <f t="shared" si="21"/>
        <v>0</v>
      </c>
      <c r="W3" s="6">
        <f t="shared" si="22"/>
        <v>0</v>
      </c>
      <c r="X3" s="5">
        <f t="shared" si="23"/>
        <v>0</v>
      </c>
      <c r="Y3" s="6">
        <f t="shared" si="24"/>
        <v>0</v>
      </c>
      <c r="Z3" s="5" t="e">
        <f t="shared" si="25"/>
        <v>#DIV/0!</v>
      </c>
      <c r="AA3" s="21">
        <f t="shared" si="26"/>
        <v>0</v>
      </c>
      <c r="AB3" s="6">
        <f t="shared" si="27"/>
        <v>0</v>
      </c>
      <c r="AC3" s="5" t="e">
        <f t="shared" si="28"/>
        <v>#DIV/0!</v>
      </c>
      <c r="AD3" s="6">
        <f t="shared" si="29"/>
        <v>0</v>
      </c>
      <c r="AE3" s="5">
        <f t="shared" si="30"/>
        <v>0</v>
      </c>
      <c r="AF3" s="21">
        <f t="shared" si="31"/>
        <v>0</v>
      </c>
      <c r="AG3" s="6">
        <f t="shared" si="32"/>
        <v>0</v>
      </c>
      <c r="AH3" s="5">
        <f t="shared" si="33"/>
        <v>0</v>
      </c>
      <c r="AI3" s="21">
        <f t="shared" si="34"/>
        <v>0</v>
      </c>
      <c r="AJ3" s="6">
        <f t="shared" si="35"/>
        <v>0</v>
      </c>
      <c r="AK3" s="5">
        <f t="shared" si="36"/>
        <v>0</v>
      </c>
      <c r="AL3" s="21">
        <f t="shared" si="37"/>
        <v>0</v>
      </c>
      <c r="AM3" s="21">
        <f t="shared" si="38"/>
        <v>0</v>
      </c>
      <c r="AN3" s="6">
        <f t="shared" si="39"/>
        <v>0</v>
      </c>
      <c r="AO3" s="5">
        <f t="shared" si="40"/>
        <v>0</v>
      </c>
      <c r="AP3" s="6">
        <f t="shared" si="41"/>
        <v>0</v>
      </c>
      <c r="AQ3" s="5">
        <f t="shared" si="42"/>
        <v>0</v>
      </c>
      <c r="AR3" s="2">
        <f t="shared" si="43"/>
        <v>0</v>
      </c>
      <c r="AS3" s="5">
        <f t="shared" si="44"/>
        <v>0</v>
      </c>
      <c r="AT3" s="21">
        <f t="shared" si="45"/>
        <v>0</v>
      </c>
      <c r="AU3" s="20">
        <f t="shared" si="46"/>
        <v>0</v>
      </c>
      <c r="AV3" s="20">
        <f t="shared" si="47"/>
        <v>1</v>
      </c>
      <c r="AW3" s="199">
        <f t="shared" si="48"/>
        <v>0</v>
      </c>
      <c r="AX3" s="24">
        <f t="shared" si="49"/>
        <v>0</v>
      </c>
      <c r="AY3" s="5">
        <f t="shared" si="50"/>
        <v>0</v>
      </c>
      <c r="AZ3" s="5">
        <f t="shared" si="51"/>
        <v>0</v>
      </c>
      <c r="BA3" s="5">
        <f t="shared" si="52"/>
        <v>0</v>
      </c>
      <c r="BB3" s="5">
        <f t="shared" si="53"/>
        <v>0</v>
      </c>
      <c r="BC3" s="5">
        <f t="shared" si="54"/>
        <v>0</v>
      </c>
      <c r="BD3" s="5">
        <f t="shared" si="55"/>
        <v>0</v>
      </c>
      <c r="BE3" s="199">
        <f t="shared" si="56"/>
        <v>0</v>
      </c>
      <c r="BF3" s="21">
        <f t="shared" si="57"/>
        <v>0</v>
      </c>
      <c r="BG3" s="6">
        <f t="shared" si="58"/>
        <v>0</v>
      </c>
      <c r="BH3" s="5" t="e">
        <f t="shared" si="59"/>
        <v>#DIV/0!</v>
      </c>
      <c r="BI3" s="6">
        <f t="shared" si="60"/>
        <v>0</v>
      </c>
      <c r="BJ3" s="5" t="e">
        <f t="shared" si="61"/>
        <v>#DIV/0!</v>
      </c>
      <c r="BK3" s="20">
        <f t="shared" si="62"/>
        <v>-9.9999999999999998E-13</v>
      </c>
      <c r="BL3" s="20">
        <f t="shared" si="63"/>
        <v>0</v>
      </c>
      <c r="BM3" s="6">
        <f t="shared" si="64"/>
        <v>0</v>
      </c>
      <c r="BN3" s="5">
        <f t="shared" si="65"/>
        <v>0</v>
      </c>
      <c r="BO3" s="333">
        <f t="shared" si="66"/>
        <v>0</v>
      </c>
      <c r="BP3" s="334">
        <f t="shared" si="67"/>
        <v>0</v>
      </c>
      <c r="BQ3" s="6">
        <f t="shared" si="68"/>
        <v>0</v>
      </c>
      <c r="BR3" s="5">
        <f t="shared" si="69"/>
        <v>0</v>
      </c>
      <c r="BS3" s="6">
        <f t="shared" si="70"/>
        <v>0</v>
      </c>
      <c r="BT3" s="5">
        <f t="shared" si="71"/>
        <v>0</v>
      </c>
      <c r="BU3" s="181">
        <f t="shared" si="72"/>
        <v>0</v>
      </c>
      <c r="BV3" s="154">
        <f t="shared" si="73"/>
        <v>0</v>
      </c>
      <c r="BW3" s="181">
        <f t="shared" si="74"/>
        <v>0</v>
      </c>
      <c r="BX3" s="180">
        <f t="shared" si="75"/>
        <v>0</v>
      </c>
      <c r="BY3" s="181">
        <f t="shared" si="76"/>
        <v>0</v>
      </c>
      <c r="BZ3" s="154">
        <f t="shared" si="77"/>
        <v>0</v>
      </c>
      <c r="CA3" s="182">
        <f t="shared" si="78"/>
        <v>0</v>
      </c>
      <c r="CB3" s="2">
        <f t="shared" si="79"/>
        <v>0</v>
      </c>
      <c r="CC3" s="2">
        <f t="shared" si="80"/>
        <v>0</v>
      </c>
      <c r="CD3" s="2">
        <f t="shared" si="81"/>
        <v>0</v>
      </c>
      <c r="CE3" s="2">
        <f t="shared" si="82"/>
        <v>0</v>
      </c>
      <c r="CF3" s="6">
        <f t="shared" si="83"/>
        <v>0</v>
      </c>
      <c r="CG3" s="6">
        <f t="shared" si="84"/>
        <v>0</v>
      </c>
      <c r="CH3" s="6">
        <f t="shared" si="85"/>
        <v>0</v>
      </c>
      <c r="CI3" s="20">
        <f t="shared" si="86"/>
        <v>0</v>
      </c>
      <c r="CJ3" s="133">
        <f t="shared" si="87"/>
        <v>2521</v>
      </c>
      <c r="CK3" s="5">
        <f t="shared" si="88"/>
        <v>0</v>
      </c>
      <c r="CL3" s="302" t="s">
        <v>1119</v>
      </c>
      <c r="CM3" s="298" t="s">
        <v>13</v>
      </c>
      <c r="CN3" s="298" t="s">
        <v>1125</v>
      </c>
      <c r="CO3" s="298">
        <v>37</v>
      </c>
      <c r="CP3" s="298" t="s">
        <v>1126</v>
      </c>
      <c r="CQ3" s="298" t="s">
        <v>1127</v>
      </c>
      <c r="CR3" s="298" t="s">
        <v>645</v>
      </c>
      <c r="CS3" s="298" t="s">
        <v>1128</v>
      </c>
      <c r="CT3" s="298" t="s">
        <v>595</v>
      </c>
      <c r="CU3" s="299">
        <v>47483</v>
      </c>
      <c r="CV3" s="298">
        <v>0</v>
      </c>
      <c r="CW3" s="298">
        <v>0</v>
      </c>
      <c r="CX3" s="298">
        <v>0</v>
      </c>
      <c r="CY3" s="298">
        <v>0</v>
      </c>
      <c r="CZ3" s="298">
        <v>0</v>
      </c>
      <c r="DA3" s="298">
        <v>0</v>
      </c>
      <c r="DB3" s="298">
        <v>0</v>
      </c>
      <c r="DC3" s="298">
        <v>0</v>
      </c>
      <c r="DD3" s="298">
        <v>0</v>
      </c>
      <c r="DE3" s="298">
        <v>0</v>
      </c>
      <c r="DF3" s="298">
        <v>0</v>
      </c>
      <c r="DG3" s="298">
        <v>0</v>
      </c>
      <c r="DH3" s="298">
        <v>0</v>
      </c>
      <c r="DI3" s="298">
        <v>0</v>
      </c>
      <c r="DJ3" s="298">
        <v>0</v>
      </c>
      <c r="DK3" s="298">
        <v>0</v>
      </c>
      <c r="DL3" s="298">
        <v>0</v>
      </c>
      <c r="DM3" s="298">
        <v>0</v>
      </c>
      <c r="DN3" s="298">
        <v>0</v>
      </c>
      <c r="DO3" s="298">
        <v>0</v>
      </c>
      <c r="DP3" s="298">
        <v>0</v>
      </c>
      <c r="DQ3" s="298">
        <v>0</v>
      </c>
      <c r="DR3" s="298">
        <v>0</v>
      </c>
      <c r="DS3" s="298">
        <v>0</v>
      </c>
      <c r="DT3" s="298">
        <v>0</v>
      </c>
      <c r="DU3" s="298">
        <v>0</v>
      </c>
      <c r="DV3" s="303" t="s">
        <v>548</v>
      </c>
    </row>
    <row r="4" spans="1:126" ht="24.95" customHeight="1" thickBot="1" x14ac:dyDescent="0.3">
      <c r="A4" s="29" t="str">
        <f t="shared" si="0"/>
        <v>3º</v>
      </c>
      <c r="B4" s="69" t="str">
        <f t="shared" si="1"/>
        <v>Rafael Martins</v>
      </c>
      <c r="C4" s="269" t="str">
        <f t="shared" si="2"/>
        <v>BRA</v>
      </c>
      <c r="D4" s="99" t="str">
        <f t="shared" si="3"/>
        <v>Somente Pé Direito</v>
      </c>
      <c r="E4" s="28" t="str">
        <f t="shared" si="4"/>
        <v>Marcílio Dias</v>
      </c>
      <c r="F4" s="169">
        <f t="shared" si="5"/>
        <v>36</v>
      </c>
      <c r="G4" s="2" t="str">
        <f t="shared" si="6"/>
        <v>0 €</v>
      </c>
      <c r="H4" s="154">
        <f t="shared" si="7"/>
        <v>1.9</v>
      </c>
      <c r="I4" s="64">
        <f t="shared" si="8"/>
        <v>47483</v>
      </c>
      <c r="J4" s="304" t="str">
        <f t="shared" si="9"/>
        <v>3,7m € p/m</v>
      </c>
      <c r="K4" s="96">
        <f t="shared" si="10"/>
        <v>3.5222222222222221</v>
      </c>
      <c r="L4" s="146">
        <f t="shared" si="11"/>
        <v>32</v>
      </c>
      <c r="M4" s="6">
        <f t="shared" si="12"/>
        <v>3</v>
      </c>
      <c r="N4" s="5">
        <f t="shared" si="13"/>
        <v>960</v>
      </c>
      <c r="O4" s="21">
        <f t="shared" si="14"/>
        <v>9.375E-2</v>
      </c>
      <c r="P4" s="2">
        <f t="shared" si="15"/>
        <v>710</v>
      </c>
      <c r="Q4" s="2">
        <f t="shared" si="16"/>
        <v>442</v>
      </c>
      <c r="R4" s="5">
        <f t="shared" si="17"/>
        <v>13.8125</v>
      </c>
      <c r="S4" s="2">
        <f t="shared" si="18"/>
        <v>268</v>
      </c>
      <c r="T4" s="2">
        <f t="shared" si="19"/>
        <v>174</v>
      </c>
      <c r="U4" s="102">
        <f t="shared" si="20"/>
        <v>0.37746478873239436</v>
      </c>
      <c r="V4" s="102">
        <f t="shared" si="21"/>
        <v>0.62253521126760558</v>
      </c>
      <c r="W4" s="6">
        <f t="shared" si="22"/>
        <v>710</v>
      </c>
      <c r="X4" s="5">
        <f t="shared" si="23"/>
        <v>22.1875</v>
      </c>
      <c r="Y4" s="6">
        <f t="shared" si="24"/>
        <v>0</v>
      </c>
      <c r="Z4" s="5">
        <f t="shared" si="25"/>
        <v>0</v>
      </c>
      <c r="AA4" s="21">
        <f t="shared" si="26"/>
        <v>0</v>
      </c>
      <c r="AB4" s="6">
        <f t="shared" si="27"/>
        <v>1</v>
      </c>
      <c r="AC4" s="5">
        <f t="shared" si="28"/>
        <v>3.125E-2</v>
      </c>
      <c r="AD4" s="6">
        <f t="shared" si="29"/>
        <v>9</v>
      </c>
      <c r="AE4" s="5">
        <f t="shared" si="30"/>
        <v>0.28125</v>
      </c>
      <c r="AF4" s="21">
        <f t="shared" si="31"/>
        <v>0.25714285714285712</v>
      </c>
      <c r="AG4" s="6">
        <f t="shared" si="32"/>
        <v>9</v>
      </c>
      <c r="AH4" s="5">
        <f t="shared" si="33"/>
        <v>0.28125</v>
      </c>
      <c r="AI4" s="21">
        <f t="shared" si="34"/>
        <v>0.25714285714285712</v>
      </c>
      <c r="AJ4" s="6">
        <f t="shared" si="35"/>
        <v>17</v>
      </c>
      <c r="AK4" s="5">
        <f t="shared" si="36"/>
        <v>1.2307692307692308</v>
      </c>
      <c r="AL4" s="21">
        <f t="shared" si="37"/>
        <v>0.48571428571428571</v>
      </c>
      <c r="AM4" s="21">
        <f t="shared" si="38"/>
        <v>0.21875</v>
      </c>
      <c r="AN4" s="6">
        <f t="shared" si="39"/>
        <v>7</v>
      </c>
      <c r="AO4" s="5">
        <f t="shared" si="40"/>
        <v>0.21875</v>
      </c>
      <c r="AP4" s="6">
        <f t="shared" si="41"/>
        <v>35</v>
      </c>
      <c r="AQ4" s="5">
        <f t="shared" si="42"/>
        <v>1.09375</v>
      </c>
      <c r="AR4" s="2">
        <f t="shared" si="43"/>
        <v>82</v>
      </c>
      <c r="AS4" s="5">
        <f t="shared" si="44"/>
        <v>2.5625</v>
      </c>
      <c r="AT4" s="21">
        <f t="shared" si="45"/>
        <v>0.42682926829268292</v>
      </c>
      <c r="AU4" s="20">
        <f t="shared" si="46"/>
        <v>0.35616438356164382</v>
      </c>
      <c r="AV4" s="20">
        <f t="shared" si="47"/>
        <v>0.57317073170731703</v>
      </c>
      <c r="AW4" s="199">
        <f t="shared" si="48"/>
        <v>0.6402439024390244</v>
      </c>
      <c r="AX4" s="24">
        <f t="shared" si="49"/>
        <v>61.276595744680854</v>
      </c>
      <c r="AY4" s="5">
        <f t="shared" si="50"/>
        <v>1.7446808510638299</v>
      </c>
      <c r="AZ4" s="5">
        <f t="shared" si="51"/>
        <v>1.553191489361702</v>
      </c>
      <c r="BA4" s="5">
        <f t="shared" si="52"/>
        <v>1.97</v>
      </c>
      <c r="BB4" s="5">
        <f t="shared" si="53"/>
        <v>6.1562499999999999E-2</v>
      </c>
      <c r="BC4" s="5">
        <f t="shared" si="54"/>
        <v>1.97</v>
      </c>
      <c r="BD4" s="5">
        <f t="shared" si="55"/>
        <v>6.1562499999999999E-2</v>
      </c>
      <c r="BE4" s="199">
        <f t="shared" si="56"/>
        <v>0.28142857142857142</v>
      </c>
      <c r="BF4" s="21">
        <f t="shared" si="57"/>
        <v>4.0228711455993466E-2</v>
      </c>
      <c r="BG4" s="6">
        <f t="shared" si="58"/>
        <v>1</v>
      </c>
      <c r="BH4" s="5">
        <f t="shared" si="59"/>
        <v>3.125E-2</v>
      </c>
      <c r="BI4" s="6">
        <f t="shared" si="60"/>
        <v>0</v>
      </c>
      <c r="BJ4" s="5">
        <f t="shared" si="61"/>
        <v>0</v>
      </c>
      <c r="BK4" s="20">
        <f t="shared" si="62"/>
        <v>0</v>
      </c>
      <c r="BL4" s="20">
        <f t="shared" si="63"/>
        <v>3.1692515171948751E-2</v>
      </c>
      <c r="BM4" s="6">
        <f t="shared" si="64"/>
        <v>47</v>
      </c>
      <c r="BN4" s="5">
        <f t="shared" si="65"/>
        <v>1.46875</v>
      </c>
      <c r="BO4" s="333">
        <f t="shared" si="66"/>
        <v>0</v>
      </c>
      <c r="BP4" s="334">
        <f t="shared" si="67"/>
        <v>0</v>
      </c>
      <c r="BQ4" s="6">
        <f t="shared" si="68"/>
        <v>38.4</v>
      </c>
      <c r="BR4" s="5">
        <f t="shared" si="69"/>
        <v>1.2</v>
      </c>
      <c r="BS4" s="6">
        <f t="shared" si="70"/>
        <v>64</v>
      </c>
      <c r="BT4" s="5">
        <f t="shared" si="71"/>
        <v>2</v>
      </c>
      <c r="BU4" s="181">
        <f t="shared" si="72"/>
        <v>1</v>
      </c>
      <c r="BV4" s="154">
        <f t="shared" si="73"/>
        <v>3.125E-2</v>
      </c>
      <c r="BW4" s="181">
        <f t="shared" si="74"/>
        <v>0</v>
      </c>
      <c r="BX4" s="180">
        <f t="shared" si="75"/>
        <v>0</v>
      </c>
      <c r="BY4" s="181">
        <f t="shared" si="76"/>
        <v>1</v>
      </c>
      <c r="BZ4" s="154">
        <f t="shared" si="77"/>
        <v>3.125E-2</v>
      </c>
      <c r="CA4" s="182">
        <f t="shared" si="78"/>
        <v>0</v>
      </c>
      <c r="CB4" s="2">
        <f t="shared" si="79"/>
        <v>0</v>
      </c>
      <c r="CC4" s="2">
        <f t="shared" si="80"/>
        <v>0</v>
      </c>
      <c r="CD4" s="2">
        <f t="shared" si="81"/>
        <v>0</v>
      </c>
      <c r="CE4" s="2">
        <f t="shared" si="82"/>
        <v>11</v>
      </c>
      <c r="CF4" s="6">
        <f t="shared" si="83"/>
        <v>0</v>
      </c>
      <c r="CG4" s="6">
        <f t="shared" si="84"/>
        <v>810.66</v>
      </c>
      <c r="CH4" s="6">
        <f t="shared" si="85"/>
        <v>477</v>
      </c>
      <c r="CI4" s="20">
        <f t="shared" si="86"/>
        <v>0.58840944415661312</v>
      </c>
      <c r="CJ4" s="133">
        <f t="shared" si="87"/>
        <v>2521</v>
      </c>
      <c r="CK4" s="5">
        <f t="shared" si="88"/>
        <v>6.65</v>
      </c>
      <c r="CL4" s="300"/>
      <c r="CM4" s="296" t="s">
        <v>13</v>
      </c>
      <c r="CN4" s="296" t="s">
        <v>1129</v>
      </c>
      <c r="CO4" s="296">
        <v>36</v>
      </c>
      <c r="CP4" s="296" t="s">
        <v>1130</v>
      </c>
      <c r="CQ4" s="296" t="s">
        <v>1131</v>
      </c>
      <c r="CR4" s="296" t="s">
        <v>645</v>
      </c>
      <c r="CS4" s="296" t="s">
        <v>1132</v>
      </c>
      <c r="CT4" s="296" t="s">
        <v>682</v>
      </c>
      <c r="CU4" s="297">
        <v>47483</v>
      </c>
      <c r="CV4" s="296">
        <v>3</v>
      </c>
      <c r="CW4" s="296">
        <v>2880</v>
      </c>
      <c r="CX4" s="296">
        <v>47</v>
      </c>
      <c r="CY4" s="296">
        <v>9</v>
      </c>
      <c r="CZ4" s="296">
        <v>9</v>
      </c>
      <c r="DA4" s="296">
        <v>17</v>
      </c>
      <c r="DB4" s="296">
        <v>0</v>
      </c>
      <c r="DC4" s="296">
        <v>1.2</v>
      </c>
      <c r="DD4" s="296">
        <v>2</v>
      </c>
      <c r="DE4" s="296">
        <v>7</v>
      </c>
      <c r="DF4" s="296">
        <v>0</v>
      </c>
      <c r="DG4" s="296">
        <v>0</v>
      </c>
      <c r="DH4" s="296">
        <v>0</v>
      </c>
      <c r="DI4" s="296">
        <v>11</v>
      </c>
      <c r="DJ4" s="296">
        <v>0</v>
      </c>
      <c r="DK4" s="296">
        <v>1</v>
      </c>
      <c r="DL4" s="296">
        <v>710</v>
      </c>
      <c r="DM4" s="296">
        <v>442</v>
      </c>
      <c r="DN4" s="296" t="s">
        <v>1133</v>
      </c>
      <c r="DO4" s="296">
        <v>0</v>
      </c>
      <c r="DP4" s="296">
        <v>0</v>
      </c>
      <c r="DQ4" s="296">
        <v>1</v>
      </c>
      <c r="DR4" s="296">
        <v>0</v>
      </c>
      <c r="DS4" s="296">
        <v>0</v>
      </c>
      <c r="DT4" s="296">
        <v>1</v>
      </c>
      <c r="DU4" s="296">
        <v>0</v>
      </c>
      <c r="DV4" s="301">
        <v>6.65</v>
      </c>
    </row>
    <row r="5" spans="1:126" ht="24.95" customHeight="1" thickBot="1" x14ac:dyDescent="0.3">
      <c r="A5" s="29" t="str">
        <f t="shared" si="0"/>
        <v>4º</v>
      </c>
      <c r="B5" s="69" t="str">
        <f t="shared" si="1"/>
        <v>Jordi</v>
      </c>
      <c r="C5" s="269" t="str">
        <f t="shared" si="2"/>
        <v>BRA</v>
      </c>
      <c r="D5" s="99" t="str">
        <f t="shared" si="3"/>
        <v>Somente Pé Direito</v>
      </c>
      <c r="E5" s="28" t="str">
        <f t="shared" si="4"/>
        <v>GN</v>
      </c>
      <c r="F5" s="169">
        <f t="shared" si="5"/>
        <v>34</v>
      </c>
      <c r="G5" s="2" t="str">
        <f t="shared" si="6"/>
        <v>0 € - 55m €</v>
      </c>
      <c r="H5" s="154">
        <f t="shared" si="7"/>
        <v>1.92</v>
      </c>
      <c r="I5" s="64">
        <f t="shared" si="8"/>
        <v>47118</v>
      </c>
      <c r="J5" s="304" t="str">
        <f t="shared" si="9"/>
        <v>19,25m € p/m</v>
      </c>
      <c r="K5" s="96">
        <f t="shared" si="10"/>
        <v>3.5222222222222221</v>
      </c>
      <c r="L5" s="146">
        <f t="shared" si="11"/>
        <v>0</v>
      </c>
      <c r="M5" s="6">
        <f t="shared" si="12"/>
        <v>0</v>
      </c>
      <c r="N5" s="5">
        <f t="shared" si="13"/>
        <v>5400</v>
      </c>
      <c r="O5" s="21">
        <f t="shared" si="14"/>
        <v>0</v>
      </c>
      <c r="P5" s="2">
        <f t="shared" si="15"/>
        <v>0</v>
      </c>
      <c r="Q5" s="2">
        <f t="shared" si="16"/>
        <v>0</v>
      </c>
      <c r="R5" s="5">
        <f t="shared" si="17"/>
        <v>0</v>
      </c>
      <c r="S5" s="2">
        <f t="shared" si="18"/>
        <v>0</v>
      </c>
      <c r="T5" s="2">
        <f t="shared" si="19"/>
        <v>0</v>
      </c>
      <c r="U5" s="102">
        <f t="shared" si="20"/>
        <v>0</v>
      </c>
      <c r="V5" s="102">
        <f t="shared" si="21"/>
        <v>0</v>
      </c>
      <c r="W5" s="6">
        <f t="shared" si="22"/>
        <v>0</v>
      </c>
      <c r="X5" s="5">
        <f t="shared" si="23"/>
        <v>0</v>
      </c>
      <c r="Y5" s="6">
        <f t="shared" si="24"/>
        <v>0</v>
      </c>
      <c r="Z5" s="5" t="e">
        <f t="shared" si="25"/>
        <v>#DIV/0!</v>
      </c>
      <c r="AA5" s="21">
        <f t="shared" si="26"/>
        <v>0</v>
      </c>
      <c r="AB5" s="6">
        <f t="shared" si="27"/>
        <v>0</v>
      </c>
      <c r="AC5" s="5" t="e">
        <f t="shared" si="28"/>
        <v>#DIV/0!</v>
      </c>
      <c r="AD5" s="6">
        <f t="shared" si="29"/>
        <v>0</v>
      </c>
      <c r="AE5" s="5">
        <f t="shared" si="30"/>
        <v>0</v>
      </c>
      <c r="AF5" s="21">
        <f t="shared" si="31"/>
        <v>0</v>
      </c>
      <c r="AG5" s="6">
        <f t="shared" si="32"/>
        <v>0</v>
      </c>
      <c r="AH5" s="5">
        <f t="shared" si="33"/>
        <v>0</v>
      </c>
      <c r="AI5" s="21">
        <f t="shared" si="34"/>
        <v>0</v>
      </c>
      <c r="AJ5" s="6">
        <f t="shared" si="35"/>
        <v>0</v>
      </c>
      <c r="AK5" s="5">
        <f t="shared" si="36"/>
        <v>0</v>
      </c>
      <c r="AL5" s="21">
        <f t="shared" si="37"/>
        <v>0</v>
      </c>
      <c r="AM5" s="21">
        <f t="shared" si="38"/>
        <v>0</v>
      </c>
      <c r="AN5" s="6">
        <f t="shared" si="39"/>
        <v>0</v>
      </c>
      <c r="AO5" s="5">
        <f t="shared" si="40"/>
        <v>0</v>
      </c>
      <c r="AP5" s="6">
        <f t="shared" si="41"/>
        <v>0</v>
      </c>
      <c r="AQ5" s="5">
        <f t="shared" si="42"/>
        <v>0</v>
      </c>
      <c r="AR5" s="2">
        <f t="shared" si="43"/>
        <v>0</v>
      </c>
      <c r="AS5" s="5">
        <f t="shared" si="44"/>
        <v>0</v>
      </c>
      <c r="AT5" s="21">
        <f t="shared" si="45"/>
        <v>0</v>
      </c>
      <c r="AU5" s="20">
        <f t="shared" si="46"/>
        <v>0</v>
      </c>
      <c r="AV5" s="20">
        <f t="shared" si="47"/>
        <v>1</v>
      </c>
      <c r="AW5" s="199">
        <f t="shared" si="48"/>
        <v>0</v>
      </c>
      <c r="AX5" s="24">
        <f t="shared" si="49"/>
        <v>0</v>
      </c>
      <c r="AY5" s="5">
        <f t="shared" si="50"/>
        <v>0</v>
      </c>
      <c r="AZ5" s="5">
        <f t="shared" si="51"/>
        <v>0</v>
      </c>
      <c r="BA5" s="5">
        <f t="shared" si="52"/>
        <v>0</v>
      </c>
      <c r="BB5" s="5">
        <f t="shared" si="53"/>
        <v>0</v>
      </c>
      <c r="BC5" s="5">
        <f t="shared" si="54"/>
        <v>0</v>
      </c>
      <c r="BD5" s="5">
        <f t="shared" si="55"/>
        <v>0</v>
      </c>
      <c r="BE5" s="199">
        <f t="shared" si="56"/>
        <v>0</v>
      </c>
      <c r="BF5" s="21">
        <f t="shared" si="57"/>
        <v>0</v>
      </c>
      <c r="BG5" s="6">
        <f t="shared" si="58"/>
        <v>0</v>
      </c>
      <c r="BH5" s="5" t="e">
        <f t="shared" si="59"/>
        <v>#DIV/0!</v>
      </c>
      <c r="BI5" s="6">
        <f t="shared" si="60"/>
        <v>0</v>
      </c>
      <c r="BJ5" s="5" t="e">
        <f t="shared" si="61"/>
        <v>#DIV/0!</v>
      </c>
      <c r="BK5" s="20">
        <f t="shared" si="62"/>
        <v>-9.9999999999999998E-13</v>
      </c>
      <c r="BL5" s="20">
        <f t="shared" si="63"/>
        <v>0</v>
      </c>
      <c r="BM5" s="6">
        <f t="shared" si="64"/>
        <v>0</v>
      </c>
      <c r="BN5" s="5">
        <f t="shared" si="65"/>
        <v>0</v>
      </c>
      <c r="BO5" s="333">
        <f t="shared" si="66"/>
        <v>0</v>
      </c>
      <c r="BP5" s="334">
        <f t="shared" si="67"/>
        <v>0</v>
      </c>
      <c r="BQ5" s="6">
        <f t="shared" si="68"/>
        <v>0</v>
      </c>
      <c r="BR5" s="5">
        <f t="shared" si="69"/>
        <v>0</v>
      </c>
      <c r="BS5" s="6">
        <f t="shared" si="70"/>
        <v>0</v>
      </c>
      <c r="BT5" s="5">
        <f t="shared" si="71"/>
        <v>0</v>
      </c>
      <c r="BU5" s="181">
        <f t="shared" si="72"/>
        <v>0</v>
      </c>
      <c r="BV5" s="154">
        <f t="shared" si="73"/>
        <v>0</v>
      </c>
      <c r="BW5" s="181">
        <f t="shared" si="74"/>
        <v>0</v>
      </c>
      <c r="BX5" s="180">
        <f t="shared" si="75"/>
        <v>0</v>
      </c>
      <c r="BY5" s="181">
        <f t="shared" si="76"/>
        <v>0</v>
      </c>
      <c r="BZ5" s="154">
        <f t="shared" si="77"/>
        <v>0</v>
      </c>
      <c r="CA5" s="182">
        <f t="shared" si="78"/>
        <v>0</v>
      </c>
      <c r="CB5" s="2">
        <f t="shared" si="79"/>
        <v>0</v>
      </c>
      <c r="CC5" s="2">
        <f t="shared" si="80"/>
        <v>0</v>
      </c>
      <c r="CD5" s="2">
        <f t="shared" si="81"/>
        <v>0</v>
      </c>
      <c r="CE5" s="2">
        <f t="shared" si="82"/>
        <v>0</v>
      </c>
      <c r="CF5" s="6">
        <f t="shared" si="83"/>
        <v>0</v>
      </c>
      <c r="CG5" s="6">
        <f t="shared" si="84"/>
        <v>0</v>
      </c>
      <c r="CH5" s="6">
        <f t="shared" si="85"/>
        <v>0</v>
      </c>
      <c r="CI5" s="20">
        <f t="shared" si="86"/>
        <v>0</v>
      </c>
      <c r="CJ5" s="133">
        <f t="shared" si="87"/>
        <v>2521</v>
      </c>
      <c r="CK5" s="5">
        <f t="shared" si="88"/>
        <v>0</v>
      </c>
      <c r="CL5" s="302"/>
      <c r="CM5" s="298" t="s">
        <v>13</v>
      </c>
      <c r="CN5" s="298" t="s">
        <v>1134</v>
      </c>
      <c r="CO5" s="298">
        <v>34</v>
      </c>
      <c r="CP5" s="298" t="s">
        <v>1135</v>
      </c>
      <c r="CQ5" s="298" t="s">
        <v>1136</v>
      </c>
      <c r="CR5" s="298" t="s">
        <v>645</v>
      </c>
      <c r="CS5" s="298" t="s">
        <v>1137</v>
      </c>
      <c r="CT5" s="298" t="s">
        <v>549</v>
      </c>
      <c r="CU5" s="299">
        <v>47118</v>
      </c>
      <c r="CV5" s="298">
        <v>0</v>
      </c>
      <c r="CW5" s="298">
        <v>0</v>
      </c>
      <c r="CX5" s="298">
        <v>0</v>
      </c>
      <c r="CY5" s="298">
        <v>0</v>
      </c>
      <c r="CZ5" s="298">
        <v>0</v>
      </c>
      <c r="DA5" s="298">
        <v>0</v>
      </c>
      <c r="DB5" s="298">
        <v>0</v>
      </c>
      <c r="DC5" s="298">
        <v>0</v>
      </c>
      <c r="DD5" s="298">
        <v>0</v>
      </c>
      <c r="DE5" s="298">
        <v>0</v>
      </c>
      <c r="DF5" s="298">
        <v>0</v>
      </c>
      <c r="DG5" s="298">
        <v>0</v>
      </c>
      <c r="DH5" s="298">
        <v>0</v>
      </c>
      <c r="DI5" s="298">
        <v>0</v>
      </c>
      <c r="DJ5" s="298">
        <v>0</v>
      </c>
      <c r="DK5" s="298">
        <v>0</v>
      </c>
      <c r="DL5" s="298">
        <v>0</v>
      </c>
      <c r="DM5" s="298">
        <v>0</v>
      </c>
      <c r="DN5" s="298">
        <v>0</v>
      </c>
      <c r="DO5" s="298">
        <v>0</v>
      </c>
      <c r="DP5" s="298">
        <v>0</v>
      </c>
      <c r="DQ5" s="298">
        <v>0</v>
      </c>
      <c r="DR5" s="298">
        <v>0</v>
      </c>
      <c r="DS5" s="298">
        <v>0</v>
      </c>
      <c r="DT5" s="298">
        <v>0</v>
      </c>
      <c r="DU5" s="298">
        <v>0</v>
      </c>
      <c r="DV5" s="303" t="s">
        <v>548</v>
      </c>
    </row>
    <row r="6" spans="1:126" ht="24.95" customHeight="1" thickBot="1" x14ac:dyDescent="0.3">
      <c r="A6" s="29" t="str">
        <f t="shared" si="0"/>
        <v>5º</v>
      </c>
      <c r="B6" s="69" t="str">
        <f t="shared" si="1"/>
        <v>Paulo Henrique</v>
      </c>
      <c r="C6" s="269" t="str">
        <f t="shared" si="2"/>
        <v>BRA</v>
      </c>
      <c r="D6" s="99" t="str">
        <f t="shared" si="3"/>
        <v>Somente Pé Direito</v>
      </c>
      <c r="E6" s="28" t="str">
        <f t="shared" si="4"/>
        <v>AFC</v>
      </c>
      <c r="F6" s="169">
        <f t="shared" si="5"/>
        <v>34</v>
      </c>
      <c r="G6" s="2" t="str">
        <f t="shared" si="6"/>
        <v>0 € - 1,5m €</v>
      </c>
      <c r="H6" s="154">
        <f t="shared" si="7"/>
        <v>1.85</v>
      </c>
      <c r="I6" s="64">
        <f t="shared" si="8"/>
        <v>47118</v>
      </c>
      <c r="J6" s="304" t="str">
        <f t="shared" si="9"/>
        <v>8,25m € p/m</v>
      </c>
      <c r="K6" s="96">
        <f t="shared" si="10"/>
        <v>3.5222222222222221</v>
      </c>
      <c r="L6" s="146">
        <f t="shared" si="11"/>
        <v>2</v>
      </c>
      <c r="M6" s="6">
        <f t="shared" si="12"/>
        <v>0</v>
      </c>
      <c r="N6" s="5">
        <f t="shared" si="13"/>
        <v>5400</v>
      </c>
      <c r="O6" s="21">
        <f t="shared" si="14"/>
        <v>0</v>
      </c>
      <c r="P6" s="2">
        <f t="shared" si="15"/>
        <v>40</v>
      </c>
      <c r="Q6" s="2">
        <f t="shared" si="16"/>
        <v>26</v>
      </c>
      <c r="R6" s="5">
        <f t="shared" si="17"/>
        <v>13</v>
      </c>
      <c r="S6" s="2">
        <f t="shared" si="18"/>
        <v>14</v>
      </c>
      <c r="T6" s="2">
        <f t="shared" si="19"/>
        <v>12</v>
      </c>
      <c r="U6" s="102">
        <f t="shared" si="20"/>
        <v>0.35</v>
      </c>
      <c r="V6" s="102">
        <f t="shared" si="21"/>
        <v>0.65</v>
      </c>
      <c r="W6" s="6">
        <f t="shared" si="22"/>
        <v>40</v>
      </c>
      <c r="X6" s="5">
        <f t="shared" si="23"/>
        <v>20</v>
      </c>
      <c r="Y6" s="6">
        <f t="shared" si="24"/>
        <v>0</v>
      </c>
      <c r="Z6" s="5">
        <f t="shared" si="25"/>
        <v>0</v>
      </c>
      <c r="AA6" s="21">
        <f t="shared" si="26"/>
        <v>0</v>
      </c>
      <c r="AB6" s="6">
        <f t="shared" si="27"/>
        <v>0</v>
      </c>
      <c r="AC6" s="5">
        <f t="shared" si="28"/>
        <v>0</v>
      </c>
      <c r="AD6" s="6">
        <f t="shared" si="29"/>
        <v>0</v>
      </c>
      <c r="AE6" s="5">
        <f t="shared" si="30"/>
        <v>0</v>
      </c>
      <c r="AF6" s="21">
        <f t="shared" si="31"/>
        <v>0</v>
      </c>
      <c r="AG6" s="6">
        <f t="shared" si="32"/>
        <v>0</v>
      </c>
      <c r="AH6" s="5">
        <f t="shared" si="33"/>
        <v>0</v>
      </c>
      <c r="AI6" s="21">
        <f t="shared" si="34"/>
        <v>0</v>
      </c>
      <c r="AJ6" s="6">
        <f t="shared" si="35"/>
        <v>0</v>
      </c>
      <c r="AK6" s="5">
        <f t="shared" si="36"/>
        <v>0</v>
      </c>
      <c r="AL6" s="21">
        <f t="shared" si="37"/>
        <v>0</v>
      </c>
      <c r="AM6" s="21">
        <f t="shared" si="38"/>
        <v>0</v>
      </c>
      <c r="AN6" s="6">
        <f t="shared" si="39"/>
        <v>0</v>
      </c>
      <c r="AO6" s="5">
        <f t="shared" si="40"/>
        <v>0</v>
      </c>
      <c r="AP6" s="6">
        <f t="shared" si="41"/>
        <v>0</v>
      </c>
      <c r="AQ6" s="5">
        <f t="shared" si="42"/>
        <v>0</v>
      </c>
      <c r="AR6" s="2">
        <f t="shared" si="43"/>
        <v>3</v>
      </c>
      <c r="AS6" s="5">
        <f t="shared" si="44"/>
        <v>1.5</v>
      </c>
      <c r="AT6" s="21">
        <f t="shared" si="45"/>
        <v>0</v>
      </c>
      <c r="AU6" s="20">
        <f t="shared" si="46"/>
        <v>0</v>
      </c>
      <c r="AV6" s="20">
        <f t="shared" si="47"/>
        <v>1</v>
      </c>
      <c r="AW6" s="199">
        <f t="shared" si="48"/>
        <v>0</v>
      </c>
      <c r="AX6" s="24">
        <f t="shared" si="49"/>
        <v>60</v>
      </c>
      <c r="AY6" s="5">
        <f t="shared" si="50"/>
        <v>1</v>
      </c>
      <c r="AZ6" s="5">
        <f t="shared" si="51"/>
        <v>1</v>
      </c>
      <c r="BA6" s="5">
        <f t="shared" si="52"/>
        <v>0</v>
      </c>
      <c r="BB6" s="5">
        <f t="shared" si="53"/>
        <v>0</v>
      </c>
      <c r="BC6" s="5">
        <f t="shared" si="54"/>
        <v>0</v>
      </c>
      <c r="BD6" s="5">
        <f t="shared" si="55"/>
        <v>0</v>
      </c>
      <c r="BE6" s="199">
        <f t="shared" si="56"/>
        <v>0</v>
      </c>
      <c r="BF6" s="21">
        <f t="shared" si="57"/>
        <v>0</v>
      </c>
      <c r="BG6" s="6">
        <f t="shared" si="58"/>
        <v>0</v>
      </c>
      <c r="BH6" s="5">
        <f t="shared" si="59"/>
        <v>0</v>
      </c>
      <c r="BI6" s="6">
        <f t="shared" si="60"/>
        <v>0</v>
      </c>
      <c r="BJ6" s="5">
        <f t="shared" si="61"/>
        <v>0</v>
      </c>
      <c r="BK6" s="20">
        <f t="shared" si="62"/>
        <v>-9.9999999999999998E-13</v>
      </c>
      <c r="BL6" s="20">
        <f t="shared" si="63"/>
        <v>2.0229265003371545E-3</v>
      </c>
      <c r="BM6" s="6">
        <f t="shared" si="64"/>
        <v>3</v>
      </c>
      <c r="BN6" s="5">
        <f t="shared" si="65"/>
        <v>1.5</v>
      </c>
      <c r="BO6" s="333">
        <f t="shared" si="66"/>
        <v>0</v>
      </c>
      <c r="BP6" s="334">
        <f t="shared" si="67"/>
        <v>0</v>
      </c>
      <c r="BQ6" s="6">
        <f t="shared" si="68"/>
        <v>0</v>
      </c>
      <c r="BR6" s="5">
        <f t="shared" si="69"/>
        <v>0</v>
      </c>
      <c r="BS6" s="6">
        <f t="shared" si="70"/>
        <v>0</v>
      </c>
      <c r="BT6" s="5">
        <f t="shared" si="71"/>
        <v>0</v>
      </c>
      <c r="BU6" s="181">
        <f t="shared" si="72"/>
        <v>0</v>
      </c>
      <c r="BV6" s="154">
        <f t="shared" si="73"/>
        <v>0</v>
      </c>
      <c r="BW6" s="181">
        <f t="shared" si="74"/>
        <v>0</v>
      </c>
      <c r="BX6" s="180">
        <f t="shared" si="75"/>
        <v>0</v>
      </c>
      <c r="BY6" s="181">
        <f t="shared" si="76"/>
        <v>0</v>
      </c>
      <c r="BZ6" s="154">
        <f t="shared" si="77"/>
        <v>0</v>
      </c>
      <c r="CA6" s="182">
        <f t="shared" si="78"/>
        <v>0</v>
      </c>
      <c r="CB6" s="2">
        <f t="shared" si="79"/>
        <v>0</v>
      </c>
      <c r="CC6" s="2">
        <f t="shared" si="80"/>
        <v>0</v>
      </c>
      <c r="CD6" s="2">
        <f t="shared" si="81"/>
        <v>0</v>
      </c>
      <c r="CE6" s="2">
        <f t="shared" si="82"/>
        <v>0</v>
      </c>
      <c r="CF6" s="6">
        <f t="shared" si="83"/>
        <v>0</v>
      </c>
      <c r="CG6" s="6">
        <f t="shared" si="84"/>
        <v>43</v>
      </c>
      <c r="CH6" s="6">
        <f t="shared" si="85"/>
        <v>26</v>
      </c>
      <c r="CI6" s="20">
        <f t="shared" si="86"/>
        <v>0.60465116279069764</v>
      </c>
      <c r="CJ6" s="133">
        <f t="shared" si="87"/>
        <v>2521</v>
      </c>
      <c r="CK6" s="5">
        <f t="shared" si="88"/>
        <v>7</v>
      </c>
      <c r="CL6" s="300"/>
      <c r="CM6" s="296" t="s">
        <v>13</v>
      </c>
      <c r="CN6" s="296" t="s">
        <v>1138</v>
      </c>
      <c r="CO6" s="296">
        <v>34</v>
      </c>
      <c r="CP6" s="296" t="s">
        <v>728</v>
      </c>
      <c r="CQ6" s="296" t="s">
        <v>1139</v>
      </c>
      <c r="CR6" s="296" t="s">
        <v>645</v>
      </c>
      <c r="CS6" s="296" t="s">
        <v>1140</v>
      </c>
      <c r="CT6" s="296" t="s">
        <v>587</v>
      </c>
      <c r="CU6" s="297">
        <v>47118</v>
      </c>
      <c r="CV6" s="296">
        <v>0</v>
      </c>
      <c r="CW6" s="296">
        <v>180</v>
      </c>
      <c r="CX6" s="296">
        <v>3</v>
      </c>
      <c r="CY6" s="296">
        <v>0</v>
      </c>
      <c r="CZ6" s="296">
        <v>0</v>
      </c>
      <c r="DA6" s="296">
        <v>0</v>
      </c>
      <c r="DB6" s="296">
        <v>0</v>
      </c>
      <c r="DC6" s="296">
        <v>0</v>
      </c>
      <c r="DD6" s="296">
        <v>0</v>
      </c>
      <c r="DE6" s="296">
        <v>0</v>
      </c>
      <c r="DF6" s="296">
        <v>0</v>
      </c>
      <c r="DG6" s="296">
        <v>0</v>
      </c>
      <c r="DH6" s="296">
        <v>0</v>
      </c>
      <c r="DI6" s="296">
        <v>0</v>
      </c>
      <c r="DJ6" s="296">
        <v>0</v>
      </c>
      <c r="DK6" s="296">
        <v>0</v>
      </c>
      <c r="DL6" s="296">
        <v>40</v>
      </c>
      <c r="DM6" s="296">
        <v>26</v>
      </c>
      <c r="DN6" s="296">
        <v>0</v>
      </c>
      <c r="DO6" s="296">
        <v>0</v>
      </c>
      <c r="DP6" s="296">
        <v>0</v>
      </c>
      <c r="DQ6" s="296">
        <v>0</v>
      </c>
      <c r="DR6" s="296">
        <v>0</v>
      </c>
      <c r="DS6" s="296">
        <v>0</v>
      </c>
      <c r="DT6" s="296">
        <v>0</v>
      </c>
      <c r="DU6" s="296">
        <v>0</v>
      </c>
      <c r="DV6" s="301">
        <v>7</v>
      </c>
    </row>
    <row r="7" spans="1:126" ht="24.95" customHeight="1" thickBot="1" x14ac:dyDescent="0.3">
      <c r="A7" s="29" t="str">
        <f t="shared" si="0"/>
        <v>6º</v>
      </c>
      <c r="B7" s="69" t="str">
        <f t="shared" si="1"/>
        <v>Jefferson</v>
      </c>
      <c r="C7" s="269" t="str">
        <f t="shared" si="2"/>
        <v>BRA</v>
      </c>
      <c r="D7" s="99" t="str">
        <f t="shared" si="3"/>
        <v>Somente Pé Direito</v>
      </c>
      <c r="E7" s="28" t="str">
        <f t="shared" si="4"/>
        <v>AOI</v>
      </c>
      <c r="F7" s="169">
        <f t="shared" si="5"/>
        <v>35</v>
      </c>
      <c r="G7" s="2" t="str">
        <f t="shared" si="6"/>
        <v>0 €</v>
      </c>
      <c r="H7" s="154">
        <f t="shared" si="7"/>
        <v>1.89</v>
      </c>
      <c r="I7" s="64">
        <f t="shared" si="8"/>
        <v>47118</v>
      </c>
      <c r="J7" s="304" t="str">
        <f t="shared" si="9"/>
        <v>2,8m € p/m</v>
      </c>
      <c r="K7" s="96">
        <f t="shared" si="10"/>
        <v>3.5222222222222221</v>
      </c>
      <c r="L7" s="146">
        <f t="shared" si="11"/>
        <v>33</v>
      </c>
      <c r="M7" s="6">
        <f t="shared" si="12"/>
        <v>1</v>
      </c>
      <c r="N7" s="5">
        <f t="shared" si="13"/>
        <v>2970</v>
      </c>
      <c r="O7" s="21">
        <f t="shared" si="14"/>
        <v>3.0303030303030304E-2</v>
      </c>
      <c r="P7" s="2">
        <f t="shared" si="15"/>
        <v>748</v>
      </c>
      <c r="Q7" s="2">
        <f t="shared" si="16"/>
        <v>478</v>
      </c>
      <c r="R7" s="5">
        <f t="shared" si="17"/>
        <v>14.484848484848484</v>
      </c>
      <c r="S7" s="2">
        <f t="shared" si="18"/>
        <v>270</v>
      </c>
      <c r="T7" s="2">
        <f t="shared" si="19"/>
        <v>208</v>
      </c>
      <c r="U7" s="102">
        <f t="shared" si="20"/>
        <v>0.36096256684491979</v>
      </c>
      <c r="V7" s="102">
        <f t="shared" si="21"/>
        <v>0.63903743315508021</v>
      </c>
      <c r="W7" s="6">
        <f t="shared" si="22"/>
        <v>748</v>
      </c>
      <c r="X7" s="5">
        <f t="shared" si="23"/>
        <v>22.666666666666668</v>
      </c>
      <c r="Y7" s="6">
        <f t="shared" si="24"/>
        <v>0</v>
      </c>
      <c r="Z7" s="5">
        <f t="shared" si="25"/>
        <v>0</v>
      </c>
      <c r="AA7" s="21">
        <f t="shared" si="26"/>
        <v>0</v>
      </c>
      <c r="AB7" s="6">
        <f t="shared" si="27"/>
        <v>0</v>
      </c>
      <c r="AC7" s="5">
        <f t="shared" si="28"/>
        <v>0</v>
      </c>
      <c r="AD7" s="6">
        <f t="shared" si="29"/>
        <v>5</v>
      </c>
      <c r="AE7" s="5">
        <f t="shared" si="30"/>
        <v>0.15151515151515152</v>
      </c>
      <c r="AF7" s="21">
        <f t="shared" si="31"/>
        <v>0.26315789473684209</v>
      </c>
      <c r="AG7" s="6">
        <f t="shared" si="32"/>
        <v>3</v>
      </c>
      <c r="AH7" s="5">
        <f t="shared" si="33"/>
        <v>9.0909090909090912E-2</v>
      </c>
      <c r="AI7" s="21">
        <f t="shared" si="34"/>
        <v>0.15789473684210525</v>
      </c>
      <c r="AJ7" s="6">
        <f t="shared" si="35"/>
        <v>11</v>
      </c>
      <c r="AK7" s="5">
        <f t="shared" si="36"/>
        <v>0.7594142259414226</v>
      </c>
      <c r="AL7" s="21">
        <f t="shared" si="37"/>
        <v>0.57894736842105265</v>
      </c>
      <c r="AM7" s="21">
        <f t="shared" si="38"/>
        <v>0.48484848484848486</v>
      </c>
      <c r="AN7" s="6">
        <f t="shared" si="39"/>
        <v>16</v>
      </c>
      <c r="AO7" s="5">
        <f t="shared" si="40"/>
        <v>0.48484848484848486</v>
      </c>
      <c r="AP7" s="6">
        <f t="shared" si="41"/>
        <v>19</v>
      </c>
      <c r="AQ7" s="5">
        <f t="shared" si="42"/>
        <v>0.5757575757575758</v>
      </c>
      <c r="AR7" s="2">
        <f t="shared" si="43"/>
        <v>49</v>
      </c>
      <c r="AS7" s="5">
        <f t="shared" si="44"/>
        <v>1.4848484848484849</v>
      </c>
      <c r="AT7" s="21">
        <f t="shared" si="45"/>
        <v>0.38775510204081631</v>
      </c>
      <c r="AU7" s="20">
        <f t="shared" si="46"/>
        <v>0.31818181818181818</v>
      </c>
      <c r="AV7" s="20">
        <f t="shared" si="47"/>
        <v>0.61224489795918369</v>
      </c>
      <c r="AW7" s="199">
        <f t="shared" si="48"/>
        <v>0.56122448979591832</v>
      </c>
      <c r="AX7" s="24">
        <f t="shared" si="49"/>
        <v>99</v>
      </c>
      <c r="AY7" s="5">
        <f t="shared" si="50"/>
        <v>1.6333333333333333</v>
      </c>
      <c r="AZ7" s="5">
        <f t="shared" si="51"/>
        <v>1.4666666666666666</v>
      </c>
      <c r="BA7" s="5">
        <f t="shared" si="52"/>
        <v>1.29</v>
      </c>
      <c r="BB7" s="5">
        <f t="shared" si="53"/>
        <v>3.9090909090909093E-2</v>
      </c>
      <c r="BC7" s="5">
        <f t="shared" si="54"/>
        <v>1.29</v>
      </c>
      <c r="BD7" s="5">
        <f t="shared" si="55"/>
        <v>3.9090909090909093E-2</v>
      </c>
      <c r="BE7" s="199">
        <f t="shared" si="56"/>
        <v>8.0625000000000002E-2</v>
      </c>
      <c r="BF7" s="21">
        <f t="shared" si="57"/>
        <v>4.1227229146692239E-2</v>
      </c>
      <c r="BG7" s="6">
        <f t="shared" si="58"/>
        <v>0</v>
      </c>
      <c r="BH7" s="5">
        <f t="shared" si="59"/>
        <v>0</v>
      </c>
      <c r="BI7" s="6">
        <f t="shared" si="60"/>
        <v>0</v>
      </c>
      <c r="BJ7" s="5">
        <f t="shared" si="61"/>
        <v>0</v>
      </c>
      <c r="BK7" s="20">
        <f t="shared" si="62"/>
        <v>-9.9999999999999998E-13</v>
      </c>
      <c r="BL7" s="20">
        <f t="shared" si="63"/>
        <v>2.0229265003371546E-2</v>
      </c>
      <c r="BM7" s="6">
        <f t="shared" si="64"/>
        <v>30</v>
      </c>
      <c r="BN7" s="5">
        <f t="shared" si="65"/>
        <v>0.90909090909090906</v>
      </c>
      <c r="BO7" s="333">
        <f t="shared" si="66"/>
        <v>0</v>
      </c>
      <c r="BP7" s="334">
        <f t="shared" si="67"/>
        <v>0</v>
      </c>
      <c r="BQ7" s="6">
        <f t="shared" si="68"/>
        <v>59.4</v>
      </c>
      <c r="BR7" s="5">
        <f t="shared" si="69"/>
        <v>1.8</v>
      </c>
      <c r="BS7" s="6">
        <f t="shared" si="70"/>
        <v>92.399999999999991</v>
      </c>
      <c r="BT7" s="5">
        <f t="shared" si="71"/>
        <v>2.8</v>
      </c>
      <c r="BU7" s="181">
        <f t="shared" si="72"/>
        <v>1</v>
      </c>
      <c r="BV7" s="154">
        <f t="shared" si="73"/>
        <v>3.0303030303030304E-2</v>
      </c>
      <c r="BW7" s="181">
        <f t="shared" si="74"/>
        <v>0</v>
      </c>
      <c r="BX7" s="180">
        <f t="shared" si="75"/>
        <v>0</v>
      </c>
      <c r="BY7" s="181">
        <f t="shared" si="76"/>
        <v>1</v>
      </c>
      <c r="BZ7" s="154">
        <f t="shared" si="77"/>
        <v>3.0303030303030304E-2</v>
      </c>
      <c r="CA7" s="182">
        <f t="shared" si="78"/>
        <v>0</v>
      </c>
      <c r="CB7" s="2">
        <f t="shared" si="79"/>
        <v>1</v>
      </c>
      <c r="CC7" s="2">
        <f t="shared" si="80"/>
        <v>0</v>
      </c>
      <c r="CD7" s="2">
        <f t="shared" si="81"/>
        <v>1</v>
      </c>
      <c r="CE7" s="2">
        <f t="shared" si="82"/>
        <v>7</v>
      </c>
      <c r="CF7" s="6">
        <f t="shared" si="83"/>
        <v>1</v>
      </c>
      <c r="CG7" s="6">
        <f t="shared" si="84"/>
        <v>833.72400000000005</v>
      </c>
      <c r="CH7" s="6">
        <f t="shared" si="85"/>
        <v>497</v>
      </c>
      <c r="CI7" s="20">
        <f t="shared" si="86"/>
        <v>0.59612053869146142</v>
      </c>
      <c r="CJ7" s="133">
        <f t="shared" si="87"/>
        <v>2521</v>
      </c>
      <c r="CK7" s="5">
        <f t="shared" si="88"/>
        <v>7.05</v>
      </c>
      <c r="CL7" s="302"/>
      <c r="CM7" s="298" t="s">
        <v>13</v>
      </c>
      <c r="CN7" s="298" t="s">
        <v>1141</v>
      </c>
      <c r="CO7" s="298">
        <v>35</v>
      </c>
      <c r="CP7" s="298" t="s">
        <v>1142</v>
      </c>
      <c r="CQ7" s="298" t="s">
        <v>1131</v>
      </c>
      <c r="CR7" s="298" t="s">
        <v>645</v>
      </c>
      <c r="CS7" s="298" t="s">
        <v>1143</v>
      </c>
      <c r="CT7" s="298" t="s">
        <v>593</v>
      </c>
      <c r="CU7" s="299">
        <v>47118</v>
      </c>
      <c r="CV7" s="298">
        <v>1</v>
      </c>
      <c r="CW7" s="298">
        <v>2970</v>
      </c>
      <c r="CX7" s="298">
        <v>30</v>
      </c>
      <c r="CY7" s="298">
        <v>5</v>
      </c>
      <c r="CZ7" s="298">
        <v>3</v>
      </c>
      <c r="DA7" s="298">
        <v>11</v>
      </c>
      <c r="DB7" s="298">
        <v>0</v>
      </c>
      <c r="DC7" s="298">
        <v>1.8</v>
      </c>
      <c r="DD7" s="298">
        <v>2.8</v>
      </c>
      <c r="DE7" s="298">
        <v>16</v>
      </c>
      <c r="DF7" s="298">
        <v>1</v>
      </c>
      <c r="DG7" s="298">
        <v>0</v>
      </c>
      <c r="DH7" s="298">
        <v>1</v>
      </c>
      <c r="DI7" s="298">
        <v>7</v>
      </c>
      <c r="DJ7" s="298">
        <v>0</v>
      </c>
      <c r="DK7" s="298">
        <v>0</v>
      </c>
      <c r="DL7" s="298">
        <v>748</v>
      </c>
      <c r="DM7" s="298">
        <v>478</v>
      </c>
      <c r="DN7" s="298" t="s">
        <v>1144</v>
      </c>
      <c r="DO7" s="298">
        <v>0</v>
      </c>
      <c r="DP7" s="298">
        <v>0</v>
      </c>
      <c r="DQ7" s="298">
        <v>0</v>
      </c>
      <c r="DR7" s="298">
        <v>0</v>
      </c>
      <c r="DS7" s="298">
        <v>0</v>
      </c>
      <c r="DT7" s="298">
        <v>0</v>
      </c>
      <c r="DU7" s="298">
        <v>0</v>
      </c>
      <c r="DV7" s="303">
        <v>7.05</v>
      </c>
    </row>
    <row r="8" spans="1:126" ht="24.95" customHeight="1" thickBot="1" x14ac:dyDescent="0.3">
      <c r="A8" s="29" t="str">
        <f t="shared" si="0"/>
        <v>7º</v>
      </c>
      <c r="B8" s="69" t="str">
        <f t="shared" si="1"/>
        <v>Tony Batista</v>
      </c>
      <c r="C8" s="269" t="str">
        <f t="shared" si="2"/>
        <v>BRA</v>
      </c>
      <c r="D8" s="99" t="str">
        <f t="shared" si="3"/>
        <v>Somente Pé Direito</v>
      </c>
      <c r="E8" s="28" t="str">
        <f t="shared" si="4"/>
        <v>Tirana</v>
      </c>
      <c r="F8" s="169">
        <f t="shared" si="5"/>
        <v>35</v>
      </c>
      <c r="G8" s="2" t="str">
        <f t="shared" si="6"/>
        <v>14m € - 40m €</v>
      </c>
      <c r="H8" s="154">
        <f t="shared" si="7"/>
        <v>1.94</v>
      </c>
      <c r="I8" s="64">
        <f t="shared" si="8"/>
        <v>47299</v>
      </c>
      <c r="J8" s="304" t="str">
        <f t="shared" si="9"/>
        <v>8m € p/m</v>
      </c>
      <c r="K8" s="96">
        <f t="shared" si="10"/>
        <v>3.5222222222222221</v>
      </c>
      <c r="L8" s="146">
        <f t="shared" si="11"/>
        <v>1</v>
      </c>
      <c r="M8" s="6">
        <f t="shared" si="12"/>
        <v>0</v>
      </c>
      <c r="N8" s="5">
        <f t="shared" si="13"/>
        <v>5400</v>
      </c>
      <c r="O8" s="21">
        <f t="shared" si="14"/>
        <v>0</v>
      </c>
      <c r="P8" s="2">
        <f t="shared" si="15"/>
        <v>23</v>
      </c>
      <c r="Q8" s="2">
        <f t="shared" si="16"/>
        <v>10</v>
      </c>
      <c r="R8" s="5">
        <f t="shared" si="17"/>
        <v>10</v>
      </c>
      <c r="S8" s="2">
        <f t="shared" si="18"/>
        <v>13</v>
      </c>
      <c r="T8" s="2">
        <f t="shared" si="19"/>
        <v>-3</v>
      </c>
      <c r="U8" s="102">
        <f t="shared" si="20"/>
        <v>0.56521739130434778</v>
      </c>
      <c r="V8" s="102">
        <f t="shared" si="21"/>
        <v>0.43478260869565216</v>
      </c>
      <c r="W8" s="6">
        <f t="shared" si="22"/>
        <v>23</v>
      </c>
      <c r="X8" s="5">
        <f t="shared" si="23"/>
        <v>23</v>
      </c>
      <c r="Y8" s="6">
        <f t="shared" si="24"/>
        <v>0</v>
      </c>
      <c r="Z8" s="5">
        <f t="shared" si="25"/>
        <v>0</v>
      </c>
      <c r="AA8" s="21">
        <f t="shared" si="26"/>
        <v>0</v>
      </c>
      <c r="AB8" s="6">
        <f t="shared" si="27"/>
        <v>0</v>
      </c>
      <c r="AC8" s="5">
        <f t="shared" si="28"/>
        <v>0</v>
      </c>
      <c r="AD8" s="6">
        <f t="shared" si="29"/>
        <v>1</v>
      </c>
      <c r="AE8" s="5">
        <f t="shared" si="30"/>
        <v>1</v>
      </c>
      <c r="AF8" s="21">
        <f t="shared" si="31"/>
        <v>0.33333333333333331</v>
      </c>
      <c r="AG8" s="6">
        <f t="shared" si="32"/>
        <v>0</v>
      </c>
      <c r="AH8" s="5">
        <f t="shared" si="33"/>
        <v>0</v>
      </c>
      <c r="AI8" s="21">
        <f t="shared" si="34"/>
        <v>0</v>
      </c>
      <c r="AJ8" s="6">
        <f t="shared" si="35"/>
        <v>2</v>
      </c>
      <c r="AK8" s="5">
        <f t="shared" si="36"/>
        <v>0.2</v>
      </c>
      <c r="AL8" s="21">
        <f t="shared" si="37"/>
        <v>0.66666666666666663</v>
      </c>
      <c r="AM8" s="21">
        <f t="shared" si="38"/>
        <v>0</v>
      </c>
      <c r="AN8" s="6">
        <f t="shared" si="39"/>
        <v>0</v>
      </c>
      <c r="AO8" s="5">
        <f t="shared" si="40"/>
        <v>0</v>
      </c>
      <c r="AP8" s="6">
        <f t="shared" si="41"/>
        <v>3</v>
      </c>
      <c r="AQ8" s="5">
        <f t="shared" si="42"/>
        <v>3</v>
      </c>
      <c r="AR8" s="2">
        <f t="shared" si="43"/>
        <v>5</v>
      </c>
      <c r="AS8" s="5">
        <f t="shared" si="44"/>
        <v>5</v>
      </c>
      <c r="AT8" s="21">
        <f t="shared" si="45"/>
        <v>0.6</v>
      </c>
      <c r="AU8" s="20">
        <f t="shared" si="46"/>
        <v>0.5</v>
      </c>
      <c r="AV8" s="20">
        <f t="shared" si="47"/>
        <v>0.4</v>
      </c>
      <c r="AW8" s="199">
        <f t="shared" si="48"/>
        <v>0.8</v>
      </c>
      <c r="AX8" s="24">
        <f t="shared" si="49"/>
        <v>45</v>
      </c>
      <c r="AY8" s="5">
        <f t="shared" si="50"/>
        <v>2.5</v>
      </c>
      <c r="AZ8" s="5">
        <f t="shared" si="51"/>
        <v>2</v>
      </c>
      <c r="BA8" s="5">
        <f t="shared" si="52"/>
        <v>-0.53</v>
      </c>
      <c r="BB8" s="5">
        <f t="shared" si="53"/>
        <v>-0.53</v>
      </c>
      <c r="BC8" s="5">
        <f t="shared" si="54"/>
        <v>-0.53</v>
      </c>
      <c r="BD8" s="5">
        <f t="shared" si="55"/>
        <v>-0.53</v>
      </c>
      <c r="BE8" s="199">
        <f t="shared" si="56"/>
        <v>-0.53</v>
      </c>
      <c r="BF8" s="21">
        <f t="shared" si="57"/>
        <v>-0.36054421768707484</v>
      </c>
      <c r="BG8" s="6">
        <f t="shared" si="58"/>
        <v>0</v>
      </c>
      <c r="BH8" s="5">
        <f t="shared" si="59"/>
        <v>0</v>
      </c>
      <c r="BI8" s="6">
        <f t="shared" si="60"/>
        <v>0</v>
      </c>
      <c r="BJ8" s="5">
        <f t="shared" si="61"/>
        <v>0</v>
      </c>
      <c r="BK8" s="20">
        <f t="shared" si="62"/>
        <v>-9.9999999999999998E-13</v>
      </c>
      <c r="BL8" s="20">
        <f t="shared" si="63"/>
        <v>1.3486176668914363E-3</v>
      </c>
      <c r="BM8" s="6">
        <f t="shared" si="64"/>
        <v>2</v>
      </c>
      <c r="BN8" s="5">
        <f t="shared" si="65"/>
        <v>2</v>
      </c>
      <c r="BO8" s="333">
        <f t="shared" si="66"/>
        <v>0</v>
      </c>
      <c r="BP8" s="334">
        <f t="shared" si="67"/>
        <v>0</v>
      </c>
      <c r="BQ8" s="6">
        <f t="shared" si="68"/>
        <v>5</v>
      </c>
      <c r="BR8" s="5">
        <f t="shared" si="69"/>
        <v>5</v>
      </c>
      <c r="BS8" s="6">
        <f t="shared" si="70"/>
        <v>6</v>
      </c>
      <c r="BT8" s="5">
        <f t="shared" si="71"/>
        <v>6</v>
      </c>
      <c r="BU8" s="181">
        <f t="shared" si="72"/>
        <v>0</v>
      </c>
      <c r="BV8" s="154">
        <f t="shared" si="73"/>
        <v>0</v>
      </c>
      <c r="BW8" s="181">
        <f t="shared" si="74"/>
        <v>0</v>
      </c>
      <c r="BX8" s="180">
        <f t="shared" si="75"/>
        <v>0</v>
      </c>
      <c r="BY8" s="181">
        <f t="shared" si="76"/>
        <v>0</v>
      </c>
      <c r="BZ8" s="154">
        <f t="shared" si="77"/>
        <v>0</v>
      </c>
      <c r="CA8" s="182">
        <f t="shared" si="78"/>
        <v>0</v>
      </c>
      <c r="CB8" s="2">
        <f t="shared" si="79"/>
        <v>0</v>
      </c>
      <c r="CC8" s="2">
        <f t="shared" si="80"/>
        <v>0</v>
      </c>
      <c r="CD8" s="2">
        <f t="shared" si="81"/>
        <v>0</v>
      </c>
      <c r="CE8" s="2">
        <f t="shared" si="82"/>
        <v>0</v>
      </c>
      <c r="CF8" s="6">
        <f t="shared" si="83"/>
        <v>0</v>
      </c>
      <c r="CG8" s="6">
        <f t="shared" si="84"/>
        <v>35.980000000000004</v>
      </c>
      <c r="CH8" s="6">
        <f t="shared" si="85"/>
        <v>13</v>
      </c>
      <c r="CI8" s="20">
        <f t="shared" si="86"/>
        <v>0.36131183991106164</v>
      </c>
      <c r="CJ8" s="133">
        <f t="shared" si="87"/>
        <v>2521</v>
      </c>
      <c r="CK8" s="5">
        <f t="shared" si="88"/>
        <v>6.5</v>
      </c>
      <c r="CL8" s="300"/>
      <c r="CM8" s="296" t="s">
        <v>13</v>
      </c>
      <c r="CN8" s="296" t="s">
        <v>1145</v>
      </c>
      <c r="CO8" s="296">
        <v>35</v>
      </c>
      <c r="CP8" s="296" t="s">
        <v>1146</v>
      </c>
      <c r="CQ8" s="296" t="s">
        <v>1147</v>
      </c>
      <c r="CR8" s="296" t="s">
        <v>645</v>
      </c>
      <c r="CS8" s="296" t="s">
        <v>1148</v>
      </c>
      <c r="CT8" s="296" t="s">
        <v>910</v>
      </c>
      <c r="CU8" s="297">
        <v>47299</v>
      </c>
      <c r="CV8" s="296">
        <v>0</v>
      </c>
      <c r="CW8" s="296">
        <v>90</v>
      </c>
      <c r="CX8" s="296">
        <v>2</v>
      </c>
      <c r="CY8" s="296">
        <v>1</v>
      </c>
      <c r="CZ8" s="296">
        <v>0</v>
      </c>
      <c r="DA8" s="296">
        <v>2</v>
      </c>
      <c r="DB8" s="296">
        <v>0</v>
      </c>
      <c r="DC8" s="296">
        <v>5</v>
      </c>
      <c r="DD8" s="296">
        <v>6</v>
      </c>
      <c r="DE8" s="296">
        <v>0</v>
      </c>
      <c r="DF8" s="296">
        <v>0</v>
      </c>
      <c r="DG8" s="296">
        <v>0</v>
      </c>
      <c r="DH8" s="296">
        <v>0</v>
      </c>
      <c r="DI8" s="296">
        <v>0</v>
      </c>
      <c r="DJ8" s="296">
        <v>0</v>
      </c>
      <c r="DK8" s="296">
        <v>0</v>
      </c>
      <c r="DL8" s="296">
        <v>23</v>
      </c>
      <c r="DM8" s="296">
        <v>10</v>
      </c>
      <c r="DN8" s="296" t="s">
        <v>1149</v>
      </c>
      <c r="DO8" s="296">
        <v>0</v>
      </c>
      <c r="DP8" s="296">
        <v>0</v>
      </c>
      <c r="DQ8" s="296">
        <v>0</v>
      </c>
      <c r="DR8" s="296">
        <v>0</v>
      </c>
      <c r="DS8" s="296">
        <v>0</v>
      </c>
      <c r="DT8" s="296">
        <v>0</v>
      </c>
      <c r="DU8" s="296">
        <v>0</v>
      </c>
      <c r="DV8" s="301">
        <v>6.5</v>
      </c>
    </row>
    <row r="9" spans="1:126" ht="24.95" customHeight="1" thickBot="1" x14ac:dyDescent="0.3">
      <c r="A9" s="29" t="str">
        <f t="shared" si="0"/>
        <v>8º</v>
      </c>
      <c r="B9" s="69" t="str">
        <f t="shared" si="1"/>
        <v>André Luiz</v>
      </c>
      <c r="C9" s="269" t="str">
        <f t="shared" si="2"/>
        <v>BRA</v>
      </c>
      <c r="D9" s="99" t="str">
        <f t="shared" si="3"/>
        <v>Pé Direito</v>
      </c>
      <c r="E9" s="28" t="str">
        <f t="shared" si="4"/>
        <v>Rio Branco (ES)</v>
      </c>
      <c r="F9" s="169">
        <f t="shared" si="5"/>
        <v>33</v>
      </c>
      <c r="G9" s="2" t="str">
        <f t="shared" si="6"/>
        <v>0 € - 3,5m €</v>
      </c>
      <c r="H9" s="154">
        <f t="shared" si="7"/>
        <v>1.89</v>
      </c>
      <c r="I9" s="64">
        <f t="shared" si="8"/>
        <v>47118</v>
      </c>
      <c r="J9" s="304" t="str">
        <f t="shared" si="9"/>
        <v>4,5m € p/m</v>
      </c>
      <c r="K9" s="96">
        <f t="shared" si="10"/>
        <v>3.5222222222222221</v>
      </c>
      <c r="L9" s="146">
        <f t="shared" si="11"/>
        <v>10</v>
      </c>
      <c r="M9" s="6">
        <f t="shared" si="12"/>
        <v>2</v>
      </c>
      <c r="N9" s="5">
        <f t="shared" si="13"/>
        <v>450</v>
      </c>
      <c r="O9" s="21">
        <f t="shared" si="14"/>
        <v>0.2</v>
      </c>
      <c r="P9" s="2">
        <f t="shared" si="15"/>
        <v>272</v>
      </c>
      <c r="Q9" s="2">
        <f t="shared" si="16"/>
        <v>201</v>
      </c>
      <c r="R9" s="5">
        <f t="shared" si="17"/>
        <v>20.100000000000001</v>
      </c>
      <c r="S9" s="2">
        <f t="shared" si="18"/>
        <v>71</v>
      </c>
      <c r="T9" s="2">
        <f t="shared" si="19"/>
        <v>130</v>
      </c>
      <c r="U9" s="102">
        <f t="shared" si="20"/>
        <v>0.2610294117647059</v>
      </c>
      <c r="V9" s="102">
        <f t="shared" si="21"/>
        <v>0.73897058823529416</v>
      </c>
      <c r="W9" s="6">
        <f t="shared" si="22"/>
        <v>272</v>
      </c>
      <c r="X9" s="5">
        <f t="shared" si="23"/>
        <v>27.2</v>
      </c>
      <c r="Y9" s="6">
        <f t="shared" si="24"/>
        <v>0</v>
      </c>
      <c r="Z9" s="5">
        <f t="shared" si="25"/>
        <v>0</v>
      </c>
      <c r="AA9" s="21">
        <f t="shared" si="26"/>
        <v>0</v>
      </c>
      <c r="AB9" s="6">
        <f t="shared" si="27"/>
        <v>0</v>
      </c>
      <c r="AC9" s="5">
        <f t="shared" si="28"/>
        <v>0</v>
      </c>
      <c r="AD9" s="6">
        <f t="shared" si="29"/>
        <v>2</v>
      </c>
      <c r="AE9" s="5">
        <f t="shared" si="30"/>
        <v>0.2</v>
      </c>
      <c r="AF9" s="21">
        <f t="shared" si="31"/>
        <v>0.16666666666666666</v>
      </c>
      <c r="AG9" s="6">
        <f t="shared" si="32"/>
        <v>3</v>
      </c>
      <c r="AH9" s="5">
        <f t="shared" si="33"/>
        <v>0.3</v>
      </c>
      <c r="AI9" s="21">
        <f t="shared" si="34"/>
        <v>0.25</v>
      </c>
      <c r="AJ9" s="6">
        <f t="shared" si="35"/>
        <v>7</v>
      </c>
      <c r="AK9" s="5">
        <f t="shared" si="36"/>
        <v>0.34825870646766166</v>
      </c>
      <c r="AL9" s="21">
        <f t="shared" si="37"/>
        <v>0.58333333333333337</v>
      </c>
      <c r="AM9" s="21">
        <f t="shared" si="38"/>
        <v>0.6</v>
      </c>
      <c r="AN9" s="6">
        <f t="shared" si="39"/>
        <v>6</v>
      </c>
      <c r="AO9" s="5">
        <f t="shared" si="40"/>
        <v>0.6</v>
      </c>
      <c r="AP9" s="6">
        <f t="shared" si="41"/>
        <v>12</v>
      </c>
      <c r="AQ9" s="5">
        <f t="shared" si="42"/>
        <v>1.2</v>
      </c>
      <c r="AR9" s="2">
        <f t="shared" si="43"/>
        <v>16</v>
      </c>
      <c r="AS9" s="5">
        <f t="shared" si="44"/>
        <v>1.6</v>
      </c>
      <c r="AT9" s="21">
        <f t="shared" si="45"/>
        <v>0.75</v>
      </c>
      <c r="AU9" s="20">
        <f t="shared" si="46"/>
        <v>0.7857142857142857</v>
      </c>
      <c r="AV9" s="20">
        <f t="shared" si="47"/>
        <v>0.25</v>
      </c>
      <c r="AW9" s="199">
        <f t="shared" si="48"/>
        <v>1.15625</v>
      </c>
      <c r="AX9" s="24">
        <f t="shared" si="49"/>
        <v>225</v>
      </c>
      <c r="AY9" s="5">
        <f t="shared" si="50"/>
        <v>4</v>
      </c>
      <c r="AZ9" s="5">
        <f t="shared" si="51"/>
        <v>3.5</v>
      </c>
      <c r="BA9" s="5">
        <f t="shared" si="52"/>
        <v>4.45</v>
      </c>
      <c r="BB9" s="5">
        <f t="shared" si="53"/>
        <v>0.44500000000000001</v>
      </c>
      <c r="BC9" s="5">
        <f t="shared" si="54"/>
        <v>3.66</v>
      </c>
      <c r="BD9" s="5">
        <f t="shared" si="55"/>
        <v>0.36599999999999999</v>
      </c>
      <c r="BE9" s="199">
        <f t="shared" si="56"/>
        <v>0.7416666666666667</v>
      </c>
      <c r="BF9" s="21">
        <f t="shared" si="57"/>
        <v>0.52662721893491127</v>
      </c>
      <c r="BG9" s="6">
        <f t="shared" si="58"/>
        <v>2</v>
      </c>
      <c r="BH9" s="5">
        <f t="shared" si="59"/>
        <v>0.2</v>
      </c>
      <c r="BI9" s="6">
        <f t="shared" si="60"/>
        <v>1</v>
      </c>
      <c r="BJ9" s="5">
        <f t="shared" si="61"/>
        <v>0.1</v>
      </c>
      <c r="BK9" s="20">
        <f t="shared" si="62"/>
        <v>0.5</v>
      </c>
      <c r="BL9" s="20">
        <f t="shared" si="63"/>
        <v>2.6972353337828725E-3</v>
      </c>
      <c r="BM9" s="6">
        <f t="shared" si="64"/>
        <v>4</v>
      </c>
      <c r="BN9" s="5">
        <f t="shared" si="65"/>
        <v>0.4</v>
      </c>
      <c r="BO9" s="333">
        <f t="shared" si="66"/>
        <v>0</v>
      </c>
      <c r="BP9" s="334">
        <f t="shared" si="67"/>
        <v>0</v>
      </c>
      <c r="BQ9" s="6">
        <f t="shared" si="68"/>
        <v>49</v>
      </c>
      <c r="BR9" s="5">
        <f t="shared" si="69"/>
        <v>4.9000000000000004</v>
      </c>
      <c r="BS9" s="6">
        <f t="shared" si="70"/>
        <v>55</v>
      </c>
      <c r="BT9" s="5">
        <f t="shared" si="71"/>
        <v>5.5</v>
      </c>
      <c r="BU9" s="181">
        <f t="shared" si="72"/>
        <v>2</v>
      </c>
      <c r="BV9" s="154">
        <f t="shared" si="73"/>
        <v>0.2</v>
      </c>
      <c r="BW9" s="181">
        <f t="shared" si="74"/>
        <v>1</v>
      </c>
      <c r="BX9" s="180">
        <f t="shared" si="75"/>
        <v>0.1</v>
      </c>
      <c r="BY9" s="181">
        <f t="shared" si="76"/>
        <v>1</v>
      </c>
      <c r="BZ9" s="154">
        <f t="shared" si="77"/>
        <v>0.1</v>
      </c>
      <c r="CA9" s="182">
        <f t="shared" si="78"/>
        <v>0.5</v>
      </c>
      <c r="CB9" s="2">
        <f t="shared" si="79"/>
        <v>0</v>
      </c>
      <c r="CC9" s="2">
        <f t="shared" si="80"/>
        <v>0</v>
      </c>
      <c r="CD9" s="2">
        <f t="shared" si="81"/>
        <v>0</v>
      </c>
      <c r="CE9" s="2">
        <f t="shared" si="82"/>
        <v>4</v>
      </c>
      <c r="CF9" s="6">
        <f t="shared" si="83"/>
        <v>0</v>
      </c>
      <c r="CG9" s="6">
        <f t="shared" si="84"/>
        <v>311.315</v>
      </c>
      <c r="CH9" s="6">
        <f t="shared" si="85"/>
        <v>215</v>
      </c>
      <c r="CI9" s="20">
        <f t="shared" si="86"/>
        <v>0.69061882659043095</v>
      </c>
      <c r="CJ9" s="133">
        <f t="shared" si="87"/>
        <v>2521</v>
      </c>
      <c r="CK9" s="5">
        <f t="shared" si="88"/>
        <v>7.24</v>
      </c>
      <c r="CL9" s="302"/>
      <c r="CM9" s="298" t="s">
        <v>13</v>
      </c>
      <c r="CN9" s="298" t="s">
        <v>1150</v>
      </c>
      <c r="CO9" s="298">
        <v>33</v>
      </c>
      <c r="CP9" s="298" t="s">
        <v>1151</v>
      </c>
      <c r="CQ9" s="298" t="s">
        <v>1152</v>
      </c>
      <c r="CR9" s="298" t="s">
        <v>644</v>
      </c>
      <c r="CS9" s="298" t="s">
        <v>708</v>
      </c>
      <c r="CT9" s="298" t="s">
        <v>593</v>
      </c>
      <c r="CU9" s="299">
        <v>47118</v>
      </c>
      <c r="CV9" s="298">
        <v>2</v>
      </c>
      <c r="CW9" s="298">
        <v>900</v>
      </c>
      <c r="CX9" s="298">
        <v>4</v>
      </c>
      <c r="CY9" s="298">
        <v>2</v>
      </c>
      <c r="CZ9" s="298">
        <v>3</v>
      </c>
      <c r="DA9" s="298">
        <v>7</v>
      </c>
      <c r="DB9" s="298">
        <v>0</v>
      </c>
      <c r="DC9" s="298">
        <v>4.9000000000000004</v>
      </c>
      <c r="DD9" s="298">
        <v>5.5</v>
      </c>
      <c r="DE9" s="298">
        <v>6</v>
      </c>
      <c r="DF9" s="298">
        <v>0</v>
      </c>
      <c r="DG9" s="298">
        <v>0</v>
      </c>
      <c r="DH9" s="298">
        <v>0</v>
      </c>
      <c r="DI9" s="298">
        <v>4</v>
      </c>
      <c r="DJ9" s="298">
        <v>0</v>
      </c>
      <c r="DK9" s="298">
        <v>0</v>
      </c>
      <c r="DL9" s="298">
        <v>272</v>
      </c>
      <c r="DM9" s="298">
        <v>201</v>
      </c>
      <c r="DN9" s="298" t="s">
        <v>1153</v>
      </c>
      <c r="DO9" s="298">
        <v>0</v>
      </c>
      <c r="DP9" s="298">
        <v>0</v>
      </c>
      <c r="DQ9" s="298">
        <v>2</v>
      </c>
      <c r="DR9" s="298">
        <v>1</v>
      </c>
      <c r="DS9" s="298">
        <v>0</v>
      </c>
      <c r="DT9" s="298">
        <v>2</v>
      </c>
      <c r="DU9" s="298">
        <v>1</v>
      </c>
      <c r="DV9" s="303">
        <v>7.24</v>
      </c>
    </row>
    <row r="10" spans="1:126" ht="24.95" customHeight="1" thickBot="1" x14ac:dyDescent="0.3">
      <c r="A10" s="29" t="str">
        <f t="shared" si="0"/>
        <v>9º</v>
      </c>
      <c r="B10" s="69" t="str">
        <f t="shared" si="1"/>
        <v>Alan Alves</v>
      </c>
      <c r="C10" s="269" t="str">
        <f t="shared" si="2"/>
        <v>BRA</v>
      </c>
      <c r="D10" s="99" t="str">
        <f t="shared" si="3"/>
        <v>Pé Direito</v>
      </c>
      <c r="E10" s="28" t="str">
        <f t="shared" si="4"/>
        <v>Água Santa</v>
      </c>
      <c r="F10" s="169">
        <f t="shared" si="5"/>
        <v>31</v>
      </c>
      <c r="G10" s="2" t="str">
        <f t="shared" si="6"/>
        <v>Não está à venda</v>
      </c>
      <c r="H10" s="154">
        <f t="shared" si="7"/>
        <v>1.93</v>
      </c>
      <c r="I10" s="64">
        <f t="shared" si="8"/>
        <v>47483</v>
      </c>
      <c r="J10" s="304" t="str">
        <f t="shared" si="9"/>
        <v>4,6m € p/m</v>
      </c>
      <c r="K10" s="96">
        <f t="shared" si="10"/>
        <v>3.5222222222222221</v>
      </c>
      <c r="L10" s="146">
        <f t="shared" si="11"/>
        <v>2</v>
      </c>
      <c r="M10" s="6">
        <f t="shared" si="12"/>
        <v>0</v>
      </c>
      <c r="N10" s="5">
        <f t="shared" si="13"/>
        <v>5400</v>
      </c>
      <c r="O10" s="21">
        <f t="shared" si="14"/>
        <v>0</v>
      </c>
      <c r="P10" s="2">
        <f t="shared" si="15"/>
        <v>40</v>
      </c>
      <c r="Q10" s="2">
        <f t="shared" si="16"/>
        <v>22</v>
      </c>
      <c r="R10" s="5">
        <f t="shared" si="17"/>
        <v>11</v>
      </c>
      <c r="S10" s="2">
        <f t="shared" si="18"/>
        <v>18</v>
      </c>
      <c r="T10" s="2">
        <f t="shared" si="19"/>
        <v>4</v>
      </c>
      <c r="U10" s="102">
        <f t="shared" si="20"/>
        <v>0.45</v>
      </c>
      <c r="V10" s="102">
        <f t="shared" si="21"/>
        <v>0.55000000000000004</v>
      </c>
      <c r="W10" s="6">
        <f t="shared" si="22"/>
        <v>40</v>
      </c>
      <c r="X10" s="5">
        <f t="shared" si="23"/>
        <v>20</v>
      </c>
      <c r="Y10" s="6">
        <f t="shared" si="24"/>
        <v>0</v>
      </c>
      <c r="Z10" s="5">
        <f t="shared" si="25"/>
        <v>0</v>
      </c>
      <c r="AA10" s="21">
        <f t="shared" si="26"/>
        <v>0</v>
      </c>
      <c r="AB10" s="6">
        <f t="shared" si="27"/>
        <v>0</v>
      </c>
      <c r="AC10" s="5">
        <f t="shared" si="28"/>
        <v>0</v>
      </c>
      <c r="AD10" s="6">
        <f t="shared" si="29"/>
        <v>0</v>
      </c>
      <c r="AE10" s="5">
        <f t="shared" si="30"/>
        <v>0</v>
      </c>
      <c r="AF10" s="21">
        <f t="shared" si="31"/>
        <v>0</v>
      </c>
      <c r="AG10" s="6">
        <f t="shared" si="32"/>
        <v>0</v>
      </c>
      <c r="AH10" s="5">
        <f t="shared" si="33"/>
        <v>0</v>
      </c>
      <c r="AI10" s="21">
        <f t="shared" si="34"/>
        <v>0</v>
      </c>
      <c r="AJ10" s="6">
        <f t="shared" si="35"/>
        <v>0</v>
      </c>
      <c r="AK10" s="5">
        <f t="shared" si="36"/>
        <v>0</v>
      </c>
      <c r="AL10" s="21">
        <f t="shared" si="37"/>
        <v>0</v>
      </c>
      <c r="AM10" s="21">
        <f t="shared" si="38"/>
        <v>0.5</v>
      </c>
      <c r="AN10" s="6">
        <f t="shared" si="39"/>
        <v>1</v>
      </c>
      <c r="AO10" s="5">
        <f t="shared" si="40"/>
        <v>0.5</v>
      </c>
      <c r="AP10" s="6">
        <f t="shared" si="41"/>
        <v>0</v>
      </c>
      <c r="AQ10" s="5">
        <f t="shared" si="42"/>
        <v>0</v>
      </c>
      <c r="AR10" s="2">
        <f t="shared" si="43"/>
        <v>1</v>
      </c>
      <c r="AS10" s="5">
        <f t="shared" si="44"/>
        <v>0.5</v>
      </c>
      <c r="AT10" s="21">
        <f t="shared" si="45"/>
        <v>0</v>
      </c>
      <c r="AU10" s="20">
        <f t="shared" si="46"/>
        <v>0</v>
      </c>
      <c r="AV10" s="20">
        <f t="shared" si="47"/>
        <v>1</v>
      </c>
      <c r="AW10" s="199">
        <f t="shared" si="48"/>
        <v>0</v>
      </c>
      <c r="AX10" s="24">
        <f t="shared" si="49"/>
        <v>180</v>
      </c>
      <c r="AY10" s="5">
        <f t="shared" si="50"/>
        <v>1</v>
      </c>
      <c r="AZ10" s="5">
        <f t="shared" si="51"/>
        <v>1</v>
      </c>
      <c r="BA10" s="5">
        <f t="shared" si="52"/>
        <v>0</v>
      </c>
      <c r="BB10" s="5">
        <f t="shared" si="53"/>
        <v>0</v>
      </c>
      <c r="BC10" s="5">
        <f t="shared" si="54"/>
        <v>0</v>
      </c>
      <c r="BD10" s="5">
        <f t="shared" si="55"/>
        <v>0</v>
      </c>
      <c r="BE10" s="199">
        <f t="shared" si="56"/>
        <v>0</v>
      </c>
      <c r="BF10" s="21">
        <f t="shared" si="57"/>
        <v>0</v>
      </c>
      <c r="BG10" s="6">
        <f t="shared" si="58"/>
        <v>0</v>
      </c>
      <c r="BH10" s="5">
        <f t="shared" si="59"/>
        <v>0</v>
      </c>
      <c r="BI10" s="6">
        <f t="shared" si="60"/>
        <v>0</v>
      </c>
      <c r="BJ10" s="5">
        <f t="shared" si="61"/>
        <v>0</v>
      </c>
      <c r="BK10" s="20">
        <f t="shared" si="62"/>
        <v>-9.9999999999999998E-13</v>
      </c>
      <c r="BL10" s="20">
        <f t="shared" si="63"/>
        <v>6.7430883344571813E-4</v>
      </c>
      <c r="BM10" s="6">
        <f t="shared" si="64"/>
        <v>1</v>
      </c>
      <c r="BN10" s="5">
        <f t="shared" si="65"/>
        <v>0.5</v>
      </c>
      <c r="BO10" s="333">
        <f t="shared" si="66"/>
        <v>0</v>
      </c>
      <c r="BP10" s="334">
        <f t="shared" si="67"/>
        <v>0</v>
      </c>
      <c r="BQ10" s="6">
        <f t="shared" si="68"/>
        <v>0</v>
      </c>
      <c r="BR10" s="5">
        <f t="shared" si="69"/>
        <v>0</v>
      </c>
      <c r="BS10" s="6">
        <f t="shared" si="70"/>
        <v>0</v>
      </c>
      <c r="BT10" s="5">
        <f t="shared" si="71"/>
        <v>0</v>
      </c>
      <c r="BU10" s="181">
        <f t="shared" si="72"/>
        <v>0</v>
      </c>
      <c r="BV10" s="154">
        <f t="shared" si="73"/>
        <v>0</v>
      </c>
      <c r="BW10" s="181">
        <f t="shared" si="74"/>
        <v>0</v>
      </c>
      <c r="BX10" s="180">
        <f t="shared" si="75"/>
        <v>0</v>
      </c>
      <c r="BY10" s="181">
        <f t="shared" si="76"/>
        <v>0</v>
      </c>
      <c r="BZ10" s="154">
        <f t="shared" si="77"/>
        <v>0</v>
      </c>
      <c r="CA10" s="182">
        <f t="shared" si="78"/>
        <v>0</v>
      </c>
      <c r="CB10" s="2">
        <f t="shared" si="79"/>
        <v>0</v>
      </c>
      <c r="CC10" s="2">
        <f t="shared" si="80"/>
        <v>0</v>
      </c>
      <c r="CD10" s="2">
        <f t="shared" si="81"/>
        <v>0</v>
      </c>
      <c r="CE10" s="2">
        <f t="shared" si="82"/>
        <v>4</v>
      </c>
      <c r="CF10" s="6">
        <f t="shared" si="83"/>
        <v>0</v>
      </c>
      <c r="CG10" s="6">
        <f t="shared" si="84"/>
        <v>43</v>
      </c>
      <c r="CH10" s="6">
        <f t="shared" si="85"/>
        <v>22</v>
      </c>
      <c r="CI10" s="20">
        <f t="shared" si="86"/>
        <v>0.51162790697674421</v>
      </c>
      <c r="CJ10" s="133">
        <f t="shared" si="87"/>
        <v>2521</v>
      </c>
      <c r="CK10" s="5">
        <f t="shared" si="88"/>
        <v>6.8</v>
      </c>
      <c r="CL10" s="300"/>
      <c r="CM10" s="296" t="s">
        <v>13</v>
      </c>
      <c r="CN10" s="296" t="s">
        <v>1154</v>
      </c>
      <c r="CO10" s="296">
        <v>31</v>
      </c>
      <c r="CP10" s="296" t="s">
        <v>1155</v>
      </c>
      <c r="CQ10" s="296" t="s">
        <v>413</v>
      </c>
      <c r="CR10" s="296" t="s">
        <v>644</v>
      </c>
      <c r="CS10" s="296" t="s">
        <v>1156</v>
      </c>
      <c r="CT10" s="296" t="s">
        <v>1123</v>
      </c>
      <c r="CU10" s="297">
        <v>47483</v>
      </c>
      <c r="CV10" s="296">
        <v>0</v>
      </c>
      <c r="CW10" s="296">
        <v>180</v>
      </c>
      <c r="CX10" s="296">
        <v>1</v>
      </c>
      <c r="CY10" s="296">
        <v>0</v>
      </c>
      <c r="CZ10" s="296">
        <v>0</v>
      </c>
      <c r="DA10" s="296">
        <v>0</v>
      </c>
      <c r="DB10" s="296">
        <v>0</v>
      </c>
      <c r="DC10" s="296">
        <v>0</v>
      </c>
      <c r="DD10" s="296">
        <v>0</v>
      </c>
      <c r="DE10" s="296">
        <v>1</v>
      </c>
      <c r="DF10" s="296">
        <v>0</v>
      </c>
      <c r="DG10" s="296">
        <v>0</v>
      </c>
      <c r="DH10" s="296">
        <v>0</v>
      </c>
      <c r="DI10" s="296">
        <v>4</v>
      </c>
      <c r="DJ10" s="296">
        <v>0</v>
      </c>
      <c r="DK10" s="296">
        <v>0</v>
      </c>
      <c r="DL10" s="296">
        <v>40</v>
      </c>
      <c r="DM10" s="296">
        <v>22</v>
      </c>
      <c r="DN10" s="296">
        <v>0</v>
      </c>
      <c r="DO10" s="296">
        <v>0</v>
      </c>
      <c r="DP10" s="296">
        <v>0</v>
      </c>
      <c r="DQ10" s="296">
        <v>0</v>
      </c>
      <c r="DR10" s="296">
        <v>0</v>
      </c>
      <c r="DS10" s="296">
        <v>0</v>
      </c>
      <c r="DT10" s="296">
        <v>0</v>
      </c>
      <c r="DU10" s="296">
        <v>0</v>
      </c>
      <c r="DV10" s="301">
        <v>6.8</v>
      </c>
    </row>
    <row r="11" spans="1:126" ht="24.95" customHeight="1" thickBot="1" x14ac:dyDescent="0.3">
      <c r="A11" s="29" t="str">
        <f t="shared" si="0"/>
        <v>10º</v>
      </c>
      <c r="B11" s="69" t="str">
        <f t="shared" si="1"/>
        <v>Léo Lopes</v>
      </c>
      <c r="C11" s="269" t="str">
        <f t="shared" si="2"/>
        <v>BRA</v>
      </c>
      <c r="D11" s="99" t="str">
        <f t="shared" si="3"/>
        <v>Pé Direito</v>
      </c>
      <c r="E11" s="28" t="str">
        <f t="shared" si="4"/>
        <v>Central (PE)</v>
      </c>
      <c r="F11" s="169">
        <f t="shared" si="5"/>
        <v>30</v>
      </c>
      <c r="G11" s="2" t="str">
        <f t="shared" si="6"/>
        <v>0 €</v>
      </c>
      <c r="H11" s="154">
        <f t="shared" si="7"/>
        <v>1.87</v>
      </c>
      <c r="I11" s="64">
        <f t="shared" si="8"/>
        <v>47118</v>
      </c>
      <c r="J11" s="304" t="str">
        <f t="shared" si="9"/>
        <v>2,3m € p/m</v>
      </c>
      <c r="K11" s="96">
        <f t="shared" si="10"/>
        <v>3.5222222222222221</v>
      </c>
      <c r="L11" s="146">
        <f t="shared" si="11"/>
        <v>10</v>
      </c>
      <c r="M11" s="6">
        <f t="shared" si="12"/>
        <v>1</v>
      </c>
      <c r="N11" s="5">
        <f t="shared" si="13"/>
        <v>900</v>
      </c>
      <c r="O11" s="21">
        <f t="shared" si="14"/>
        <v>0.1</v>
      </c>
      <c r="P11" s="2">
        <f t="shared" si="15"/>
        <v>242</v>
      </c>
      <c r="Q11" s="2">
        <f t="shared" si="16"/>
        <v>161</v>
      </c>
      <c r="R11" s="5">
        <f t="shared" si="17"/>
        <v>16.100000000000001</v>
      </c>
      <c r="S11" s="2">
        <f t="shared" si="18"/>
        <v>81</v>
      </c>
      <c r="T11" s="2">
        <f t="shared" si="19"/>
        <v>80</v>
      </c>
      <c r="U11" s="102">
        <f t="shared" si="20"/>
        <v>0.33471074380165289</v>
      </c>
      <c r="V11" s="102">
        <f t="shared" si="21"/>
        <v>0.66528925619834711</v>
      </c>
      <c r="W11" s="6">
        <f t="shared" si="22"/>
        <v>242</v>
      </c>
      <c r="X11" s="5">
        <f t="shared" si="23"/>
        <v>24.2</v>
      </c>
      <c r="Y11" s="6">
        <f t="shared" si="24"/>
        <v>0</v>
      </c>
      <c r="Z11" s="5">
        <f t="shared" si="25"/>
        <v>0</v>
      </c>
      <c r="AA11" s="21">
        <f t="shared" si="26"/>
        <v>0</v>
      </c>
      <c r="AB11" s="6">
        <f t="shared" si="27"/>
        <v>0</v>
      </c>
      <c r="AC11" s="5">
        <f t="shared" si="28"/>
        <v>0</v>
      </c>
      <c r="AD11" s="6">
        <f t="shared" si="29"/>
        <v>8</v>
      </c>
      <c r="AE11" s="5">
        <f t="shared" si="30"/>
        <v>0.8</v>
      </c>
      <c r="AF11" s="21">
        <f t="shared" si="31"/>
        <v>0.36363636363636365</v>
      </c>
      <c r="AG11" s="6">
        <f t="shared" si="32"/>
        <v>2</v>
      </c>
      <c r="AH11" s="5">
        <f t="shared" si="33"/>
        <v>0.2</v>
      </c>
      <c r="AI11" s="21">
        <f t="shared" si="34"/>
        <v>9.0909090909090912E-2</v>
      </c>
      <c r="AJ11" s="6">
        <f t="shared" si="35"/>
        <v>12</v>
      </c>
      <c r="AK11" s="5">
        <f t="shared" si="36"/>
        <v>0.74534161490683226</v>
      </c>
      <c r="AL11" s="21">
        <f t="shared" si="37"/>
        <v>0.54545454545454541</v>
      </c>
      <c r="AM11" s="21">
        <f t="shared" si="38"/>
        <v>0.5</v>
      </c>
      <c r="AN11" s="6">
        <f t="shared" si="39"/>
        <v>5</v>
      </c>
      <c r="AO11" s="5">
        <f t="shared" si="40"/>
        <v>0.5</v>
      </c>
      <c r="AP11" s="6">
        <f t="shared" si="41"/>
        <v>22</v>
      </c>
      <c r="AQ11" s="5">
        <f t="shared" si="42"/>
        <v>2.2000000000000002</v>
      </c>
      <c r="AR11" s="2">
        <f t="shared" si="43"/>
        <v>33</v>
      </c>
      <c r="AS11" s="5">
        <f t="shared" si="44"/>
        <v>3.3</v>
      </c>
      <c r="AT11" s="21">
        <f t="shared" si="45"/>
        <v>0.66666666666666663</v>
      </c>
      <c r="AU11" s="20">
        <f t="shared" si="46"/>
        <v>0.56000000000000005</v>
      </c>
      <c r="AV11" s="20">
        <f t="shared" si="47"/>
        <v>0.33333333333333337</v>
      </c>
      <c r="AW11" s="199">
        <f t="shared" si="48"/>
        <v>0.90909090909090906</v>
      </c>
      <c r="AX11" s="24">
        <f t="shared" si="49"/>
        <v>81.818181818181813</v>
      </c>
      <c r="AY11" s="5">
        <f t="shared" si="50"/>
        <v>3</v>
      </c>
      <c r="AZ11" s="5">
        <f t="shared" si="51"/>
        <v>2.2727272727272729</v>
      </c>
      <c r="BA11" s="5">
        <f t="shared" si="52"/>
        <v>1.27</v>
      </c>
      <c r="BB11" s="5">
        <f t="shared" si="53"/>
        <v>0.127</v>
      </c>
      <c r="BC11" s="5">
        <f t="shared" si="54"/>
        <v>1.27</v>
      </c>
      <c r="BD11" s="5">
        <f t="shared" si="55"/>
        <v>0.127</v>
      </c>
      <c r="BE11" s="199">
        <f t="shared" si="56"/>
        <v>0.254</v>
      </c>
      <c r="BF11" s="21">
        <f t="shared" si="57"/>
        <v>0.10350448247758762</v>
      </c>
      <c r="BG11" s="6">
        <f t="shared" si="58"/>
        <v>0</v>
      </c>
      <c r="BH11" s="5">
        <f t="shared" si="59"/>
        <v>0</v>
      </c>
      <c r="BI11" s="6">
        <f t="shared" si="60"/>
        <v>0</v>
      </c>
      <c r="BJ11" s="5">
        <f t="shared" si="61"/>
        <v>0</v>
      </c>
      <c r="BK11" s="20">
        <f t="shared" si="62"/>
        <v>-9.9999999999999998E-13</v>
      </c>
      <c r="BL11" s="20">
        <f t="shared" si="63"/>
        <v>7.4173971679028991E-3</v>
      </c>
      <c r="BM11" s="6">
        <f t="shared" si="64"/>
        <v>11</v>
      </c>
      <c r="BN11" s="5">
        <f t="shared" si="65"/>
        <v>1.1000000000000001</v>
      </c>
      <c r="BO11" s="333">
        <f t="shared" si="66"/>
        <v>0</v>
      </c>
      <c r="BP11" s="334">
        <f t="shared" si="67"/>
        <v>0</v>
      </c>
      <c r="BQ11" s="6">
        <f t="shared" si="68"/>
        <v>21</v>
      </c>
      <c r="BR11" s="5">
        <f t="shared" si="69"/>
        <v>2.1</v>
      </c>
      <c r="BS11" s="6">
        <f t="shared" si="70"/>
        <v>80</v>
      </c>
      <c r="BT11" s="5">
        <f t="shared" si="71"/>
        <v>8</v>
      </c>
      <c r="BU11" s="181">
        <f t="shared" si="72"/>
        <v>0</v>
      </c>
      <c r="BV11" s="154">
        <f t="shared" si="73"/>
        <v>0</v>
      </c>
      <c r="BW11" s="181">
        <f t="shared" si="74"/>
        <v>0</v>
      </c>
      <c r="BX11" s="180">
        <f t="shared" si="75"/>
        <v>0</v>
      </c>
      <c r="BY11" s="181">
        <f t="shared" si="76"/>
        <v>0</v>
      </c>
      <c r="BZ11" s="154">
        <f t="shared" si="77"/>
        <v>0</v>
      </c>
      <c r="CA11" s="182">
        <f t="shared" si="78"/>
        <v>0</v>
      </c>
      <c r="CB11" s="2">
        <f t="shared" si="79"/>
        <v>0</v>
      </c>
      <c r="CC11" s="2">
        <f t="shared" si="80"/>
        <v>0</v>
      </c>
      <c r="CD11" s="2">
        <f t="shared" si="81"/>
        <v>0</v>
      </c>
      <c r="CE11" s="2">
        <f t="shared" si="82"/>
        <v>9</v>
      </c>
      <c r="CF11" s="6">
        <f t="shared" si="83"/>
        <v>0</v>
      </c>
      <c r="CG11" s="6">
        <f t="shared" si="84"/>
        <v>295.64</v>
      </c>
      <c r="CH11" s="6">
        <f t="shared" si="85"/>
        <v>183</v>
      </c>
      <c r="CI11" s="20">
        <f t="shared" si="86"/>
        <v>0.61899607630902453</v>
      </c>
      <c r="CJ11" s="133">
        <f t="shared" si="87"/>
        <v>2521</v>
      </c>
      <c r="CK11" s="5">
        <f t="shared" si="88"/>
        <v>6.94</v>
      </c>
      <c r="CL11" s="302"/>
      <c r="CM11" s="298" t="s">
        <v>13</v>
      </c>
      <c r="CN11" s="298" t="s">
        <v>1157</v>
      </c>
      <c r="CO11" s="298">
        <v>30</v>
      </c>
      <c r="CP11" s="298" t="s">
        <v>1158</v>
      </c>
      <c r="CQ11" s="298" t="s">
        <v>1131</v>
      </c>
      <c r="CR11" s="298" t="s">
        <v>644</v>
      </c>
      <c r="CS11" s="298" t="s">
        <v>1159</v>
      </c>
      <c r="CT11" s="298" t="s">
        <v>911</v>
      </c>
      <c r="CU11" s="299">
        <v>47118</v>
      </c>
      <c r="CV11" s="298">
        <v>1</v>
      </c>
      <c r="CW11" s="298">
        <v>900</v>
      </c>
      <c r="CX11" s="298">
        <v>11</v>
      </c>
      <c r="CY11" s="298">
        <v>8</v>
      </c>
      <c r="CZ11" s="298">
        <v>2</v>
      </c>
      <c r="DA11" s="298">
        <v>12</v>
      </c>
      <c r="DB11" s="298">
        <v>0</v>
      </c>
      <c r="DC11" s="298">
        <v>2.1</v>
      </c>
      <c r="DD11" s="298">
        <v>8</v>
      </c>
      <c r="DE11" s="298">
        <v>5</v>
      </c>
      <c r="DF11" s="298">
        <v>0</v>
      </c>
      <c r="DG11" s="298">
        <v>0</v>
      </c>
      <c r="DH11" s="298">
        <v>0</v>
      </c>
      <c r="DI11" s="298">
        <v>9</v>
      </c>
      <c r="DJ11" s="298">
        <v>0</v>
      </c>
      <c r="DK11" s="298">
        <v>0</v>
      </c>
      <c r="DL11" s="298">
        <v>242</v>
      </c>
      <c r="DM11" s="298">
        <v>161</v>
      </c>
      <c r="DN11" s="298" t="s">
        <v>1160</v>
      </c>
      <c r="DO11" s="298">
        <v>0</v>
      </c>
      <c r="DP11" s="298">
        <v>0</v>
      </c>
      <c r="DQ11" s="298">
        <v>0</v>
      </c>
      <c r="DR11" s="298">
        <v>0</v>
      </c>
      <c r="DS11" s="298">
        <v>0</v>
      </c>
      <c r="DT11" s="298">
        <v>0</v>
      </c>
      <c r="DU11" s="298">
        <v>0</v>
      </c>
      <c r="DV11" s="303">
        <v>6.94</v>
      </c>
    </row>
    <row r="12" spans="1:126" ht="24.95" customHeight="1" thickBot="1" x14ac:dyDescent="0.3">
      <c r="A12" s="29" t="str">
        <f t="shared" si="0"/>
        <v>11º</v>
      </c>
      <c r="B12" s="69" t="str">
        <f t="shared" ref="B12:B75" si="89">CP12</f>
        <v>Vitor Luiz</v>
      </c>
      <c r="C12" s="269" t="str">
        <f t="shared" ref="C12:C75" si="90">CM12</f>
        <v>BRA</v>
      </c>
      <c r="D12" s="99" t="str">
        <f t="shared" ref="D12:D75" si="91">CR12</f>
        <v>Somente Pé Direito</v>
      </c>
      <c r="E12" s="28" t="str">
        <f t="shared" ref="E12:E75" si="92">CN12</f>
        <v>Resende</v>
      </c>
      <c r="F12" s="169">
        <f t="shared" ref="F12:F75" si="93">CO12</f>
        <v>32</v>
      </c>
      <c r="G12" s="2" t="str">
        <f t="shared" ref="G12:G75" si="94">CQ12</f>
        <v>0 €</v>
      </c>
      <c r="H12" s="154">
        <f t="shared" ref="H12:H75" si="95">IFERROR(SUBSTITUTE(CT12," cm","")/100,0)</f>
        <v>1.88</v>
      </c>
      <c r="I12" s="64">
        <f t="shared" ref="I12:I75" si="96">IF(CU12="-", "Sem Data Final", CU12)</f>
        <v>47118</v>
      </c>
      <c r="J12" s="304" t="str">
        <f t="shared" ref="J12:J75" si="97">IFERROR(CS12,0)</f>
        <v>1,2m € p/m</v>
      </c>
      <c r="K12" s="96">
        <f t="shared" si="10"/>
        <v>3.5222222222222221</v>
      </c>
      <c r="L12" s="146">
        <f t="shared" ref="L12:L75" si="98">IFERROR(CW12/90,0)</f>
        <v>0</v>
      </c>
      <c r="M12" s="6">
        <f t="shared" ref="M12:M75" si="99">CV12</f>
        <v>0</v>
      </c>
      <c r="N12" s="5">
        <f t="shared" ref="N12:N75" si="100">IFERROR((CW12/M12),5400)</f>
        <v>5400</v>
      </c>
      <c r="O12" s="21">
        <f t="shared" ref="O12:O75" si="101">IFERROR((M12*1)/L12,0)</f>
        <v>0</v>
      </c>
      <c r="P12" s="2">
        <f t="shared" ref="P12:P75" si="102">DL12</f>
        <v>0</v>
      </c>
      <c r="Q12" s="2">
        <f t="shared" ref="Q12:Q75" si="103">DM12</f>
        <v>0</v>
      </c>
      <c r="R12" s="5">
        <f t="shared" ref="R12:R75" si="104">IFERROR((Q12/L12),0)</f>
        <v>0</v>
      </c>
      <c r="S12" s="2">
        <f t="shared" ref="S12:S75" si="105">IFERROR(P12-Q12,0)</f>
        <v>0</v>
      </c>
      <c r="T12" s="2">
        <f t="shared" ref="T12:T75" si="106">IFERROR(Q12-S12,0)</f>
        <v>0</v>
      </c>
      <c r="U12" s="102">
        <f t="shared" ref="U12:U75" si="107">IFERROR(((P12-Q12)*1)/P12,0)</f>
        <v>0</v>
      </c>
      <c r="V12" s="102">
        <f t="shared" ref="V12:V75" si="108">IFERROR((Q12*1)/P12,0)</f>
        <v>0</v>
      </c>
      <c r="W12" s="6">
        <f t="shared" ref="W12:W75" si="109">DL12-DJ12</f>
        <v>0</v>
      </c>
      <c r="X12" s="5">
        <f t="shared" ref="X12:X75" si="110">IFERROR(W12/L12,0)</f>
        <v>0</v>
      </c>
      <c r="Y12" s="6">
        <f t="shared" ref="Y12:Y75" si="111">DJ12</f>
        <v>0</v>
      </c>
      <c r="Z12" s="5" t="e">
        <f t="shared" ref="Z12:Z75" si="112">Y12/L12</f>
        <v>#DIV/0!</v>
      </c>
      <c r="AA12" s="21">
        <f t="shared" ref="AA12:AA75" si="113">IFERROR(Y12/W12,0)</f>
        <v>0</v>
      </c>
      <c r="AB12" s="6">
        <f t="shared" ref="AB12:AB75" si="114">DK12</f>
        <v>0</v>
      </c>
      <c r="AC12" s="5" t="e">
        <f t="shared" ref="AC12:AC75" si="115">AB12/L12</f>
        <v>#DIV/0!</v>
      </c>
      <c r="AD12" s="6">
        <f t="shared" ref="AD12:AD75" si="116">CY12</f>
        <v>0</v>
      </c>
      <c r="AE12" s="5">
        <f t="shared" ref="AE12:AE75" si="117">IFERROR(AD12/L12,0)</f>
        <v>0</v>
      </c>
      <c r="AF12" s="21">
        <f t="shared" ref="AF12:AF75" si="118">IFERROR((AD12*1)/AP12,0)</f>
        <v>0</v>
      </c>
      <c r="AG12" s="6">
        <f t="shared" ref="AG12:AG75" si="119">CZ12</f>
        <v>0</v>
      </c>
      <c r="AH12" s="5">
        <f t="shared" ref="AH12:AH75" si="120">IFERROR(AG12/L12,0)</f>
        <v>0</v>
      </c>
      <c r="AI12" s="21">
        <f t="shared" ref="AI12:AI75" si="121">IFERROR((AG12*1)/AP12,0)</f>
        <v>0</v>
      </c>
      <c r="AJ12" s="6">
        <f t="shared" ref="AJ12:AJ75" si="122">DA12</f>
        <v>0</v>
      </c>
      <c r="AK12" s="5">
        <f t="shared" ref="AK12:AK75" si="123">IFERROR(AJ12/R12,0)</f>
        <v>0</v>
      </c>
      <c r="AL12" s="21">
        <f t="shared" ref="AL12:AL75" si="124">IFERROR((AJ12*1)/AP12,0)</f>
        <v>0</v>
      </c>
      <c r="AM12" s="21">
        <f t="shared" ref="AM12:AM75" si="125">IFERROR((AN12*1)/L12,0)</f>
        <v>0</v>
      </c>
      <c r="AN12" s="6">
        <f t="shared" ref="AN12:AN75" si="126">DE12</f>
        <v>0</v>
      </c>
      <c r="AO12" s="5">
        <f t="shared" ref="AO12:AO75" si="127">IFERROR(AN12/L12,0)</f>
        <v>0</v>
      </c>
      <c r="AP12" s="6">
        <f t="shared" ref="AP12:AP75" si="128">IFERROR(CY12+CZ12+DA12,0)</f>
        <v>0</v>
      </c>
      <c r="AQ12" s="5">
        <f t="shared" ref="AQ12:AQ75" si="129">IFERROR(AP12/L12,0)</f>
        <v>0</v>
      </c>
      <c r="AR12" s="2">
        <f t="shared" ref="AR12:AR75" si="130">IFERROR((CZ12+DA12+CY12+CX12),0)</f>
        <v>0</v>
      </c>
      <c r="AS12" s="5">
        <f t="shared" ref="AS12:AS75" si="131">IFERROR(AR12/L12,0)</f>
        <v>0</v>
      </c>
      <c r="AT12" s="21">
        <f t="shared" ref="AT12:AT75" si="132">IFERROR(AP12/AR12,0)</f>
        <v>0</v>
      </c>
      <c r="AU12" s="20">
        <f t="shared" ref="AU12:AU75" si="133">IFERROR(((CZ12+DA12+BI12)*1)/(AR12-CY12),0)</f>
        <v>0</v>
      </c>
      <c r="AV12" s="20">
        <f t="shared" ref="AV12:AV75" si="134">IFERROR((BN12*1)/AS12,1)</f>
        <v>1</v>
      </c>
      <c r="AW12" s="199">
        <f t="shared" ref="AW12:AW75" si="135">IFERROR((AG12*2+AJ12*1.5+AD12*1)/AR12,0)</f>
        <v>0</v>
      </c>
      <c r="AX12" s="24">
        <f t="shared" ref="AX12:AX75" si="136">IFERROR(CW12/CX12,0)</f>
        <v>0</v>
      </c>
      <c r="AY12" s="5">
        <f t="shared" ref="AY12:AY75" si="137">IFERROR((CX12+CY12+CZ12+DA12)/CX12,0)</f>
        <v>0</v>
      </c>
      <c r="AZ12" s="5">
        <f t="shared" ref="AZ12:AZ75" si="138">IFERROR((CX12+CZ12+DA12)/CX12,0)</f>
        <v>0</v>
      </c>
      <c r="BA12" s="5">
        <f t="shared" ref="BA12:BA75" si="139">IF(DN12="-","Sem Dados",VALUE(SUBSTITUTE(DN12,".",","))
)</f>
        <v>0</v>
      </c>
      <c r="BB12" s="5">
        <f t="shared" ref="BB12:BB75" si="140">IFERROR(BA12/L12,0)</f>
        <v>0</v>
      </c>
      <c r="BC12" s="5">
        <f t="shared" ref="BC12:BC75" si="141">IFERROR(BA12-(BI12*0.79),-100)</f>
        <v>0</v>
      </c>
      <c r="BD12" s="5">
        <f t="shared" ref="BD12:BD75" si="142">IFERROR(BC12/L12,0)</f>
        <v>0</v>
      </c>
      <c r="BE12" s="199">
        <f t="shared" ref="BE12:BE75" si="143">IFERROR(BB12/AO12,BB12)</f>
        <v>0</v>
      </c>
      <c r="BF12" s="21">
        <f t="shared" ref="BF12:BF75" si="144">IFERROR(BA12/(BA12+CX12),0)</f>
        <v>0</v>
      </c>
      <c r="BG12" s="6">
        <f t="shared" ref="BG12:BG75" si="145">DT12</f>
        <v>0</v>
      </c>
      <c r="BH12" s="5" t="e">
        <f t="shared" ref="BH12:BH75" si="146">BG12/L12</f>
        <v>#DIV/0!</v>
      </c>
      <c r="BI12" s="6">
        <f t="shared" ref="BI12:BI75" si="147">DU12</f>
        <v>0</v>
      </c>
      <c r="BJ12" s="5" t="e">
        <f t="shared" ref="BJ12:BJ75" si="148">BI12/L12</f>
        <v>#DIV/0!</v>
      </c>
      <c r="BK12" s="20">
        <f t="shared" ref="BK12:BK75" si="149">IFERROR((DU12*1)/DT12,-0.000000000001)</f>
        <v>-9.9999999999999998E-13</v>
      </c>
      <c r="BL12" s="20">
        <f t="shared" ref="BL12:BL75" si="150">IFERROR((CX12*1)/SUM(CX:CX),0)</f>
        <v>0</v>
      </c>
      <c r="BM12" s="6">
        <f t="shared" ref="BM12:BM75" si="151">CX12</f>
        <v>0</v>
      </c>
      <c r="BN12" s="5">
        <f t="shared" ref="BN12:BN75" si="152">IFERROR(BM12/L12,0)</f>
        <v>0</v>
      </c>
      <c r="BO12" s="333">
        <f t="shared" ref="BO12:BO75" si="153">DP12</f>
        <v>0</v>
      </c>
      <c r="BP12" s="334">
        <f t="shared" ref="BP12:BP75" si="154">IFERROR(BO12/L12,0)</f>
        <v>0</v>
      </c>
      <c r="BQ12" s="6">
        <f t="shared" ref="BQ12:BQ75" si="155">IFERROR(BR12*L12,0)</f>
        <v>0</v>
      </c>
      <c r="BR12" s="5">
        <f t="shared" ref="BR12:BR75" si="156">DC12</f>
        <v>0</v>
      </c>
      <c r="BS12" s="6">
        <f t="shared" ref="BS12:BS75" si="157">IFERROR(BT12*L12,0)</f>
        <v>0</v>
      </c>
      <c r="BT12" s="5">
        <f t="shared" ref="BT12:BT75" si="158">DD12</f>
        <v>0</v>
      </c>
      <c r="BU12" s="181">
        <f t="shared" ref="BU12:BU75" si="159">IFERROR((DB12+DQ12+(DS12*2.5)+DF12+DP12),0)</f>
        <v>0</v>
      </c>
      <c r="BV12" s="154">
        <f t="shared" ref="BV12:BV75" si="160">IFERROR(BU12/L12,0)</f>
        <v>0</v>
      </c>
      <c r="BW12" s="181">
        <f t="shared" ref="BW12:BW75" si="161">IFERROR((DO12+DR12+(DS12*2.5)),0)</f>
        <v>0</v>
      </c>
      <c r="BX12" s="180">
        <f t="shared" ref="BX12:BX75" si="162">IFERROR(BW12/L12,0)</f>
        <v>0</v>
      </c>
      <c r="BY12" s="181">
        <f t="shared" ref="BY12:BY75" si="163">IFERROR((DB12-DO12)+(DQ12-DR12)+(DS12*2.5)+(DF12),0)</f>
        <v>0</v>
      </c>
      <c r="BZ12" s="154">
        <f t="shared" ref="BZ12:BZ75" si="164">IFERROR(BY12/L12,0)</f>
        <v>0</v>
      </c>
      <c r="CA12" s="182">
        <f t="shared" ref="CA12:CA75" si="165">IFERROR((BW12*1)/BU12,0)</f>
        <v>0</v>
      </c>
      <c r="CB12" s="2">
        <f t="shared" ref="CB12:CB75" si="166">DF12</f>
        <v>0</v>
      </c>
      <c r="CC12" s="2">
        <f t="shared" ref="CC12:CC75" si="167">DG12</f>
        <v>0</v>
      </c>
      <c r="CD12" s="2">
        <f t="shared" ref="CD12:CD75" si="168">IFERROR(CB12+CC12,0)</f>
        <v>0</v>
      </c>
      <c r="CE12" s="2">
        <f t="shared" ref="CE12:CE75" si="169">DI12</f>
        <v>0</v>
      </c>
      <c r="CF12" s="6">
        <f t="shared" ref="CF12:CF75" si="170">DH12</f>
        <v>0</v>
      </c>
      <c r="CG12" s="6">
        <f t="shared" ref="CG12:CG75" si="171">IFERROR(CY12+CX12+CZ12+DA12+DT12+DL12+DF12+(DD12*1.33)+(DE12*2)+(DP12*2.5)+DQ12+DB12,0)</f>
        <v>0</v>
      </c>
      <c r="CH12" s="6">
        <f t="shared" ref="CH12:CH75" si="172">IFERROR(CY12+CZ12+DA12+DU12+DM12+DR12+DO12,0)</f>
        <v>0</v>
      </c>
      <c r="CI12" s="20">
        <f t="shared" ref="CI12:CI75" si="173">IFERROR((CH12*1)/CG12,0)</f>
        <v>0</v>
      </c>
      <c r="CJ12" s="133">
        <f t="shared" ref="CJ12:CJ75" si="174">SUM(AR:AR)</f>
        <v>2521</v>
      </c>
      <c r="CK12" s="5">
        <f t="shared" ref="CK12:CK75" si="175">IFERROR(VALUE(SUBSTITUTE(DV12, ".", ",")),0)</f>
        <v>0</v>
      </c>
      <c r="CL12" s="300"/>
      <c r="CM12" s="296" t="s">
        <v>13</v>
      </c>
      <c r="CN12" s="296" t="s">
        <v>1161</v>
      </c>
      <c r="CO12" s="296">
        <v>32</v>
      </c>
      <c r="CP12" s="296" t="s">
        <v>1162</v>
      </c>
      <c r="CQ12" s="296" t="s">
        <v>1131</v>
      </c>
      <c r="CR12" s="296" t="s">
        <v>645</v>
      </c>
      <c r="CS12" s="296" t="s">
        <v>1163</v>
      </c>
      <c r="CT12" s="296" t="s">
        <v>552</v>
      </c>
      <c r="CU12" s="297">
        <v>47118</v>
      </c>
      <c r="CV12" s="296">
        <v>0</v>
      </c>
      <c r="CW12" s="296">
        <v>0</v>
      </c>
      <c r="CX12" s="296">
        <v>0</v>
      </c>
      <c r="CY12" s="296">
        <v>0</v>
      </c>
      <c r="CZ12" s="296">
        <v>0</v>
      </c>
      <c r="DA12" s="296">
        <v>0</v>
      </c>
      <c r="DB12" s="296">
        <v>0</v>
      </c>
      <c r="DC12" s="296">
        <v>0</v>
      </c>
      <c r="DD12" s="296">
        <v>0</v>
      </c>
      <c r="DE12" s="296">
        <v>0</v>
      </c>
      <c r="DF12" s="296">
        <v>0</v>
      </c>
      <c r="DG12" s="296">
        <v>0</v>
      </c>
      <c r="DH12" s="296">
        <v>0</v>
      </c>
      <c r="DI12" s="296">
        <v>0</v>
      </c>
      <c r="DJ12" s="296">
        <v>0</v>
      </c>
      <c r="DK12" s="296">
        <v>0</v>
      </c>
      <c r="DL12" s="296">
        <v>0</v>
      </c>
      <c r="DM12" s="296">
        <v>0</v>
      </c>
      <c r="DN12" s="296">
        <v>0</v>
      </c>
      <c r="DO12" s="296">
        <v>0</v>
      </c>
      <c r="DP12" s="296">
        <v>0</v>
      </c>
      <c r="DQ12" s="296">
        <v>0</v>
      </c>
      <c r="DR12" s="296">
        <v>0</v>
      </c>
      <c r="DS12" s="296">
        <v>0</v>
      </c>
      <c r="DT12" s="296">
        <v>0</v>
      </c>
      <c r="DU12" s="296">
        <v>0</v>
      </c>
      <c r="DV12" s="301" t="s">
        <v>548</v>
      </c>
    </row>
    <row r="13" spans="1:126" ht="24.95" customHeight="1" thickBot="1" x14ac:dyDescent="0.3">
      <c r="A13" s="29" t="str">
        <f t="shared" si="0"/>
        <v>12º</v>
      </c>
      <c r="B13" s="69" t="str">
        <f t="shared" si="89"/>
        <v>Cassiano</v>
      </c>
      <c r="C13" s="269" t="str">
        <f t="shared" si="90"/>
        <v>BRA</v>
      </c>
      <c r="D13" s="99" t="str">
        <f t="shared" si="91"/>
        <v>Somente Pé Direito</v>
      </c>
      <c r="E13" s="28" t="str">
        <f t="shared" si="92"/>
        <v>ECS</v>
      </c>
      <c r="F13" s="169">
        <f t="shared" si="93"/>
        <v>29</v>
      </c>
      <c r="G13" s="2" t="str">
        <f t="shared" si="94"/>
        <v>0 €</v>
      </c>
      <c r="H13" s="154">
        <f t="shared" si="95"/>
        <v>1.9</v>
      </c>
      <c r="I13" s="64">
        <f t="shared" si="96"/>
        <v>47118</v>
      </c>
      <c r="J13" s="304" t="str">
        <f t="shared" si="97"/>
        <v>2,4m € p/m</v>
      </c>
      <c r="K13" s="96">
        <f t="shared" si="10"/>
        <v>3.5222222222222221</v>
      </c>
      <c r="L13" s="146">
        <f t="shared" si="98"/>
        <v>12.177777777777777</v>
      </c>
      <c r="M13" s="6">
        <f t="shared" si="99"/>
        <v>0</v>
      </c>
      <c r="N13" s="5">
        <f t="shared" si="100"/>
        <v>5400</v>
      </c>
      <c r="O13" s="21">
        <f t="shared" si="101"/>
        <v>0</v>
      </c>
      <c r="P13" s="2">
        <f t="shared" si="102"/>
        <v>308</v>
      </c>
      <c r="Q13" s="2">
        <f t="shared" si="103"/>
        <v>212</v>
      </c>
      <c r="R13" s="5">
        <f t="shared" si="104"/>
        <v>17.408759124087592</v>
      </c>
      <c r="S13" s="2">
        <f t="shared" si="105"/>
        <v>96</v>
      </c>
      <c r="T13" s="2">
        <f t="shared" si="106"/>
        <v>116</v>
      </c>
      <c r="U13" s="102">
        <f t="shared" si="107"/>
        <v>0.31168831168831168</v>
      </c>
      <c r="V13" s="102">
        <f t="shared" si="108"/>
        <v>0.68831168831168832</v>
      </c>
      <c r="W13" s="6">
        <f t="shared" si="109"/>
        <v>308</v>
      </c>
      <c r="X13" s="5">
        <f t="shared" si="110"/>
        <v>25.29197080291971</v>
      </c>
      <c r="Y13" s="6">
        <f t="shared" si="111"/>
        <v>0</v>
      </c>
      <c r="Z13" s="5">
        <f t="shared" si="112"/>
        <v>0</v>
      </c>
      <c r="AA13" s="21">
        <f t="shared" si="113"/>
        <v>0</v>
      </c>
      <c r="AB13" s="6">
        <f t="shared" si="114"/>
        <v>0</v>
      </c>
      <c r="AC13" s="5">
        <f t="shared" si="115"/>
        <v>0</v>
      </c>
      <c r="AD13" s="6">
        <f t="shared" si="116"/>
        <v>6</v>
      </c>
      <c r="AE13" s="5">
        <f t="shared" si="117"/>
        <v>0.49270072992700731</v>
      </c>
      <c r="AF13" s="21">
        <f t="shared" si="118"/>
        <v>0.13636363636363635</v>
      </c>
      <c r="AG13" s="6">
        <f t="shared" si="119"/>
        <v>7</v>
      </c>
      <c r="AH13" s="5">
        <f t="shared" si="120"/>
        <v>0.57481751824817517</v>
      </c>
      <c r="AI13" s="21">
        <f t="shared" si="121"/>
        <v>0.15909090909090909</v>
      </c>
      <c r="AJ13" s="6">
        <f t="shared" si="122"/>
        <v>31</v>
      </c>
      <c r="AK13" s="5">
        <f t="shared" si="123"/>
        <v>1.780712788259958</v>
      </c>
      <c r="AL13" s="21">
        <f t="shared" si="124"/>
        <v>0.70454545454545459</v>
      </c>
      <c r="AM13" s="21">
        <f t="shared" si="125"/>
        <v>0.16423357664233579</v>
      </c>
      <c r="AN13" s="6">
        <f t="shared" si="126"/>
        <v>2</v>
      </c>
      <c r="AO13" s="5">
        <f t="shared" si="127"/>
        <v>0.16423357664233579</v>
      </c>
      <c r="AP13" s="6">
        <f t="shared" si="128"/>
        <v>44</v>
      </c>
      <c r="AQ13" s="5">
        <f t="shared" si="129"/>
        <v>3.613138686131387</v>
      </c>
      <c r="AR13" s="2">
        <f t="shared" si="130"/>
        <v>59</v>
      </c>
      <c r="AS13" s="5">
        <f t="shared" si="131"/>
        <v>4.8448905109489058</v>
      </c>
      <c r="AT13" s="21">
        <f t="shared" si="132"/>
        <v>0.74576271186440679</v>
      </c>
      <c r="AU13" s="20">
        <f t="shared" si="133"/>
        <v>0.71698113207547165</v>
      </c>
      <c r="AV13" s="20">
        <f t="shared" si="134"/>
        <v>0.25423728813559321</v>
      </c>
      <c r="AW13" s="199">
        <f t="shared" si="135"/>
        <v>1.1271186440677967</v>
      </c>
      <c r="AX13" s="24">
        <f t="shared" si="136"/>
        <v>73.066666666666663</v>
      </c>
      <c r="AY13" s="5">
        <f t="shared" si="137"/>
        <v>3.9333333333333331</v>
      </c>
      <c r="AZ13" s="5">
        <f t="shared" si="138"/>
        <v>3.5333333333333332</v>
      </c>
      <c r="BA13" s="5">
        <f t="shared" si="139"/>
        <v>8.94</v>
      </c>
      <c r="BB13" s="5">
        <f t="shared" si="140"/>
        <v>0.73412408759124093</v>
      </c>
      <c r="BC13" s="5">
        <f t="shared" si="141"/>
        <v>8.94</v>
      </c>
      <c r="BD13" s="5">
        <f t="shared" si="142"/>
        <v>0.73412408759124093</v>
      </c>
      <c r="BE13" s="199">
        <f t="shared" si="143"/>
        <v>4.47</v>
      </c>
      <c r="BF13" s="21">
        <f t="shared" si="144"/>
        <v>0.37343358395989978</v>
      </c>
      <c r="BG13" s="6">
        <f t="shared" si="145"/>
        <v>2</v>
      </c>
      <c r="BH13" s="5">
        <f t="shared" si="146"/>
        <v>0.16423357664233579</v>
      </c>
      <c r="BI13" s="6">
        <f t="shared" si="147"/>
        <v>0</v>
      </c>
      <c r="BJ13" s="5">
        <f t="shared" si="148"/>
        <v>0</v>
      </c>
      <c r="BK13" s="20">
        <f t="shared" si="149"/>
        <v>0</v>
      </c>
      <c r="BL13" s="20">
        <f t="shared" si="150"/>
        <v>1.0114632501685773E-2</v>
      </c>
      <c r="BM13" s="6">
        <f t="shared" si="151"/>
        <v>15</v>
      </c>
      <c r="BN13" s="5">
        <f t="shared" si="152"/>
        <v>1.2317518248175183</v>
      </c>
      <c r="BO13" s="333">
        <f t="shared" si="153"/>
        <v>0</v>
      </c>
      <c r="BP13" s="334">
        <f t="shared" si="154"/>
        <v>0</v>
      </c>
      <c r="BQ13" s="6">
        <f t="shared" si="155"/>
        <v>34.097777777777772</v>
      </c>
      <c r="BR13" s="5">
        <f t="shared" si="156"/>
        <v>2.8</v>
      </c>
      <c r="BS13" s="6">
        <f t="shared" si="157"/>
        <v>79.155555555555551</v>
      </c>
      <c r="BT13" s="5">
        <f t="shared" si="158"/>
        <v>6.5</v>
      </c>
      <c r="BU13" s="181">
        <f t="shared" si="159"/>
        <v>2</v>
      </c>
      <c r="BV13" s="154">
        <f t="shared" si="160"/>
        <v>0.16423357664233579</v>
      </c>
      <c r="BW13" s="181">
        <f t="shared" si="161"/>
        <v>0</v>
      </c>
      <c r="BX13" s="180">
        <f t="shared" si="162"/>
        <v>0</v>
      </c>
      <c r="BY13" s="181">
        <f t="shared" si="163"/>
        <v>2</v>
      </c>
      <c r="BZ13" s="154">
        <f t="shared" si="164"/>
        <v>0.16423357664233579</v>
      </c>
      <c r="CA13" s="182">
        <f t="shared" si="165"/>
        <v>0</v>
      </c>
      <c r="CB13" s="2">
        <f t="shared" si="166"/>
        <v>0</v>
      </c>
      <c r="CC13" s="2">
        <f t="shared" si="167"/>
        <v>0</v>
      </c>
      <c r="CD13" s="2">
        <f t="shared" si="168"/>
        <v>0</v>
      </c>
      <c r="CE13" s="2">
        <f t="shared" si="169"/>
        <v>1</v>
      </c>
      <c r="CF13" s="6">
        <f t="shared" si="170"/>
        <v>0</v>
      </c>
      <c r="CG13" s="6">
        <f t="shared" si="171"/>
        <v>383.64499999999998</v>
      </c>
      <c r="CH13" s="6">
        <f t="shared" si="172"/>
        <v>256</v>
      </c>
      <c r="CI13" s="20">
        <f t="shared" si="173"/>
        <v>0.66728355641282955</v>
      </c>
      <c r="CJ13" s="133">
        <f t="shared" si="174"/>
        <v>2521</v>
      </c>
      <c r="CK13" s="5">
        <f t="shared" si="175"/>
        <v>6.75</v>
      </c>
      <c r="CL13" s="302"/>
      <c r="CM13" s="298" t="s">
        <v>13</v>
      </c>
      <c r="CN13" s="298" t="s">
        <v>1164</v>
      </c>
      <c r="CO13" s="298">
        <v>29</v>
      </c>
      <c r="CP13" s="298" t="s">
        <v>1165</v>
      </c>
      <c r="CQ13" s="298" t="s">
        <v>1131</v>
      </c>
      <c r="CR13" s="298" t="s">
        <v>645</v>
      </c>
      <c r="CS13" s="298" t="s">
        <v>1166</v>
      </c>
      <c r="CT13" s="298" t="s">
        <v>682</v>
      </c>
      <c r="CU13" s="299">
        <v>47118</v>
      </c>
      <c r="CV13" s="298">
        <v>0</v>
      </c>
      <c r="CW13" s="298">
        <v>1096</v>
      </c>
      <c r="CX13" s="298">
        <v>15</v>
      </c>
      <c r="CY13" s="298">
        <v>6</v>
      </c>
      <c r="CZ13" s="298">
        <v>7</v>
      </c>
      <c r="DA13" s="298">
        <v>31</v>
      </c>
      <c r="DB13" s="298">
        <v>0</v>
      </c>
      <c r="DC13" s="298">
        <v>2.8</v>
      </c>
      <c r="DD13" s="298">
        <v>6.5</v>
      </c>
      <c r="DE13" s="298">
        <v>2</v>
      </c>
      <c r="DF13" s="298">
        <v>0</v>
      </c>
      <c r="DG13" s="298">
        <v>0</v>
      </c>
      <c r="DH13" s="298">
        <v>0</v>
      </c>
      <c r="DI13" s="298">
        <v>1</v>
      </c>
      <c r="DJ13" s="298">
        <v>0</v>
      </c>
      <c r="DK13" s="298">
        <v>0</v>
      </c>
      <c r="DL13" s="298">
        <v>308</v>
      </c>
      <c r="DM13" s="298">
        <v>212</v>
      </c>
      <c r="DN13" s="298" t="s">
        <v>1167</v>
      </c>
      <c r="DO13" s="298">
        <v>0</v>
      </c>
      <c r="DP13" s="298">
        <v>0</v>
      </c>
      <c r="DQ13" s="298">
        <v>2</v>
      </c>
      <c r="DR13" s="298">
        <v>0</v>
      </c>
      <c r="DS13" s="298">
        <v>0</v>
      </c>
      <c r="DT13" s="298">
        <v>2</v>
      </c>
      <c r="DU13" s="298">
        <v>0</v>
      </c>
      <c r="DV13" s="303">
        <v>6.75</v>
      </c>
    </row>
    <row r="14" spans="1:126" ht="24.95" customHeight="1" thickBot="1" x14ac:dyDescent="0.3">
      <c r="A14" s="29" t="str">
        <f t="shared" si="0"/>
        <v>13º</v>
      </c>
      <c r="B14" s="69" t="str">
        <f t="shared" si="89"/>
        <v>Thiago</v>
      </c>
      <c r="C14" s="269" t="str">
        <f t="shared" si="90"/>
        <v>BRA</v>
      </c>
      <c r="D14" s="99" t="str">
        <f t="shared" si="91"/>
        <v>Pé Direito</v>
      </c>
      <c r="E14" s="28" t="str">
        <f t="shared" si="92"/>
        <v>Juventus (SP)</v>
      </c>
      <c r="F14" s="169">
        <f t="shared" si="93"/>
        <v>29</v>
      </c>
      <c r="G14" s="2" t="str">
        <f t="shared" si="94"/>
        <v>0 €</v>
      </c>
      <c r="H14" s="154">
        <f t="shared" si="95"/>
        <v>1.85</v>
      </c>
      <c r="I14" s="64">
        <f t="shared" si="96"/>
        <v>47118</v>
      </c>
      <c r="J14" s="304" t="str">
        <f t="shared" si="97"/>
        <v>1,4m € p/m</v>
      </c>
      <c r="K14" s="96">
        <f t="shared" si="10"/>
        <v>3.5222222222222221</v>
      </c>
      <c r="L14" s="146">
        <f t="shared" si="98"/>
        <v>2</v>
      </c>
      <c r="M14" s="6">
        <f t="shared" si="99"/>
        <v>0</v>
      </c>
      <c r="N14" s="5">
        <f t="shared" si="100"/>
        <v>5400</v>
      </c>
      <c r="O14" s="21">
        <f t="shared" si="101"/>
        <v>0</v>
      </c>
      <c r="P14" s="2">
        <f t="shared" si="102"/>
        <v>40</v>
      </c>
      <c r="Q14" s="2">
        <f t="shared" si="103"/>
        <v>27</v>
      </c>
      <c r="R14" s="5">
        <f t="shared" si="104"/>
        <v>13.5</v>
      </c>
      <c r="S14" s="2">
        <f t="shared" si="105"/>
        <v>13</v>
      </c>
      <c r="T14" s="2">
        <f t="shared" si="106"/>
        <v>14</v>
      </c>
      <c r="U14" s="102">
        <f t="shared" si="107"/>
        <v>0.32500000000000001</v>
      </c>
      <c r="V14" s="102">
        <f t="shared" si="108"/>
        <v>0.67500000000000004</v>
      </c>
      <c r="W14" s="6">
        <f t="shared" si="109"/>
        <v>40</v>
      </c>
      <c r="X14" s="5">
        <f t="shared" si="110"/>
        <v>20</v>
      </c>
      <c r="Y14" s="6">
        <f t="shared" si="111"/>
        <v>0</v>
      </c>
      <c r="Z14" s="5">
        <f t="shared" si="112"/>
        <v>0</v>
      </c>
      <c r="AA14" s="21">
        <f t="shared" si="113"/>
        <v>0</v>
      </c>
      <c r="AB14" s="6">
        <f t="shared" si="114"/>
        <v>0</v>
      </c>
      <c r="AC14" s="5">
        <f t="shared" si="115"/>
        <v>0</v>
      </c>
      <c r="AD14" s="6">
        <f t="shared" si="116"/>
        <v>0</v>
      </c>
      <c r="AE14" s="5">
        <f t="shared" si="117"/>
        <v>0</v>
      </c>
      <c r="AF14" s="21">
        <f t="shared" si="118"/>
        <v>0</v>
      </c>
      <c r="AG14" s="6">
        <f t="shared" si="119"/>
        <v>0</v>
      </c>
      <c r="AH14" s="5">
        <f t="shared" si="120"/>
        <v>0</v>
      </c>
      <c r="AI14" s="21">
        <f t="shared" si="121"/>
        <v>0</v>
      </c>
      <c r="AJ14" s="6">
        <f t="shared" si="122"/>
        <v>0</v>
      </c>
      <c r="AK14" s="5">
        <f t="shared" si="123"/>
        <v>0</v>
      </c>
      <c r="AL14" s="21">
        <f t="shared" si="124"/>
        <v>0</v>
      </c>
      <c r="AM14" s="21">
        <f t="shared" si="125"/>
        <v>0</v>
      </c>
      <c r="AN14" s="6">
        <f t="shared" si="126"/>
        <v>0</v>
      </c>
      <c r="AO14" s="5">
        <f t="shared" si="127"/>
        <v>0</v>
      </c>
      <c r="AP14" s="6">
        <f t="shared" si="128"/>
        <v>0</v>
      </c>
      <c r="AQ14" s="5">
        <f t="shared" si="129"/>
        <v>0</v>
      </c>
      <c r="AR14" s="2">
        <f t="shared" si="130"/>
        <v>4</v>
      </c>
      <c r="AS14" s="5">
        <f t="shared" si="131"/>
        <v>2</v>
      </c>
      <c r="AT14" s="21">
        <f t="shared" si="132"/>
        <v>0</v>
      </c>
      <c r="AU14" s="20">
        <f t="shared" si="133"/>
        <v>0</v>
      </c>
      <c r="AV14" s="20">
        <f t="shared" si="134"/>
        <v>1</v>
      </c>
      <c r="AW14" s="199">
        <f t="shared" si="135"/>
        <v>0</v>
      </c>
      <c r="AX14" s="24">
        <f t="shared" si="136"/>
        <v>45</v>
      </c>
      <c r="AY14" s="5">
        <f t="shared" si="137"/>
        <v>1</v>
      </c>
      <c r="AZ14" s="5">
        <f t="shared" si="138"/>
        <v>1</v>
      </c>
      <c r="BA14" s="5">
        <f t="shared" si="139"/>
        <v>0</v>
      </c>
      <c r="BB14" s="5">
        <f t="shared" si="140"/>
        <v>0</v>
      </c>
      <c r="BC14" s="5">
        <f t="shared" si="141"/>
        <v>0</v>
      </c>
      <c r="BD14" s="5">
        <f t="shared" si="142"/>
        <v>0</v>
      </c>
      <c r="BE14" s="199">
        <f t="shared" si="143"/>
        <v>0</v>
      </c>
      <c r="BF14" s="21">
        <f t="shared" si="144"/>
        <v>0</v>
      </c>
      <c r="BG14" s="6">
        <f t="shared" si="145"/>
        <v>0</v>
      </c>
      <c r="BH14" s="5">
        <f t="shared" si="146"/>
        <v>0</v>
      </c>
      <c r="BI14" s="6">
        <f t="shared" si="147"/>
        <v>0</v>
      </c>
      <c r="BJ14" s="5">
        <f t="shared" si="148"/>
        <v>0</v>
      </c>
      <c r="BK14" s="20">
        <f t="shared" si="149"/>
        <v>-9.9999999999999998E-13</v>
      </c>
      <c r="BL14" s="20">
        <f t="shared" si="150"/>
        <v>2.6972353337828725E-3</v>
      </c>
      <c r="BM14" s="6">
        <f t="shared" si="151"/>
        <v>4</v>
      </c>
      <c r="BN14" s="5">
        <f t="shared" si="152"/>
        <v>2</v>
      </c>
      <c r="BO14" s="333">
        <f t="shared" si="153"/>
        <v>0</v>
      </c>
      <c r="BP14" s="334">
        <f t="shared" si="154"/>
        <v>0</v>
      </c>
      <c r="BQ14" s="6">
        <f t="shared" si="155"/>
        <v>0</v>
      </c>
      <c r="BR14" s="5">
        <f t="shared" si="156"/>
        <v>0</v>
      </c>
      <c r="BS14" s="6">
        <f t="shared" si="157"/>
        <v>0</v>
      </c>
      <c r="BT14" s="5">
        <f t="shared" si="158"/>
        <v>0</v>
      </c>
      <c r="BU14" s="181">
        <f t="shared" si="159"/>
        <v>0</v>
      </c>
      <c r="BV14" s="154">
        <f t="shared" si="160"/>
        <v>0</v>
      </c>
      <c r="BW14" s="181">
        <f t="shared" si="161"/>
        <v>0</v>
      </c>
      <c r="BX14" s="180">
        <f t="shared" si="162"/>
        <v>0</v>
      </c>
      <c r="BY14" s="181">
        <f t="shared" si="163"/>
        <v>0</v>
      </c>
      <c r="BZ14" s="154">
        <f t="shared" si="164"/>
        <v>0</v>
      </c>
      <c r="CA14" s="182">
        <f t="shared" si="165"/>
        <v>0</v>
      </c>
      <c r="CB14" s="2">
        <f t="shared" si="166"/>
        <v>0</v>
      </c>
      <c r="CC14" s="2">
        <f t="shared" si="167"/>
        <v>0</v>
      </c>
      <c r="CD14" s="2">
        <f t="shared" si="168"/>
        <v>0</v>
      </c>
      <c r="CE14" s="2">
        <f t="shared" si="169"/>
        <v>0</v>
      </c>
      <c r="CF14" s="6">
        <f t="shared" si="170"/>
        <v>0</v>
      </c>
      <c r="CG14" s="6">
        <f t="shared" si="171"/>
        <v>44</v>
      </c>
      <c r="CH14" s="6">
        <f t="shared" si="172"/>
        <v>27</v>
      </c>
      <c r="CI14" s="20">
        <f t="shared" si="173"/>
        <v>0.61363636363636365</v>
      </c>
      <c r="CJ14" s="133">
        <f t="shared" si="174"/>
        <v>2521</v>
      </c>
      <c r="CK14" s="5">
        <f t="shared" si="175"/>
        <v>7.4</v>
      </c>
      <c r="CL14" s="300"/>
      <c r="CM14" s="296" t="s">
        <v>13</v>
      </c>
      <c r="CN14" s="296" t="s">
        <v>1168</v>
      </c>
      <c r="CO14" s="296">
        <v>29</v>
      </c>
      <c r="CP14" s="296" t="s">
        <v>1169</v>
      </c>
      <c r="CQ14" s="296" t="s">
        <v>1131</v>
      </c>
      <c r="CR14" s="296" t="s">
        <v>644</v>
      </c>
      <c r="CS14" s="296" t="s">
        <v>1170</v>
      </c>
      <c r="CT14" s="296" t="s">
        <v>587</v>
      </c>
      <c r="CU14" s="297">
        <v>47118</v>
      </c>
      <c r="CV14" s="296">
        <v>0</v>
      </c>
      <c r="CW14" s="296">
        <v>180</v>
      </c>
      <c r="CX14" s="296">
        <v>4</v>
      </c>
      <c r="CY14" s="296">
        <v>0</v>
      </c>
      <c r="CZ14" s="296">
        <v>0</v>
      </c>
      <c r="DA14" s="296">
        <v>0</v>
      </c>
      <c r="DB14" s="296">
        <v>0</v>
      </c>
      <c r="DC14" s="296">
        <v>0</v>
      </c>
      <c r="DD14" s="296">
        <v>0</v>
      </c>
      <c r="DE14" s="296">
        <v>0</v>
      </c>
      <c r="DF14" s="296">
        <v>0</v>
      </c>
      <c r="DG14" s="296">
        <v>0</v>
      </c>
      <c r="DH14" s="296">
        <v>0</v>
      </c>
      <c r="DI14" s="296">
        <v>0</v>
      </c>
      <c r="DJ14" s="296">
        <v>0</v>
      </c>
      <c r="DK14" s="296">
        <v>0</v>
      </c>
      <c r="DL14" s="296">
        <v>40</v>
      </c>
      <c r="DM14" s="296">
        <v>27</v>
      </c>
      <c r="DN14" s="296">
        <v>0</v>
      </c>
      <c r="DO14" s="296">
        <v>0</v>
      </c>
      <c r="DP14" s="296">
        <v>0</v>
      </c>
      <c r="DQ14" s="296">
        <v>0</v>
      </c>
      <c r="DR14" s="296">
        <v>0</v>
      </c>
      <c r="DS14" s="296">
        <v>0</v>
      </c>
      <c r="DT14" s="296">
        <v>0</v>
      </c>
      <c r="DU14" s="296">
        <v>0</v>
      </c>
      <c r="DV14" s="301">
        <v>7.4</v>
      </c>
    </row>
    <row r="15" spans="1:126" ht="24.95" customHeight="1" thickBot="1" x14ac:dyDescent="0.3">
      <c r="A15" s="29" t="str">
        <f t="shared" si="0"/>
        <v>14º</v>
      </c>
      <c r="B15" s="69" t="str">
        <f t="shared" si="89"/>
        <v>Gabriel Souza</v>
      </c>
      <c r="C15" s="269" t="str">
        <f t="shared" si="90"/>
        <v>BRA</v>
      </c>
      <c r="D15" s="99" t="str">
        <f t="shared" si="91"/>
        <v>Pé Direito</v>
      </c>
      <c r="E15" s="28" t="str">
        <f t="shared" si="92"/>
        <v>Tondela</v>
      </c>
      <c r="F15" s="169">
        <f t="shared" si="93"/>
        <v>31</v>
      </c>
      <c r="G15" s="2" t="str">
        <f t="shared" si="94"/>
        <v>0 € - 18m €</v>
      </c>
      <c r="H15" s="154">
        <f t="shared" si="95"/>
        <v>1.93</v>
      </c>
      <c r="I15" s="64">
        <f t="shared" si="96"/>
        <v>47299</v>
      </c>
      <c r="J15" s="304" t="str">
        <f t="shared" si="97"/>
        <v>2,2m € p/m</v>
      </c>
      <c r="K15" s="96">
        <f t="shared" si="10"/>
        <v>3.5222222222222221</v>
      </c>
      <c r="L15" s="146">
        <f t="shared" si="98"/>
        <v>0</v>
      </c>
      <c r="M15" s="6">
        <f t="shared" si="99"/>
        <v>0</v>
      </c>
      <c r="N15" s="5">
        <f t="shared" si="100"/>
        <v>5400</v>
      </c>
      <c r="O15" s="21">
        <f t="shared" si="101"/>
        <v>0</v>
      </c>
      <c r="P15" s="2">
        <f t="shared" si="102"/>
        <v>0</v>
      </c>
      <c r="Q15" s="2">
        <f t="shared" si="103"/>
        <v>0</v>
      </c>
      <c r="R15" s="5">
        <f t="shared" si="104"/>
        <v>0</v>
      </c>
      <c r="S15" s="2">
        <f t="shared" si="105"/>
        <v>0</v>
      </c>
      <c r="T15" s="2">
        <f t="shared" si="106"/>
        <v>0</v>
      </c>
      <c r="U15" s="102">
        <f t="shared" si="107"/>
        <v>0</v>
      </c>
      <c r="V15" s="102">
        <f t="shared" si="108"/>
        <v>0</v>
      </c>
      <c r="W15" s="6">
        <f t="shared" si="109"/>
        <v>0</v>
      </c>
      <c r="X15" s="5">
        <f t="shared" si="110"/>
        <v>0</v>
      </c>
      <c r="Y15" s="6">
        <f t="shared" si="111"/>
        <v>0</v>
      </c>
      <c r="Z15" s="5" t="e">
        <f t="shared" si="112"/>
        <v>#DIV/0!</v>
      </c>
      <c r="AA15" s="21">
        <f t="shared" si="113"/>
        <v>0</v>
      </c>
      <c r="AB15" s="6">
        <f t="shared" si="114"/>
        <v>0</v>
      </c>
      <c r="AC15" s="5" t="e">
        <f t="shared" si="115"/>
        <v>#DIV/0!</v>
      </c>
      <c r="AD15" s="6">
        <f t="shared" si="116"/>
        <v>0</v>
      </c>
      <c r="AE15" s="5">
        <f t="shared" si="117"/>
        <v>0</v>
      </c>
      <c r="AF15" s="21">
        <f t="shared" si="118"/>
        <v>0</v>
      </c>
      <c r="AG15" s="6">
        <f t="shared" si="119"/>
        <v>0</v>
      </c>
      <c r="AH15" s="5">
        <f t="shared" si="120"/>
        <v>0</v>
      </c>
      <c r="AI15" s="21">
        <f t="shared" si="121"/>
        <v>0</v>
      </c>
      <c r="AJ15" s="6">
        <f t="shared" si="122"/>
        <v>0</v>
      </c>
      <c r="AK15" s="5">
        <f t="shared" si="123"/>
        <v>0</v>
      </c>
      <c r="AL15" s="21">
        <f t="shared" si="124"/>
        <v>0</v>
      </c>
      <c r="AM15" s="21">
        <f t="shared" si="125"/>
        <v>0</v>
      </c>
      <c r="AN15" s="6">
        <f t="shared" si="126"/>
        <v>0</v>
      </c>
      <c r="AO15" s="5">
        <f t="shared" si="127"/>
        <v>0</v>
      </c>
      <c r="AP15" s="6">
        <f t="shared" si="128"/>
        <v>0</v>
      </c>
      <c r="AQ15" s="5">
        <f t="shared" si="129"/>
        <v>0</v>
      </c>
      <c r="AR15" s="2">
        <f t="shared" si="130"/>
        <v>0</v>
      </c>
      <c r="AS15" s="5">
        <f t="shared" si="131"/>
        <v>0</v>
      </c>
      <c r="AT15" s="21">
        <f t="shared" si="132"/>
        <v>0</v>
      </c>
      <c r="AU15" s="20">
        <f t="shared" si="133"/>
        <v>0</v>
      </c>
      <c r="AV15" s="20">
        <f t="shared" si="134"/>
        <v>1</v>
      </c>
      <c r="AW15" s="199">
        <f t="shared" si="135"/>
        <v>0</v>
      </c>
      <c r="AX15" s="24">
        <f t="shared" si="136"/>
        <v>0</v>
      </c>
      <c r="AY15" s="5">
        <f t="shared" si="137"/>
        <v>0</v>
      </c>
      <c r="AZ15" s="5">
        <f t="shared" si="138"/>
        <v>0</v>
      </c>
      <c r="BA15" s="5">
        <f t="shared" si="139"/>
        <v>0</v>
      </c>
      <c r="BB15" s="5">
        <f t="shared" si="140"/>
        <v>0</v>
      </c>
      <c r="BC15" s="5">
        <f t="shared" si="141"/>
        <v>0</v>
      </c>
      <c r="BD15" s="5">
        <f t="shared" si="142"/>
        <v>0</v>
      </c>
      <c r="BE15" s="199">
        <f t="shared" si="143"/>
        <v>0</v>
      </c>
      <c r="BF15" s="21">
        <f t="shared" si="144"/>
        <v>0</v>
      </c>
      <c r="BG15" s="6">
        <f t="shared" si="145"/>
        <v>0</v>
      </c>
      <c r="BH15" s="5" t="e">
        <f t="shared" si="146"/>
        <v>#DIV/0!</v>
      </c>
      <c r="BI15" s="6">
        <f t="shared" si="147"/>
        <v>0</v>
      </c>
      <c r="BJ15" s="5" t="e">
        <f t="shared" si="148"/>
        <v>#DIV/0!</v>
      </c>
      <c r="BK15" s="20">
        <f t="shared" si="149"/>
        <v>-9.9999999999999998E-13</v>
      </c>
      <c r="BL15" s="20">
        <f t="shared" si="150"/>
        <v>0</v>
      </c>
      <c r="BM15" s="6">
        <f t="shared" si="151"/>
        <v>0</v>
      </c>
      <c r="BN15" s="5">
        <f t="shared" si="152"/>
        <v>0</v>
      </c>
      <c r="BO15" s="333">
        <f t="shared" si="153"/>
        <v>0</v>
      </c>
      <c r="BP15" s="334">
        <f t="shared" si="154"/>
        <v>0</v>
      </c>
      <c r="BQ15" s="6">
        <f t="shared" si="155"/>
        <v>0</v>
      </c>
      <c r="BR15" s="5">
        <f t="shared" si="156"/>
        <v>0</v>
      </c>
      <c r="BS15" s="6">
        <f t="shared" si="157"/>
        <v>0</v>
      </c>
      <c r="BT15" s="5">
        <f t="shared" si="158"/>
        <v>0</v>
      </c>
      <c r="BU15" s="181">
        <f t="shared" si="159"/>
        <v>0</v>
      </c>
      <c r="BV15" s="154">
        <f t="shared" si="160"/>
        <v>0</v>
      </c>
      <c r="BW15" s="181">
        <f t="shared" si="161"/>
        <v>0</v>
      </c>
      <c r="BX15" s="180">
        <f t="shared" si="162"/>
        <v>0</v>
      </c>
      <c r="BY15" s="181">
        <f t="shared" si="163"/>
        <v>0</v>
      </c>
      <c r="BZ15" s="154">
        <f t="shared" si="164"/>
        <v>0</v>
      </c>
      <c r="CA15" s="182">
        <f t="shared" si="165"/>
        <v>0</v>
      </c>
      <c r="CB15" s="2">
        <f t="shared" si="166"/>
        <v>0</v>
      </c>
      <c r="CC15" s="2">
        <f t="shared" si="167"/>
        <v>0</v>
      </c>
      <c r="CD15" s="2">
        <f t="shared" si="168"/>
        <v>0</v>
      </c>
      <c r="CE15" s="2">
        <f t="shared" si="169"/>
        <v>0</v>
      </c>
      <c r="CF15" s="6">
        <f t="shared" si="170"/>
        <v>0</v>
      </c>
      <c r="CG15" s="6">
        <f t="shared" si="171"/>
        <v>0</v>
      </c>
      <c r="CH15" s="6">
        <f t="shared" si="172"/>
        <v>0</v>
      </c>
      <c r="CI15" s="20">
        <f t="shared" si="173"/>
        <v>0</v>
      </c>
      <c r="CJ15" s="133">
        <f t="shared" si="174"/>
        <v>2521</v>
      </c>
      <c r="CK15" s="5">
        <f t="shared" si="175"/>
        <v>0</v>
      </c>
      <c r="CL15" s="302"/>
      <c r="CM15" s="298" t="s">
        <v>13</v>
      </c>
      <c r="CN15" s="298" t="s">
        <v>1171</v>
      </c>
      <c r="CO15" s="298">
        <v>31</v>
      </c>
      <c r="CP15" s="298" t="s">
        <v>1172</v>
      </c>
      <c r="CQ15" s="298" t="s">
        <v>1173</v>
      </c>
      <c r="CR15" s="298" t="s">
        <v>644</v>
      </c>
      <c r="CS15" s="298" t="s">
        <v>1174</v>
      </c>
      <c r="CT15" s="298" t="s">
        <v>1123</v>
      </c>
      <c r="CU15" s="299">
        <v>47299</v>
      </c>
      <c r="CV15" s="298">
        <v>0</v>
      </c>
      <c r="CW15" s="298">
        <v>0</v>
      </c>
      <c r="CX15" s="298">
        <v>0</v>
      </c>
      <c r="CY15" s="298">
        <v>0</v>
      </c>
      <c r="CZ15" s="298">
        <v>0</v>
      </c>
      <c r="DA15" s="298">
        <v>0</v>
      </c>
      <c r="DB15" s="298">
        <v>0</v>
      </c>
      <c r="DC15" s="298">
        <v>0</v>
      </c>
      <c r="DD15" s="298">
        <v>0</v>
      </c>
      <c r="DE15" s="298">
        <v>0</v>
      </c>
      <c r="DF15" s="298">
        <v>0</v>
      </c>
      <c r="DG15" s="298">
        <v>0</v>
      </c>
      <c r="DH15" s="298">
        <v>0</v>
      </c>
      <c r="DI15" s="298">
        <v>0</v>
      </c>
      <c r="DJ15" s="298">
        <v>0</v>
      </c>
      <c r="DK15" s="298">
        <v>0</v>
      </c>
      <c r="DL15" s="298">
        <v>0</v>
      </c>
      <c r="DM15" s="298">
        <v>0</v>
      </c>
      <c r="DN15" s="298">
        <v>0</v>
      </c>
      <c r="DO15" s="298">
        <v>0</v>
      </c>
      <c r="DP15" s="298">
        <v>0</v>
      </c>
      <c r="DQ15" s="298">
        <v>0</v>
      </c>
      <c r="DR15" s="298">
        <v>0</v>
      </c>
      <c r="DS15" s="298">
        <v>0</v>
      </c>
      <c r="DT15" s="298">
        <v>0</v>
      </c>
      <c r="DU15" s="298">
        <v>0</v>
      </c>
      <c r="DV15" s="303" t="s">
        <v>548</v>
      </c>
    </row>
    <row r="16" spans="1:126" ht="24.95" customHeight="1" thickBot="1" x14ac:dyDescent="0.3">
      <c r="A16" s="29" t="str">
        <f t="shared" si="0"/>
        <v>15º</v>
      </c>
      <c r="B16" s="69" t="str">
        <f t="shared" si="89"/>
        <v>Victor Souza</v>
      </c>
      <c r="C16" s="269" t="str">
        <f t="shared" si="90"/>
        <v>BRA</v>
      </c>
      <c r="D16" s="99" t="str">
        <f t="shared" si="91"/>
        <v>Somente Pé Esquerdo</v>
      </c>
      <c r="E16" s="28" t="str">
        <f t="shared" si="92"/>
        <v>BTF</v>
      </c>
      <c r="F16" s="169">
        <f t="shared" si="93"/>
        <v>35</v>
      </c>
      <c r="G16" s="2" t="str">
        <f t="shared" si="94"/>
        <v>0 € - 5m €</v>
      </c>
      <c r="H16" s="154">
        <f t="shared" si="95"/>
        <v>1.9</v>
      </c>
      <c r="I16" s="64">
        <f t="shared" si="96"/>
        <v>47118</v>
      </c>
      <c r="J16" s="304" t="str">
        <f t="shared" si="97"/>
        <v>7,5m € p/m</v>
      </c>
      <c r="K16" s="96">
        <f t="shared" si="10"/>
        <v>3.5222222222222221</v>
      </c>
      <c r="L16" s="146">
        <f t="shared" si="98"/>
        <v>12</v>
      </c>
      <c r="M16" s="6">
        <f t="shared" si="99"/>
        <v>0</v>
      </c>
      <c r="N16" s="5">
        <f t="shared" si="100"/>
        <v>5400</v>
      </c>
      <c r="O16" s="21">
        <f t="shared" si="101"/>
        <v>0</v>
      </c>
      <c r="P16" s="2">
        <f t="shared" si="102"/>
        <v>314</v>
      </c>
      <c r="Q16" s="2">
        <f t="shared" si="103"/>
        <v>217</v>
      </c>
      <c r="R16" s="5">
        <f t="shared" si="104"/>
        <v>18.083333333333332</v>
      </c>
      <c r="S16" s="2">
        <f t="shared" si="105"/>
        <v>97</v>
      </c>
      <c r="T16" s="2">
        <f t="shared" si="106"/>
        <v>120</v>
      </c>
      <c r="U16" s="102">
        <f t="shared" si="107"/>
        <v>0.30891719745222929</v>
      </c>
      <c r="V16" s="102">
        <f t="shared" si="108"/>
        <v>0.69108280254777066</v>
      </c>
      <c r="W16" s="6">
        <f t="shared" si="109"/>
        <v>314</v>
      </c>
      <c r="X16" s="5">
        <f t="shared" si="110"/>
        <v>26.166666666666668</v>
      </c>
      <c r="Y16" s="6">
        <f t="shared" si="111"/>
        <v>0</v>
      </c>
      <c r="Z16" s="5">
        <f t="shared" si="112"/>
        <v>0</v>
      </c>
      <c r="AA16" s="21">
        <f t="shared" si="113"/>
        <v>0</v>
      </c>
      <c r="AB16" s="6">
        <f t="shared" si="114"/>
        <v>0</v>
      </c>
      <c r="AC16" s="5">
        <f t="shared" si="115"/>
        <v>0</v>
      </c>
      <c r="AD16" s="6">
        <f t="shared" si="116"/>
        <v>8</v>
      </c>
      <c r="AE16" s="5">
        <f t="shared" si="117"/>
        <v>0.66666666666666663</v>
      </c>
      <c r="AF16" s="21">
        <f t="shared" si="118"/>
        <v>0.33333333333333331</v>
      </c>
      <c r="AG16" s="6">
        <f t="shared" si="119"/>
        <v>3</v>
      </c>
      <c r="AH16" s="5">
        <f t="shared" si="120"/>
        <v>0.25</v>
      </c>
      <c r="AI16" s="21">
        <f t="shared" si="121"/>
        <v>0.125</v>
      </c>
      <c r="AJ16" s="6">
        <f t="shared" si="122"/>
        <v>13</v>
      </c>
      <c r="AK16" s="5">
        <f t="shared" si="123"/>
        <v>0.71889400921658986</v>
      </c>
      <c r="AL16" s="21">
        <f t="shared" si="124"/>
        <v>0.54166666666666663</v>
      </c>
      <c r="AM16" s="21">
        <f t="shared" si="125"/>
        <v>0.41666666666666669</v>
      </c>
      <c r="AN16" s="6">
        <f t="shared" si="126"/>
        <v>5</v>
      </c>
      <c r="AO16" s="5">
        <f t="shared" si="127"/>
        <v>0.41666666666666669</v>
      </c>
      <c r="AP16" s="6">
        <f t="shared" si="128"/>
        <v>24</v>
      </c>
      <c r="AQ16" s="5">
        <f t="shared" si="129"/>
        <v>2</v>
      </c>
      <c r="AR16" s="2">
        <f t="shared" si="130"/>
        <v>37</v>
      </c>
      <c r="AS16" s="5">
        <f t="shared" si="131"/>
        <v>3.0833333333333335</v>
      </c>
      <c r="AT16" s="21">
        <f t="shared" si="132"/>
        <v>0.64864864864864868</v>
      </c>
      <c r="AU16" s="20">
        <f t="shared" si="133"/>
        <v>0.55172413793103448</v>
      </c>
      <c r="AV16" s="20">
        <f t="shared" si="134"/>
        <v>0.35135135135135132</v>
      </c>
      <c r="AW16" s="199">
        <f t="shared" si="135"/>
        <v>0.90540540540540537</v>
      </c>
      <c r="AX16" s="24">
        <f t="shared" si="136"/>
        <v>83.07692307692308</v>
      </c>
      <c r="AY16" s="5">
        <f t="shared" si="137"/>
        <v>2.8461538461538463</v>
      </c>
      <c r="AZ16" s="5">
        <f t="shared" si="138"/>
        <v>2.2307692307692308</v>
      </c>
      <c r="BA16" s="5">
        <f t="shared" si="139"/>
        <v>3.53</v>
      </c>
      <c r="BB16" s="5">
        <f t="shared" si="140"/>
        <v>0.29416666666666663</v>
      </c>
      <c r="BC16" s="5">
        <f t="shared" si="141"/>
        <v>3.53</v>
      </c>
      <c r="BD16" s="5">
        <f t="shared" si="142"/>
        <v>0.29416666666666663</v>
      </c>
      <c r="BE16" s="199">
        <f t="shared" si="143"/>
        <v>0.70599999999999985</v>
      </c>
      <c r="BF16" s="21">
        <f t="shared" si="144"/>
        <v>0.21355111917725345</v>
      </c>
      <c r="BG16" s="6">
        <f t="shared" si="145"/>
        <v>1</v>
      </c>
      <c r="BH16" s="5">
        <f t="shared" si="146"/>
        <v>8.3333333333333329E-2</v>
      </c>
      <c r="BI16" s="6">
        <f t="shared" si="147"/>
        <v>0</v>
      </c>
      <c r="BJ16" s="5">
        <f t="shared" si="148"/>
        <v>0</v>
      </c>
      <c r="BK16" s="20">
        <f t="shared" si="149"/>
        <v>0</v>
      </c>
      <c r="BL16" s="20">
        <f t="shared" si="150"/>
        <v>8.7660148347943351E-3</v>
      </c>
      <c r="BM16" s="6">
        <f t="shared" si="151"/>
        <v>13</v>
      </c>
      <c r="BN16" s="5">
        <f t="shared" si="152"/>
        <v>1.0833333333333333</v>
      </c>
      <c r="BO16" s="333">
        <f t="shared" si="153"/>
        <v>0</v>
      </c>
      <c r="BP16" s="334">
        <f t="shared" si="154"/>
        <v>0</v>
      </c>
      <c r="BQ16" s="6">
        <f t="shared" si="155"/>
        <v>44.400000000000006</v>
      </c>
      <c r="BR16" s="5">
        <f t="shared" si="156"/>
        <v>3.7</v>
      </c>
      <c r="BS16" s="6">
        <f t="shared" si="157"/>
        <v>85.199999999999989</v>
      </c>
      <c r="BT16" s="5">
        <f t="shared" si="158"/>
        <v>7.1</v>
      </c>
      <c r="BU16" s="181">
        <f t="shared" si="159"/>
        <v>1</v>
      </c>
      <c r="BV16" s="154">
        <f t="shared" si="160"/>
        <v>8.3333333333333329E-2</v>
      </c>
      <c r="BW16" s="181">
        <f t="shared" si="161"/>
        <v>0</v>
      </c>
      <c r="BX16" s="180">
        <f t="shared" si="162"/>
        <v>0</v>
      </c>
      <c r="BY16" s="181">
        <f t="shared" si="163"/>
        <v>1</v>
      </c>
      <c r="BZ16" s="154">
        <f t="shared" si="164"/>
        <v>8.3333333333333329E-2</v>
      </c>
      <c r="CA16" s="182">
        <f t="shared" si="165"/>
        <v>0</v>
      </c>
      <c r="CB16" s="2">
        <f t="shared" si="166"/>
        <v>0</v>
      </c>
      <c r="CC16" s="2">
        <f t="shared" si="167"/>
        <v>0</v>
      </c>
      <c r="CD16" s="2">
        <f t="shared" si="168"/>
        <v>0</v>
      </c>
      <c r="CE16" s="2">
        <f t="shared" si="169"/>
        <v>3</v>
      </c>
      <c r="CF16" s="6">
        <f t="shared" si="170"/>
        <v>0</v>
      </c>
      <c r="CG16" s="6">
        <f t="shared" si="171"/>
        <v>372.44299999999998</v>
      </c>
      <c r="CH16" s="6">
        <f t="shared" si="172"/>
        <v>241</v>
      </c>
      <c r="CI16" s="20">
        <f t="shared" si="173"/>
        <v>0.64707888186917195</v>
      </c>
      <c r="CJ16" s="133">
        <f t="shared" si="174"/>
        <v>2521</v>
      </c>
      <c r="CK16" s="5">
        <f t="shared" si="175"/>
        <v>6.77</v>
      </c>
      <c r="CL16" s="300" t="s">
        <v>19</v>
      </c>
      <c r="CM16" s="296" t="s">
        <v>13</v>
      </c>
      <c r="CN16" s="296" t="s">
        <v>1175</v>
      </c>
      <c r="CO16" s="296">
        <v>35</v>
      </c>
      <c r="CP16" s="296" t="s">
        <v>1176</v>
      </c>
      <c r="CQ16" s="296" t="s">
        <v>1177</v>
      </c>
      <c r="CR16" s="296" t="s">
        <v>650</v>
      </c>
      <c r="CS16" s="296" t="s">
        <v>1178</v>
      </c>
      <c r="CT16" s="296" t="s">
        <v>682</v>
      </c>
      <c r="CU16" s="297">
        <v>47118</v>
      </c>
      <c r="CV16" s="296">
        <v>0</v>
      </c>
      <c r="CW16" s="296">
        <v>1080</v>
      </c>
      <c r="CX16" s="296">
        <v>13</v>
      </c>
      <c r="CY16" s="296">
        <v>8</v>
      </c>
      <c r="CZ16" s="296">
        <v>3</v>
      </c>
      <c r="DA16" s="296">
        <v>13</v>
      </c>
      <c r="DB16" s="296">
        <v>0</v>
      </c>
      <c r="DC16" s="296">
        <v>3.7</v>
      </c>
      <c r="DD16" s="296">
        <v>7.1</v>
      </c>
      <c r="DE16" s="296">
        <v>5</v>
      </c>
      <c r="DF16" s="296">
        <v>0</v>
      </c>
      <c r="DG16" s="296">
        <v>0</v>
      </c>
      <c r="DH16" s="296">
        <v>0</v>
      </c>
      <c r="DI16" s="296">
        <v>3</v>
      </c>
      <c r="DJ16" s="296">
        <v>0</v>
      </c>
      <c r="DK16" s="296">
        <v>0</v>
      </c>
      <c r="DL16" s="296">
        <v>314</v>
      </c>
      <c r="DM16" s="296">
        <v>217</v>
      </c>
      <c r="DN16" s="296" t="s">
        <v>1179</v>
      </c>
      <c r="DO16" s="296">
        <v>0</v>
      </c>
      <c r="DP16" s="296">
        <v>0</v>
      </c>
      <c r="DQ16" s="296">
        <v>1</v>
      </c>
      <c r="DR16" s="296">
        <v>0</v>
      </c>
      <c r="DS16" s="296">
        <v>0</v>
      </c>
      <c r="DT16" s="296">
        <v>1</v>
      </c>
      <c r="DU16" s="296">
        <v>0</v>
      </c>
      <c r="DV16" s="301">
        <v>6.77</v>
      </c>
    </row>
    <row r="17" spans="1:126" ht="24.95" customHeight="1" thickBot="1" x14ac:dyDescent="0.3">
      <c r="A17" s="29" t="str">
        <f t="shared" si="0"/>
        <v>16º</v>
      </c>
      <c r="B17" s="69" t="str">
        <f t="shared" si="89"/>
        <v>Robson</v>
      </c>
      <c r="C17" s="269" t="str">
        <f t="shared" si="90"/>
        <v>BRA</v>
      </c>
      <c r="D17" s="99" t="str">
        <f t="shared" si="91"/>
        <v>Pé Direito</v>
      </c>
      <c r="E17" s="28" t="str">
        <f t="shared" si="92"/>
        <v>Mixto (MT)</v>
      </c>
      <c r="F17" s="169">
        <f t="shared" si="93"/>
        <v>28</v>
      </c>
      <c r="G17" s="2" t="str">
        <f t="shared" si="94"/>
        <v>0 €</v>
      </c>
      <c r="H17" s="154">
        <f t="shared" si="95"/>
        <v>1.87</v>
      </c>
      <c r="I17" s="64">
        <f t="shared" si="96"/>
        <v>47483</v>
      </c>
      <c r="J17" s="304" t="str">
        <f t="shared" si="97"/>
        <v>1,5m € p/m</v>
      </c>
      <c r="K17" s="96">
        <f t="shared" si="10"/>
        <v>3.5222222222222221</v>
      </c>
      <c r="L17" s="146">
        <f t="shared" si="98"/>
        <v>8.7888888888888896</v>
      </c>
      <c r="M17" s="6">
        <f t="shared" si="99"/>
        <v>1</v>
      </c>
      <c r="N17" s="5">
        <f t="shared" si="100"/>
        <v>791</v>
      </c>
      <c r="O17" s="21">
        <f t="shared" si="101"/>
        <v>0.11378002528445005</v>
      </c>
      <c r="P17" s="2">
        <f t="shared" si="102"/>
        <v>239</v>
      </c>
      <c r="Q17" s="2">
        <f t="shared" si="103"/>
        <v>204</v>
      </c>
      <c r="R17" s="5">
        <f t="shared" si="104"/>
        <v>23.211125158027812</v>
      </c>
      <c r="S17" s="2">
        <f t="shared" si="105"/>
        <v>35</v>
      </c>
      <c r="T17" s="2">
        <f t="shared" si="106"/>
        <v>169</v>
      </c>
      <c r="U17" s="102">
        <f t="shared" si="107"/>
        <v>0.14644351464435146</v>
      </c>
      <c r="V17" s="102">
        <f t="shared" si="108"/>
        <v>0.85355648535564854</v>
      </c>
      <c r="W17" s="6">
        <f t="shared" si="109"/>
        <v>238</v>
      </c>
      <c r="X17" s="5">
        <f t="shared" si="110"/>
        <v>27.079646017699112</v>
      </c>
      <c r="Y17" s="6">
        <f t="shared" si="111"/>
        <v>1</v>
      </c>
      <c r="Z17" s="5">
        <f t="shared" si="112"/>
        <v>0.11378002528445005</v>
      </c>
      <c r="AA17" s="21">
        <f t="shared" si="113"/>
        <v>4.2016806722689074E-3</v>
      </c>
      <c r="AB17" s="6">
        <f t="shared" si="114"/>
        <v>1</v>
      </c>
      <c r="AC17" s="5">
        <f t="shared" si="115"/>
        <v>0.11378002528445005</v>
      </c>
      <c r="AD17" s="6">
        <f t="shared" si="116"/>
        <v>2</v>
      </c>
      <c r="AE17" s="5">
        <f t="shared" si="117"/>
        <v>0.22756005056890011</v>
      </c>
      <c r="AF17" s="21">
        <f t="shared" si="118"/>
        <v>0.16666666666666666</v>
      </c>
      <c r="AG17" s="6">
        <f t="shared" si="119"/>
        <v>2</v>
      </c>
      <c r="AH17" s="5">
        <f t="shared" si="120"/>
        <v>0.22756005056890011</v>
      </c>
      <c r="AI17" s="21">
        <f t="shared" si="121"/>
        <v>0.16666666666666666</v>
      </c>
      <c r="AJ17" s="6">
        <f t="shared" si="122"/>
        <v>8</v>
      </c>
      <c r="AK17" s="5">
        <f t="shared" si="123"/>
        <v>0.34466230936819175</v>
      </c>
      <c r="AL17" s="21">
        <f t="shared" si="124"/>
        <v>0.66666666666666663</v>
      </c>
      <c r="AM17" s="21">
        <f t="shared" si="125"/>
        <v>0.5689001264222503</v>
      </c>
      <c r="AN17" s="6">
        <f t="shared" si="126"/>
        <v>5</v>
      </c>
      <c r="AO17" s="5">
        <f t="shared" si="127"/>
        <v>0.5689001264222503</v>
      </c>
      <c r="AP17" s="6">
        <f t="shared" si="128"/>
        <v>12</v>
      </c>
      <c r="AQ17" s="5">
        <f t="shared" si="129"/>
        <v>1.3653603034134005</v>
      </c>
      <c r="AR17" s="2">
        <f t="shared" si="130"/>
        <v>18</v>
      </c>
      <c r="AS17" s="5">
        <f t="shared" si="131"/>
        <v>2.048040455120101</v>
      </c>
      <c r="AT17" s="21">
        <f t="shared" si="132"/>
        <v>0.66666666666666663</v>
      </c>
      <c r="AU17" s="20">
        <f t="shared" si="133"/>
        <v>0.625</v>
      </c>
      <c r="AV17" s="20">
        <f t="shared" si="134"/>
        <v>0.33333333333333331</v>
      </c>
      <c r="AW17" s="199">
        <f t="shared" si="135"/>
        <v>1</v>
      </c>
      <c r="AX17" s="24">
        <f t="shared" si="136"/>
        <v>131.83333333333334</v>
      </c>
      <c r="AY17" s="5">
        <f t="shared" si="137"/>
        <v>3</v>
      </c>
      <c r="AZ17" s="5">
        <f t="shared" si="138"/>
        <v>2.6666666666666665</v>
      </c>
      <c r="BA17" s="5">
        <f t="shared" si="139"/>
        <v>-0.06</v>
      </c>
      <c r="BB17" s="5">
        <f t="shared" si="140"/>
        <v>-6.8268015170670033E-3</v>
      </c>
      <c r="BC17" s="5">
        <f t="shared" si="141"/>
        <v>-0.06</v>
      </c>
      <c r="BD17" s="5">
        <f t="shared" si="142"/>
        <v>-6.8268015170670033E-3</v>
      </c>
      <c r="BE17" s="199">
        <f t="shared" si="143"/>
        <v>-1.2E-2</v>
      </c>
      <c r="BF17" s="21">
        <f t="shared" si="144"/>
        <v>-1.01010101010101E-2</v>
      </c>
      <c r="BG17" s="6">
        <f t="shared" si="145"/>
        <v>0</v>
      </c>
      <c r="BH17" s="5">
        <f t="shared" si="146"/>
        <v>0</v>
      </c>
      <c r="BI17" s="6">
        <f t="shared" si="147"/>
        <v>0</v>
      </c>
      <c r="BJ17" s="5">
        <f t="shared" si="148"/>
        <v>0</v>
      </c>
      <c r="BK17" s="20">
        <f t="shared" si="149"/>
        <v>-9.9999999999999998E-13</v>
      </c>
      <c r="BL17" s="20">
        <f t="shared" si="150"/>
        <v>4.045853000674309E-3</v>
      </c>
      <c r="BM17" s="6">
        <f t="shared" si="151"/>
        <v>6</v>
      </c>
      <c r="BN17" s="5">
        <f t="shared" si="152"/>
        <v>0.68268015170670027</v>
      </c>
      <c r="BO17" s="333">
        <f t="shared" si="153"/>
        <v>0</v>
      </c>
      <c r="BP17" s="334">
        <f t="shared" si="154"/>
        <v>0</v>
      </c>
      <c r="BQ17" s="6">
        <f t="shared" si="155"/>
        <v>28.12444444444445</v>
      </c>
      <c r="BR17" s="5">
        <f t="shared" si="156"/>
        <v>3.2</v>
      </c>
      <c r="BS17" s="6">
        <f t="shared" si="157"/>
        <v>59.76444444444445</v>
      </c>
      <c r="BT17" s="5">
        <f t="shared" si="158"/>
        <v>6.8</v>
      </c>
      <c r="BU17" s="181">
        <f t="shared" si="159"/>
        <v>7</v>
      </c>
      <c r="BV17" s="154">
        <f t="shared" si="160"/>
        <v>0.79646017699115035</v>
      </c>
      <c r="BW17" s="181">
        <f t="shared" si="161"/>
        <v>4</v>
      </c>
      <c r="BX17" s="180">
        <f t="shared" si="162"/>
        <v>0.45512010113780021</v>
      </c>
      <c r="BY17" s="181">
        <f t="shared" si="163"/>
        <v>3</v>
      </c>
      <c r="BZ17" s="154">
        <f t="shared" si="164"/>
        <v>0.34134007585335013</v>
      </c>
      <c r="CA17" s="182">
        <f t="shared" si="165"/>
        <v>0.5714285714285714</v>
      </c>
      <c r="CB17" s="2">
        <f t="shared" si="166"/>
        <v>0</v>
      </c>
      <c r="CC17" s="2">
        <f t="shared" si="167"/>
        <v>0</v>
      </c>
      <c r="CD17" s="2">
        <f t="shared" si="168"/>
        <v>0</v>
      </c>
      <c r="CE17" s="2">
        <f t="shared" si="169"/>
        <v>2</v>
      </c>
      <c r="CF17" s="6">
        <f t="shared" si="170"/>
        <v>0</v>
      </c>
      <c r="CG17" s="6">
        <f t="shared" si="171"/>
        <v>283.04399999999998</v>
      </c>
      <c r="CH17" s="6">
        <f t="shared" si="172"/>
        <v>220</v>
      </c>
      <c r="CI17" s="20">
        <f t="shared" si="173"/>
        <v>0.77726431226240444</v>
      </c>
      <c r="CJ17" s="133">
        <f t="shared" si="174"/>
        <v>2521</v>
      </c>
      <c r="CK17" s="5">
        <f t="shared" si="175"/>
        <v>7.05</v>
      </c>
      <c r="CL17" s="302"/>
      <c r="CM17" s="298" t="s">
        <v>13</v>
      </c>
      <c r="CN17" s="298" t="s">
        <v>1180</v>
      </c>
      <c r="CO17" s="298">
        <v>28</v>
      </c>
      <c r="CP17" s="298" t="s">
        <v>1181</v>
      </c>
      <c r="CQ17" s="298" t="s">
        <v>1131</v>
      </c>
      <c r="CR17" s="298" t="s">
        <v>644</v>
      </c>
      <c r="CS17" s="298" t="s">
        <v>1182</v>
      </c>
      <c r="CT17" s="298" t="s">
        <v>911</v>
      </c>
      <c r="CU17" s="299">
        <v>47483</v>
      </c>
      <c r="CV17" s="298">
        <v>1</v>
      </c>
      <c r="CW17" s="298">
        <v>791</v>
      </c>
      <c r="CX17" s="298">
        <v>6</v>
      </c>
      <c r="CY17" s="298">
        <v>2</v>
      </c>
      <c r="CZ17" s="298">
        <v>2</v>
      </c>
      <c r="DA17" s="298">
        <v>8</v>
      </c>
      <c r="DB17" s="298">
        <v>7</v>
      </c>
      <c r="DC17" s="298">
        <v>3.2</v>
      </c>
      <c r="DD17" s="298">
        <v>6.8</v>
      </c>
      <c r="DE17" s="298">
        <v>5</v>
      </c>
      <c r="DF17" s="298">
        <v>0</v>
      </c>
      <c r="DG17" s="298">
        <v>0</v>
      </c>
      <c r="DH17" s="298">
        <v>0</v>
      </c>
      <c r="DI17" s="298">
        <v>2</v>
      </c>
      <c r="DJ17" s="298">
        <v>1</v>
      </c>
      <c r="DK17" s="298">
        <v>1</v>
      </c>
      <c r="DL17" s="298">
        <v>239</v>
      </c>
      <c r="DM17" s="298">
        <v>204</v>
      </c>
      <c r="DN17" s="298" t="s">
        <v>1183</v>
      </c>
      <c r="DO17" s="298">
        <v>4</v>
      </c>
      <c r="DP17" s="298">
        <v>0</v>
      </c>
      <c r="DQ17" s="298">
        <v>0</v>
      </c>
      <c r="DR17" s="298">
        <v>0</v>
      </c>
      <c r="DS17" s="298">
        <v>0</v>
      </c>
      <c r="DT17" s="298">
        <v>0</v>
      </c>
      <c r="DU17" s="298">
        <v>0</v>
      </c>
      <c r="DV17" s="303">
        <v>7.05</v>
      </c>
    </row>
    <row r="18" spans="1:126" ht="24.95" customHeight="1" thickBot="1" x14ac:dyDescent="0.3">
      <c r="A18" s="29" t="str">
        <f t="shared" si="0"/>
        <v>17º</v>
      </c>
      <c r="B18" s="69" t="str">
        <f t="shared" si="89"/>
        <v>Léo Wall</v>
      </c>
      <c r="C18" s="269" t="str">
        <f t="shared" si="90"/>
        <v>BRA</v>
      </c>
      <c r="D18" s="99" t="str">
        <f t="shared" si="91"/>
        <v>Somente Pé Direito</v>
      </c>
      <c r="E18" s="28" t="str">
        <f t="shared" si="92"/>
        <v>AFE</v>
      </c>
      <c r="F18" s="169">
        <f t="shared" si="93"/>
        <v>28</v>
      </c>
      <c r="G18" s="2" t="str">
        <f t="shared" si="94"/>
        <v>0 €</v>
      </c>
      <c r="H18" s="154">
        <f t="shared" si="95"/>
        <v>1.95</v>
      </c>
      <c r="I18" s="64">
        <f t="shared" si="96"/>
        <v>47118</v>
      </c>
      <c r="J18" s="304" t="str">
        <f t="shared" si="97"/>
        <v>2,3m € p/m</v>
      </c>
      <c r="K18" s="96">
        <f t="shared" si="10"/>
        <v>3.5222222222222221</v>
      </c>
      <c r="L18" s="146">
        <f t="shared" si="98"/>
        <v>0</v>
      </c>
      <c r="M18" s="6">
        <f t="shared" si="99"/>
        <v>0</v>
      </c>
      <c r="N18" s="5">
        <f t="shared" si="100"/>
        <v>5400</v>
      </c>
      <c r="O18" s="21">
        <f t="shared" si="101"/>
        <v>0</v>
      </c>
      <c r="P18" s="2">
        <f t="shared" si="102"/>
        <v>0</v>
      </c>
      <c r="Q18" s="2">
        <f t="shared" si="103"/>
        <v>0</v>
      </c>
      <c r="R18" s="5">
        <f t="shared" si="104"/>
        <v>0</v>
      </c>
      <c r="S18" s="2">
        <f t="shared" si="105"/>
        <v>0</v>
      </c>
      <c r="T18" s="2">
        <f t="shared" si="106"/>
        <v>0</v>
      </c>
      <c r="U18" s="102">
        <f t="shared" si="107"/>
        <v>0</v>
      </c>
      <c r="V18" s="102">
        <f t="shared" si="108"/>
        <v>0</v>
      </c>
      <c r="W18" s="6">
        <f t="shared" si="109"/>
        <v>0</v>
      </c>
      <c r="X18" s="5">
        <f t="shared" si="110"/>
        <v>0</v>
      </c>
      <c r="Y18" s="6">
        <f t="shared" si="111"/>
        <v>0</v>
      </c>
      <c r="Z18" s="5" t="e">
        <f t="shared" si="112"/>
        <v>#DIV/0!</v>
      </c>
      <c r="AA18" s="21">
        <f t="shared" si="113"/>
        <v>0</v>
      </c>
      <c r="AB18" s="6">
        <f t="shared" si="114"/>
        <v>0</v>
      </c>
      <c r="AC18" s="5" t="e">
        <f t="shared" si="115"/>
        <v>#DIV/0!</v>
      </c>
      <c r="AD18" s="6">
        <f t="shared" si="116"/>
        <v>0</v>
      </c>
      <c r="AE18" s="5">
        <f t="shared" si="117"/>
        <v>0</v>
      </c>
      <c r="AF18" s="21">
        <f t="shared" si="118"/>
        <v>0</v>
      </c>
      <c r="AG18" s="6">
        <f t="shared" si="119"/>
        <v>0</v>
      </c>
      <c r="AH18" s="5">
        <f t="shared" si="120"/>
        <v>0</v>
      </c>
      <c r="AI18" s="21">
        <f t="shared" si="121"/>
        <v>0</v>
      </c>
      <c r="AJ18" s="6">
        <f t="shared" si="122"/>
        <v>0</v>
      </c>
      <c r="AK18" s="5">
        <f t="shared" si="123"/>
        <v>0</v>
      </c>
      <c r="AL18" s="21">
        <f t="shared" si="124"/>
        <v>0</v>
      </c>
      <c r="AM18" s="21">
        <f t="shared" si="125"/>
        <v>0</v>
      </c>
      <c r="AN18" s="6">
        <f t="shared" si="126"/>
        <v>0</v>
      </c>
      <c r="AO18" s="5">
        <f t="shared" si="127"/>
        <v>0</v>
      </c>
      <c r="AP18" s="6">
        <f t="shared" si="128"/>
        <v>0</v>
      </c>
      <c r="AQ18" s="5">
        <f t="shared" si="129"/>
        <v>0</v>
      </c>
      <c r="AR18" s="2">
        <f t="shared" si="130"/>
        <v>0</v>
      </c>
      <c r="AS18" s="5">
        <f t="shared" si="131"/>
        <v>0</v>
      </c>
      <c r="AT18" s="21">
        <f t="shared" si="132"/>
        <v>0</v>
      </c>
      <c r="AU18" s="20">
        <f t="shared" si="133"/>
        <v>0</v>
      </c>
      <c r="AV18" s="20">
        <f t="shared" si="134"/>
        <v>1</v>
      </c>
      <c r="AW18" s="199">
        <f t="shared" si="135"/>
        <v>0</v>
      </c>
      <c r="AX18" s="24">
        <f t="shared" si="136"/>
        <v>0</v>
      </c>
      <c r="AY18" s="5">
        <f t="shared" si="137"/>
        <v>0</v>
      </c>
      <c r="AZ18" s="5">
        <f t="shared" si="138"/>
        <v>0</v>
      </c>
      <c r="BA18" s="5">
        <f t="shared" si="139"/>
        <v>0</v>
      </c>
      <c r="BB18" s="5">
        <f t="shared" si="140"/>
        <v>0</v>
      </c>
      <c r="BC18" s="5">
        <f t="shared" si="141"/>
        <v>0</v>
      </c>
      <c r="BD18" s="5">
        <f t="shared" si="142"/>
        <v>0</v>
      </c>
      <c r="BE18" s="199">
        <f t="shared" si="143"/>
        <v>0</v>
      </c>
      <c r="BF18" s="21">
        <f t="shared" si="144"/>
        <v>0</v>
      </c>
      <c r="BG18" s="6">
        <f t="shared" si="145"/>
        <v>0</v>
      </c>
      <c r="BH18" s="5" t="e">
        <f t="shared" si="146"/>
        <v>#DIV/0!</v>
      </c>
      <c r="BI18" s="6">
        <f t="shared" si="147"/>
        <v>0</v>
      </c>
      <c r="BJ18" s="5" t="e">
        <f t="shared" si="148"/>
        <v>#DIV/0!</v>
      </c>
      <c r="BK18" s="20">
        <f t="shared" si="149"/>
        <v>-9.9999999999999998E-13</v>
      </c>
      <c r="BL18" s="20">
        <f t="shared" si="150"/>
        <v>0</v>
      </c>
      <c r="BM18" s="6">
        <f t="shared" si="151"/>
        <v>0</v>
      </c>
      <c r="BN18" s="5">
        <f t="shared" si="152"/>
        <v>0</v>
      </c>
      <c r="BO18" s="333">
        <f t="shared" si="153"/>
        <v>0</v>
      </c>
      <c r="BP18" s="334">
        <f t="shared" si="154"/>
        <v>0</v>
      </c>
      <c r="BQ18" s="6">
        <f t="shared" si="155"/>
        <v>0</v>
      </c>
      <c r="BR18" s="5">
        <f t="shared" si="156"/>
        <v>0</v>
      </c>
      <c r="BS18" s="6">
        <f t="shared" si="157"/>
        <v>0</v>
      </c>
      <c r="BT18" s="5">
        <f t="shared" si="158"/>
        <v>0</v>
      </c>
      <c r="BU18" s="181">
        <f t="shared" si="159"/>
        <v>0</v>
      </c>
      <c r="BV18" s="154">
        <f t="shared" si="160"/>
        <v>0</v>
      </c>
      <c r="BW18" s="181">
        <f t="shared" si="161"/>
        <v>0</v>
      </c>
      <c r="BX18" s="180">
        <f t="shared" si="162"/>
        <v>0</v>
      </c>
      <c r="BY18" s="181">
        <f t="shared" si="163"/>
        <v>0</v>
      </c>
      <c r="BZ18" s="154">
        <f t="shared" si="164"/>
        <v>0</v>
      </c>
      <c r="CA18" s="182">
        <f t="shared" si="165"/>
        <v>0</v>
      </c>
      <c r="CB18" s="2">
        <f t="shared" si="166"/>
        <v>0</v>
      </c>
      <c r="CC18" s="2">
        <f t="shared" si="167"/>
        <v>0</v>
      </c>
      <c r="CD18" s="2">
        <f t="shared" si="168"/>
        <v>0</v>
      </c>
      <c r="CE18" s="2">
        <f t="shared" si="169"/>
        <v>0</v>
      </c>
      <c r="CF18" s="6">
        <f t="shared" si="170"/>
        <v>0</v>
      </c>
      <c r="CG18" s="6">
        <f t="shared" si="171"/>
        <v>0</v>
      </c>
      <c r="CH18" s="6">
        <f t="shared" si="172"/>
        <v>0</v>
      </c>
      <c r="CI18" s="20">
        <f t="shared" si="173"/>
        <v>0</v>
      </c>
      <c r="CJ18" s="133">
        <f t="shared" si="174"/>
        <v>2521</v>
      </c>
      <c r="CK18" s="5">
        <f t="shared" si="175"/>
        <v>0</v>
      </c>
      <c r="CL18" s="300" t="s">
        <v>19</v>
      </c>
      <c r="CM18" s="296" t="s">
        <v>13</v>
      </c>
      <c r="CN18" s="296" t="s">
        <v>1184</v>
      </c>
      <c r="CO18" s="296">
        <v>28</v>
      </c>
      <c r="CP18" s="296" t="s">
        <v>1185</v>
      </c>
      <c r="CQ18" s="296" t="s">
        <v>1131</v>
      </c>
      <c r="CR18" s="296" t="s">
        <v>645</v>
      </c>
      <c r="CS18" s="296" t="s">
        <v>1159</v>
      </c>
      <c r="CT18" s="296" t="s">
        <v>680</v>
      </c>
      <c r="CU18" s="297">
        <v>47118</v>
      </c>
      <c r="CV18" s="296">
        <v>0</v>
      </c>
      <c r="CW18" s="296">
        <v>0</v>
      </c>
      <c r="CX18" s="296">
        <v>0</v>
      </c>
      <c r="CY18" s="296">
        <v>0</v>
      </c>
      <c r="CZ18" s="296">
        <v>0</v>
      </c>
      <c r="DA18" s="296">
        <v>0</v>
      </c>
      <c r="DB18" s="296">
        <v>0</v>
      </c>
      <c r="DC18" s="296">
        <v>0</v>
      </c>
      <c r="DD18" s="296">
        <v>0</v>
      </c>
      <c r="DE18" s="296">
        <v>0</v>
      </c>
      <c r="DF18" s="296">
        <v>0</v>
      </c>
      <c r="DG18" s="296">
        <v>0</v>
      </c>
      <c r="DH18" s="296">
        <v>0</v>
      </c>
      <c r="DI18" s="296">
        <v>0</v>
      </c>
      <c r="DJ18" s="296">
        <v>0</v>
      </c>
      <c r="DK18" s="296">
        <v>0</v>
      </c>
      <c r="DL18" s="296">
        <v>0</v>
      </c>
      <c r="DM18" s="296">
        <v>0</v>
      </c>
      <c r="DN18" s="296">
        <v>0</v>
      </c>
      <c r="DO18" s="296">
        <v>0</v>
      </c>
      <c r="DP18" s="296">
        <v>0</v>
      </c>
      <c r="DQ18" s="296">
        <v>0</v>
      </c>
      <c r="DR18" s="296">
        <v>0</v>
      </c>
      <c r="DS18" s="296">
        <v>0</v>
      </c>
      <c r="DT18" s="296">
        <v>0</v>
      </c>
      <c r="DU18" s="296">
        <v>0</v>
      </c>
      <c r="DV18" s="301" t="s">
        <v>548</v>
      </c>
    </row>
    <row r="19" spans="1:126" ht="24.95" customHeight="1" thickBot="1" x14ac:dyDescent="0.3">
      <c r="A19" s="29" t="str">
        <f t="shared" si="0"/>
        <v>18º</v>
      </c>
      <c r="B19" s="69" t="str">
        <f t="shared" si="89"/>
        <v>Marlon</v>
      </c>
      <c r="C19" s="269" t="str">
        <f t="shared" si="90"/>
        <v>BRA</v>
      </c>
      <c r="D19" s="99" t="str">
        <f t="shared" si="91"/>
        <v>Somente Pé Direito</v>
      </c>
      <c r="E19" s="28" t="str">
        <f t="shared" si="92"/>
        <v>Bangu</v>
      </c>
      <c r="F19" s="169">
        <f t="shared" si="93"/>
        <v>28</v>
      </c>
      <c r="G19" s="2" t="str">
        <f t="shared" si="94"/>
        <v>0 €</v>
      </c>
      <c r="H19" s="154">
        <f t="shared" si="95"/>
        <v>1.96</v>
      </c>
      <c r="I19" s="64">
        <f t="shared" si="96"/>
        <v>47118</v>
      </c>
      <c r="J19" s="304" t="str">
        <f t="shared" si="97"/>
        <v>1,7m € p/m</v>
      </c>
      <c r="K19" s="96">
        <f t="shared" si="10"/>
        <v>3.5222222222222221</v>
      </c>
      <c r="L19" s="146">
        <f t="shared" si="98"/>
        <v>1.2444444444444445</v>
      </c>
      <c r="M19" s="6">
        <f t="shared" si="99"/>
        <v>0</v>
      </c>
      <c r="N19" s="5">
        <f t="shared" si="100"/>
        <v>5400</v>
      </c>
      <c r="O19" s="21">
        <f t="shared" si="101"/>
        <v>0</v>
      </c>
      <c r="P19" s="2">
        <f t="shared" si="102"/>
        <v>40</v>
      </c>
      <c r="Q19" s="2">
        <f t="shared" si="103"/>
        <v>22</v>
      </c>
      <c r="R19" s="5">
        <f t="shared" si="104"/>
        <v>17.678571428571427</v>
      </c>
      <c r="S19" s="2">
        <f t="shared" si="105"/>
        <v>18</v>
      </c>
      <c r="T19" s="2">
        <f t="shared" si="106"/>
        <v>4</v>
      </c>
      <c r="U19" s="102">
        <f t="shared" si="107"/>
        <v>0.45</v>
      </c>
      <c r="V19" s="102">
        <f t="shared" si="108"/>
        <v>0.55000000000000004</v>
      </c>
      <c r="W19" s="6">
        <f t="shared" si="109"/>
        <v>40</v>
      </c>
      <c r="X19" s="5">
        <f t="shared" si="110"/>
        <v>32.142857142857139</v>
      </c>
      <c r="Y19" s="6">
        <f t="shared" si="111"/>
        <v>0</v>
      </c>
      <c r="Z19" s="5">
        <f t="shared" si="112"/>
        <v>0</v>
      </c>
      <c r="AA19" s="21">
        <f t="shared" si="113"/>
        <v>0</v>
      </c>
      <c r="AB19" s="6">
        <f t="shared" si="114"/>
        <v>0</v>
      </c>
      <c r="AC19" s="5">
        <f t="shared" si="115"/>
        <v>0</v>
      </c>
      <c r="AD19" s="6">
        <f t="shared" si="116"/>
        <v>0</v>
      </c>
      <c r="AE19" s="5">
        <f t="shared" si="117"/>
        <v>0</v>
      </c>
      <c r="AF19" s="21">
        <f t="shared" si="118"/>
        <v>0</v>
      </c>
      <c r="AG19" s="6">
        <f t="shared" si="119"/>
        <v>0</v>
      </c>
      <c r="AH19" s="5">
        <f t="shared" si="120"/>
        <v>0</v>
      </c>
      <c r="AI19" s="21">
        <f t="shared" si="121"/>
        <v>0</v>
      </c>
      <c r="AJ19" s="6">
        <f t="shared" si="122"/>
        <v>0</v>
      </c>
      <c r="AK19" s="5">
        <f t="shared" si="123"/>
        <v>0</v>
      </c>
      <c r="AL19" s="21">
        <f t="shared" si="124"/>
        <v>0</v>
      </c>
      <c r="AM19" s="21">
        <f t="shared" si="125"/>
        <v>0.8035714285714286</v>
      </c>
      <c r="AN19" s="6">
        <f t="shared" si="126"/>
        <v>1</v>
      </c>
      <c r="AO19" s="5">
        <f t="shared" si="127"/>
        <v>0.8035714285714286</v>
      </c>
      <c r="AP19" s="6">
        <f t="shared" si="128"/>
        <v>0</v>
      </c>
      <c r="AQ19" s="5">
        <f t="shared" si="129"/>
        <v>0</v>
      </c>
      <c r="AR19" s="2">
        <f t="shared" si="130"/>
        <v>1</v>
      </c>
      <c r="AS19" s="5">
        <f t="shared" si="131"/>
        <v>0.8035714285714286</v>
      </c>
      <c r="AT19" s="21">
        <f t="shared" si="132"/>
        <v>0</v>
      </c>
      <c r="AU19" s="20">
        <f t="shared" si="133"/>
        <v>0</v>
      </c>
      <c r="AV19" s="20">
        <f t="shared" si="134"/>
        <v>1</v>
      </c>
      <c r="AW19" s="199">
        <f t="shared" si="135"/>
        <v>0</v>
      </c>
      <c r="AX19" s="24">
        <f t="shared" si="136"/>
        <v>112</v>
      </c>
      <c r="AY19" s="5">
        <f t="shared" si="137"/>
        <v>1</v>
      </c>
      <c r="AZ19" s="5">
        <f t="shared" si="138"/>
        <v>1</v>
      </c>
      <c r="BA19" s="5">
        <f t="shared" si="139"/>
        <v>0</v>
      </c>
      <c r="BB19" s="5">
        <f t="shared" si="140"/>
        <v>0</v>
      </c>
      <c r="BC19" s="5">
        <f t="shared" si="141"/>
        <v>0</v>
      </c>
      <c r="BD19" s="5">
        <f t="shared" si="142"/>
        <v>0</v>
      </c>
      <c r="BE19" s="199">
        <f t="shared" si="143"/>
        <v>0</v>
      </c>
      <c r="BF19" s="21">
        <f t="shared" si="144"/>
        <v>0</v>
      </c>
      <c r="BG19" s="6">
        <f t="shared" si="145"/>
        <v>0</v>
      </c>
      <c r="BH19" s="5">
        <f t="shared" si="146"/>
        <v>0</v>
      </c>
      <c r="BI19" s="6">
        <f t="shared" si="147"/>
        <v>0</v>
      </c>
      <c r="BJ19" s="5">
        <f t="shared" si="148"/>
        <v>0</v>
      </c>
      <c r="BK19" s="20">
        <f t="shared" si="149"/>
        <v>-9.9999999999999998E-13</v>
      </c>
      <c r="BL19" s="20">
        <f t="shared" si="150"/>
        <v>6.7430883344571813E-4</v>
      </c>
      <c r="BM19" s="6">
        <f t="shared" si="151"/>
        <v>1</v>
      </c>
      <c r="BN19" s="5">
        <f t="shared" si="152"/>
        <v>0.8035714285714286</v>
      </c>
      <c r="BO19" s="333">
        <f t="shared" si="153"/>
        <v>0</v>
      </c>
      <c r="BP19" s="334">
        <f t="shared" si="154"/>
        <v>0</v>
      </c>
      <c r="BQ19" s="6">
        <f t="shared" si="155"/>
        <v>0</v>
      </c>
      <c r="BR19" s="5">
        <f t="shared" si="156"/>
        <v>0</v>
      </c>
      <c r="BS19" s="6">
        <f t="shared" si="157"/>
        <v>0</v>
      </c>
      <c r="BT19" s="5">
        <f t="shared" si="158"/>
        <v>0</v>
      </c>
      <c r="BU19" s="181">
        <f t="shared" si="159"/>
        <v>0</v>
      </c>
      <c r="BV19" s="154">
        <f t="shared" si="160"/>
        <v>0</v>
      </c>
      <c r="BW19" s="181">
        <f t="shared" si="161"/>
        <v>0</v>
      </c>
      <c r="BX19" s="180">
        <f t="shared" si="162"/>
        <v>0</v>
      </c>
      <c r="BY19" s="181">
        <f t="shared" si="163"/>
        <v>0</v>
      </c>
      <c r="BZ19" s="154">
        <f t="shared" si="164"/>
        <v>0</v>
      </c>
      <c r="CA19" s="182">
        <f t="shared" si="165"/>
        <v>0</v>
      </c>
      <c r="CB19" s="2">
        <f t="shared" si="166"/>
        <v>0</v>
      </c>
      <c r="CC19" s="2">
        <f t="shared" si="167"/>
        <v>0</v>
      </c>
      <c r="CD19" s="2">
        <f t="shared" si="168"/>
        <v>0</v>
      </c>
      <c r="CE19" s="2">
        <f t="shared" si="169"/>
        <v>0</v>
      </c>
      <c r="CF19" s="6">
        <f t="shared" si="170"/>
        <v>0</v>
      </c>
      <c r="CG19" s="6">
        <f t="shared" si="171"/>
        <v>43</v>
      </c>
      <c r="CH19" s="6">
        <f t="shared" si="172"/>
        <v>22</v>
      </c>
      <c r="CI19" s="20">
        <f t="shared" si="173"/>
        <v>0.51162790697674421</v>
      </c>
      <c r="CJ19" s="133">
        <f t="shared" si="174"/>
        <v>2521</v>
      </c>
      <c r="CK19" s="5">
        <f t="shared" si="175"/>
        <v>6.7</v>
      </c>
      <c r="CL19" s="302"/>
      <c r="CM19" s="298" t="s">
        <v>13</v>
      </c>
      <c r="CN19" s="298" t="s">
        <v>1186</v>
      </c>
      <c r="CO19" s="298">
        <v>28</v>
      </c>
      <c r="CP19" s="298" t="s">
        <v>1187</v>
      </c>
      <c r="CQ19" s="298" t="s">
        <v>1131</v>
      </c>
      <c r="CR19" s="298" t="s">
        <v>645</v>
      </c>
      <c r="CS19" s="298" t="s">
        <v>1188</v>
      </c>
      <c r="CT19" s="298" t="s">
        <v>833</v>
      </c>
      <c r="CU19" s="299">
        <v>47118</v>
      </c>
      <c r="CV19" s="298">
        <v>0</v>
      </c>
      <c r="CW19" s="298">
        <v>112</v>
      </c>
      <c r="CX19" s="298">
        <v>1</v>
      </c>
      <c r="CY19" s="298">
        <v>0</v>
      </c>
      <c r="CZ19" s="298">
        <v>0</v>
      </c>
      <c r="DA19" s="298">
        <v>0</v>
      </c>
      <c r="DB19" s="298">
        <v>0</v>
      </c>
      <c r="DC19" s="298">
        <v>0</v>
      </c>
      <c r="DD19" s="298">
        <v>0</v>
      </c>
      <c r="DE19" s="298">
        <v>1</v>
      </c>
      <c r="DF19" s="298">
        <v>0</v>
      </c>
      <c r="DG19" s="298">
        <v>0</v>
      </c>
      <c r="DH19" s="298">
        <v>0</v>
      </c>
      <c r="DI19" s="298">
        <v>0</v>
      </c>
      <c r="DJ19" s="298">
        <v>0</v>
      </c>
      <c r="DK19" s="298">
        <v>0</v>
      </c>
      <c r="DL19" s="298">
        <v>40</v>
      </c>
      <c r="DM19" s="298">
        <v>22</v>
      </c>
      <c r="DN19" s="298">
        <v>0</v>
      </c>
      <c r="DO19" s="298">
        <v>0</v>
      </c>
      <c r="DP19" s="298">
        <v>0</v>
      </c>
      <c r="DQ19" s="298">
        <v>0</v>
      </c>
      <c r="DR19" s="298">
        <v>0</v>
      </c>
      <c r="DS19" s="298">
        <v>0</v>
      </c>
      <c r="DT19" s="298">
        <v>0</v>
      </c>
      <c r="DU19" s="298">
        <v>0</v>
      </c>
      <c r="DV19" s="303">
        <v>6.7</v>
      </c>
    </row>
    <row r="20" spans="1:126" ht="24.95" customHeight="1" thickBot="1" x14ac:dyDescent="0.3">
      <c r="A20" s="29" t="str">
        <f t="shared" si="0"/>
        <v>19º</v>
      </c>
      <c r="B20" s="69" t="str">
        <f t="shared" si="89"/>
        <v>Mateus</v>
      </c>
      <c r="C20" s="269" t="str">
        <f t="shared" si="90"/>
        <v>BRA</v>
      </c>
      <c r="D20" s="99" t="str">
        <f t="shared" si="91"/>
        <v>Pé Direito</v>
      </c>
      <c r="E20" s="28" t="str">
        <f t="shared" si="92"/>
        <v>Alverca SAD</v>
      </c>
      <c r="F20" s="169">
        <f t="shared" si="93"/>
        <v>26</v>
      </c>
      <c r="G20" s="2" t="str">
        <f t="shared" si="94"/>
        <v>4,5m € - 45m €</v>
      </c>
      <c r="H20" s="154">
        <f t="shared" si="95"/>
        <v>1.99</v>
      </c>
      <c r="I20" s="64">
        <f t="shared" si="96"/>
        <v>47664</v>
      </c>
      <c r="J20" s="304" t="str">
        <f t="shared" si="97"/>
        <v>2,6m € p/m</v>
      </c>
      <c r="K20" s="96">
        <f t="shared" si="10"/>
        <v>3.5222222222222221</v>
      </c>
      <c r="L20" s="146">
        <f t="shared" si="98"/>
        <v>0</v>
      </c>
      <c r="M20" s="6">
        <f t="shared" si="99"/>
        <v>0</v>
      </c>
      <c r="N20" s="5">
        <f t="shared" si="100"/>
        <v>5400</v>
      </c>
      <c r="O20" s="21">
        <f t="shared" si="101"/>
        <v>0</v>
      </c>
      <c r="P20" s="2">
        <f t="shared" si="102"/>
        <v>0</v>
      </c>
      <c r="Q20" s="2">
        <f t="shared" si="103"/>
        <v>0</v>
      </c>
      <c r="R20" s="5">
        <f t="shared" si="104"/>
        <v>0</v>
      </c>
      <c r="S20" s="2">
        <f t="shared" si="105"/>
        <v>0</v>
      </c>
      <c r="T20" s="2">
        <f t="shared" si="106"/>
        <v>0</v>
      </c>
      <c r="U20" s="102">
        <f t="shared" si="107"/>
        <v>0</v>
      </c>
      <c r="V20" s="102">
        <f t="shared" si="108"/>
        <v>0</v>
      </c>
      <c r="W20" s="6">
        <f t="shared" si="109"/>
        <v>0</v>
      </c>
      <c r="X20" s="5">
        <f t="shared" si="110"/>
        <v>0</v>
      </c>
      <c r="Y20" s="6">
        <f t="shared" si="111"/>
        <v>0</v>
      </c>
      <c r="Z20" s="5" t="e">
        <f t="shared" si="112"/>
        <v>#DIV/0!</v>
      </c>
      <c r="AA20" s="21">
        <f t="shared" si="113"/>
        <v>0</v>
      </c>
      <c r="AB20" s="6">
        <f t="shared" si="114"/>
        <v>0</v>
      </c>
      <c r="AC20" s="5" t="e">
        <f t="shared" si="115"/>
        <v>#DIV/0!</v>
      </c>
      <c r="AD20" s="6">
        <f t="shared" si="116"/>
        <v>0</v>
      </c>
      <c r="AE20" s="5">
        <f t="shared" si="117"/>
        <v>0</v>
      </c>
      <c r="AF20" s="21">
        <f t="shared" si="118"/>
        <v>0</v>
      </c>
      <c r="AG20" s="6">
        <f t="shared" si="119"/>
        <v>0</v>
      </c>
      <c r="AH20" s="5">
        <f t="shared" si="120"/>
        <v>0</v>
      </c>
      <c r="AI20" s="21">
        <f t="shared" si="121"/>
        <v>0</v>
      </c>
      <c r="AJ20" s="6">
        <f t="shared" si="122"/>
        <v>0</v>
      </c>
      <c r="AK20" s="5">
        <f t="shared" si="123"/>
        <v>0</v>
      </c>
      <c r="AL20" s="21">
        <f t="shared" si="124"/>
        <v>0</v>
      </c>
      <c r="AM20" s="21">
        <f t="shared" si="125"/>
        <v>0</v>
      </c>
      <c r="AN20" s="6">
        <f t="shared" si="126"/>
        <v>0</v>
      </c>
      <c r="AO20" s="5">
        <f t="shared" si="127"/>
        <v>0</v>
      </c>
      <c r="AP20" s="6">
        <f t="shared" si="128"/>
        <v>0</v>
      </c>
      <c r="AQ20" s="5">
        <f t="shared" si="129"/>
        <v>0</v>
      </c>
      <c r="AR20" s="2">
        <f t="shared" si="130"/>
        <v>0</v>
      </c>
      <c r="AS20" s="5">
        <f t="shared" si="131"/>
        <v>0</v>
      </c>
      <c r="AT20" s="21">
        <f t="shared" si="132"/>
        <v>0</v>
      </c>
      <c r="AU20" s="20">
        <f t="shared" si="133"/>
        <v>0</v>
      </c>
      <c r="AV20" s="20">
        <f t="shared" si="134"/>
        <v>1</v>
      </c>
      <c r="AW20" s="199">
        <f t="shared" si="135"/>
        <v>0</v>
      </c>
      <c r="AX20" s="24">
        <f t="shared" si="136"/>
        <v>0</v>
      </c>
      <c r="AY20" s="5">
        <f t="shared" si="137"/>
        <v>0</v>
      </c>
      <c r="AZ20" s="5">
        <f t="shared" si="138"/>
        <v>0</v>
      </c>
      <c r="BA20" s="5">
        <f t="shared" si="139"/>
        <v>0</v>
      </c>
      <c r="BB20" s="5">
        <f t="shared" si="140"/>
        <v>0</v>
      </c>
      <c r="BC20" s="5">
        <f t="shared" si="141"/>
        <v>0</v>
      </c>
      <c r="BD20" s="5">
        <f t="shared" si="142"/>
        <v>0</v>
      </c>
      <c r="BE20" s="199">
        <f t="shared" si="143"/>
        <v>0</v>
      </c>
      <c r="BF20" s="21">
        <f t="shared" si="144"/>
        <v>0</v>
      </c>
      <c r="BG20" s="6">
        <f t="shared" si="145"/>
        <v>0</v>
      </c>
      <c r="BH20" s="5" t="e">
        <f t="shared" si="146"/>
        <v>#DIV/0!</v>
      </c>
      <c r="BI20" s="6">
        <f t="shared" si="147"/>
        <v>0</v>
      </c>
      <c r="BJ20" s="5" t="e">
        <f t="shared" si="148"/>
        <v>#DIV/0!</v>
      </c>
      <c r="BK20" s="20">
        <f t="shared" si="149"/>
        <v>-9.9999999999999998E-13</v>
      </c>
      <c r="BL20" s="20">
        <f t="shared" si="150"/>
        <v>0</v>
      </c>
      <c r="BM20" s="6">
        <f t="shared" si="151"/>
        <v>0</v>
      </c>
      <c r="BN20" s="5">
        <f t="shared" si="152"/>
        <v>0</v>
      </c>
      <c r="BO20" s="333">
        <f t="shared" si="153"/>
        <v>0</v>
      </c>
      <c r="BP20" s="334">
        <f t="shared" si="154"/>
        <v>0</v>
      </c>
      <c r="BQ20" s="6">
        <f t="shared" si="155"/>
        <v>0</v>
      </c>
      <c r="BR20" s="5">
        <f t="shared" si="156"/>
        <v>0</v>
      </c>
      <c r="BS20" s="6">
        <f t="shared" si="157"/>
        <v>0</v>
      </c>
      <c r="BT20" s="5">
        <f t="shared" si="158"/>
        <v>0</v>
      </c>
      <c r="BU20" s="181">
        <f t="shared" si="159"/>
        <v>0</v>
      </c>
      <c r="BV20" s="154">
        <f t="shared" si="160"/>
        <v>0</v>
      </c>
      <c r="BW20" s="181">
        <f t="shared" si="161"/>
        <v>0</v>
      </c>
      <c r="BX20" s="180">
        <f t="shared" si="162"/>
        <v>0</v>
      </c>
      <c r="BY20" s="181">
        <f t="shared" si="163"/>
        <v>0</v>
      </c>
      <c r="BZ20" s="154">
        <f t="shared" si="164"/>
        <v>0</v>
      </c>
      <c r="CA20" s="182">
        <f t="shared" si="165"/>
        <v>0</v>
      </c>
      <c r="CB20" s="2">
        <f t="shared" si="166"/>
        <v>0</v>
      </c>
      <c r="CC20" s="2">
        <f t="shared" si="167"/>
        <v>0</v>
      </c>
      <c r="CD20" s="2">
        <f t="shared" si="168"/>
        <v>0</v>
      </c>
      <c r="CE20" s="2">
        <f t="shared" si="169"/>
        <v>0</v>
      </c>
      <c r="CF20" s="6">
        <f t="shared" si="170"/>
        <v>0</v>
      </c>
      <c r="CG20" s="6">
        <f t="shared" si="171"/>
        <v>0</v>
      </c>
      <c r="CH20" s="6">
        <f t="shared" si="172"/>
        <v>0</v>
      </c>
      <c r="CI20" s="20">
        <f t="shared" si="173"/>
        <v>0</v>
      </c>
      <c r="CJ20" s="133">
        <f t="shared" si="174"/>
        <v>2521</v>
      </c>
      <c r="CK20" s="5">
        <f t="shared" si="175"/>
        <v>0</v>
      </c>
      <c r="CL20" s="300"/>
      <c r="CM20" s="296" t="s">
        <v>13</v>
      </c>
      <c r="CN20" s="296" t="s">
        <v>1189</v>
      </c>
      <c r="CO20" s="296">
        <v>26</v>
      </c>
      <c r="CP20" s="296" t="s">
        <v>1190</v>
      </c>
      <c r="CQ20" s="296" t="s">
        <v>1191</v>
      </c>
      <c r="CR20" s="296" t="s">
        <v>644</v>
      </c>
      <c r="CS20" s="296" t="s">
        <v>1192</v>
      </c>
      <c r="CT20" s="296" t="s">
        <v>1193</v>
      </c>
      <c r="CU20" s="297">
        <v>47664</v>
      </c>
      <c r="CV20" s="296">
        <v>0</v>
      </c>
      <c r="CW20" s="296">
        <v>0</v>
      </c>
      <c r="CX20" s="296">
        <v>0</v>
      </c>
      <c r="CY20" s="296">
        <v>0</v>
      </c>
      <c r="CZ20" s="296">
        <v>0</v>
      </c>
      <c r="DA20" s="296">
        <v>0</v>
      </c>
      <c r="DB20" s="296">
        <v>0</v>
      </c>
      <c r="DC20" s="296">
        <v>0</v>
      </c>
      <c r="DD20" s="296">
        <v>0</v>
      </c>
      <c r="DE20" s="296">
        <v>0</v>
      </c>
      <c r="DF20" s="296">
        <v>0</v>
      </c>
      <c r="DG20" s="296">
        <v>0</v>
      </c>
      <c r="DH20" s="296">
        <v>0</v>
      </c>
      <c r="DI20" s="296">
        <v>0</v>
      </c>
      <c r="DJ20" s="296">
        <v>0</v>
      </c>
      <c r="DK20" s="296">
        <v>0</v>
      </c>
      <c r="DL20" s="296">
        <v>0</v>
      </c>
      <c r="DM20" s="296">
        <v>0</v>
      </c>
      <c r="DN20" s="296">
        <v>0</v>
      </c>
      <c r="DO20" s="296">
        <v>0</v>
      </c>
      <c r="DP20" s="296">
        <v>0</v>
      </c>
      <c r="DQ20" s="296">
        <v>0</v>
      </c>
      <c r="DR20" s="296">
        <v>0</v>
      </c>
      <c r="DS20" s="296">
        <v>0</v>
      </c>
      <c r="DT20" s="296">
        <v>0</v>
      </c>
      <c r="DU20" s="296">
        <v>0</v>
      </c>
      <c r="DV20" s="301" t="s">
        <v>548</v>
      </c>
    </row>
    <row r="21" spans="1:126" ht="24.95" customHeight="1" thickBot="1" x14ac:dyDescent="0.3">
      <c r="A21" s="29" t="str">
        <f t="shared" si="0"/>
        <v>20º</v>
      </c>
      <c r="B21" s="69" t="str">
        <f t="shared" si="89"/>
        <v>Felipe Scheibig</v>
      </c>
      <c r="C21" s="269" t="str">
        <f t="shared" si="90"/>
        <v>BRA</v>
      </c>
      <c r="D21" s="99" t="str">
        <f t="shared" si="91"/>
        <v>Somente Pé Direito</v>
      </c>
      <c r="E21" s="28" t="str">
        <f t="shared" si="92"/>
        <v>Felgueiras 1932</v>
      </c>
      <c r="F21" s="169">
        <f t="shared" si="93"/>
        <v>28</v>
      </c>
      <c r="G21" s="2" t="str">
        <f t="shared" si="94"/>
        <v>12m € - 120m €</v>
      </c>
      <c r="H21" s="154">
        <f t="shared" si="95"/>
        <v>1.96</v>
      </c>
      <c r="I21" s="64">
        <f t="shared" si="96"/>
        <v>47299</v>
      </c>
      <c r="J21" s="304" t="str">
        <f t="shared" si="97"/>
        <v>14,5m € p/m</v>
      </c>
      <c r="K21" s="96">
        <f t="shared" si="10"/>
        <v>3.5222222222222221</v>
      </c>
      <c r="L21" s="146">
        <f t="shared" si="98"/>
        <v>0</v>
      </c>
      <c r="M21" s="6">
        <f t="shared" si="99"/>
        <v>0</v>
      </c>
      <c r="N21" s="5">
        <f t="shared" si="100"/>
        <v>5400</v>
      </c>
      <c r="O21" s="21">
        <f t="shared" si="101"/>
        <v>0</v>
      </c>
      <c r="P21" s="2">
        <f t="shared" si="102"/>
        <v>0</v>
      </c>
      <c r="Q21" s="2">
        <f t="shared" si="103"/>
        <v>0</v>
      </c>
      <c r="R21" s="5">
        <f t="shared" si="104"/>
        <v>0</v>
      </c>
      <c r="S21" s="2">
        <f t="shared" si="105"/>
        <v>0</v>
      </c>
      <c r="T21" s="2">
        <f t="shared" si="106"/>
        <v>0</v>
      </c>
      <c r="U21" s="102">
        <f t="shared" si="107"/>
        <v>0</v>
      </c>
      <c r="V21" s="102">
        <f t="shared" si="108"/>
        <v>0</v>
      </c>
      <c r="W21" s="6">
        <f t="shared" si="109"/>
        <v>0</v>
      </c>
      <c r="X21" s="5">
        <f t="shared" si="110"/>
        <v>0</v>
      </c>
      <c r="Y21" s="6">
        <f t="shared" si="111"/>
        <v>0</v>
      </c>
      <c r="Z21" s="5" t="e">
        <f t="shared" si="112"/>
        <v>#DIV/0!</v>
      </c>
      <c r="AA21" s="21">
        <f t="shared" si="113"/>
        <v>0</v>
      </c>
      <c r="AB21" s="6">
        <f t="shared" si="114"/>
        <v>0</v>
      </c>
      <c r="AC21" s="5" t="e">
        <f t="shared" si="115"/>
        <v>#DIV/0!</v>
      </c>
      <c r="AD21" s="6">
        <f t="shared" si="116"/>
        <v>0</v>
      </c>
      <c r="AE21" s="5">
        <f t="shared" si="117"/>
        <v>0</v>
      </c>
      <c r="AF21" s="21">
        <f t="shared" si="118"/>
        <v>0</v>
      </c>
      <c r="AG21" s="6">
        <f t="shared" si="119"/>
        <v>0</v>
      </c>
      <c r="AH21" s="5">
        <f t="shared" si="120"/>
        <v>0</v>
      </c>
      <c r="AI21" s="21">
        <f t="shared" si="121"/>
        <v>0</v>
      </c>
      <c r="AJ21" s="6">
        <f t="shared" si="122"/>
        <v>0</v>
      </c>
      <c r="AK21" s="5">
        <f t="shared" si="123"/>
        <v>0</v>
      </c>
      <c r="AL21" s="21">
        <f t="shared" si="124"/>
        <v>0</v>
      </c>
      <c r="AM21" s="21">
        <f t="shared" si="125"/>
        <v>0</v>
      </c>
      <c r="AN21" s="6">
        <f t="shared" si="126"/>
        <v>0</v>
      </c>
      <c r="AO21" s="5">
        <f t="shared" si="127"/>
        <v>0</v>
      </c>
      <c r="AP21" s="6">
        <f t="shared" si="128"/>
        <v>0</v>
      </c>
      <c r="AQ21" s="5">
        <f t="shared" si="129"/>
        <v>0</v>
      </c>
      <c r="AR21" s="2">
        <f t="shared" si="130"/>
        <v>0</v>
      </c>
      <c r="AS21" s="5">
        <f t="shared" si="131"/>
        <v>0</v>
      </c>
      <c r="AT21" s="21">
        <f t="shared" si="132"/>
        <v>0</v>
      </c>
      <c r="AU21" s="20">
        <f t="shared" si="133"/>
        <v>0</v>
      </c>
      <c r="AV21" s="20">
        <f t="shared" si="134"/>
        <v>1</v>
      </c>
      <c r="AW21" s="199">
        <f t="shared" si="135"/>
        <v>0</v>
      </c>
      <c r="AX21" s="24">
        <f t="shared" si="136"/>
        <v>0</v>
      </c>
      <c r="AY21" s="5">
        <f t="shared" si="137"/>
        <v>0</v>
      </c>
      <c r="AZ21" s="5">
        <f t="shared" si="138"/>
        <v>0</v>
      </c>
      <c r="BA21" s="5">
        <f t="shared" si="139"/>
        <v>0</v>
      </c>
      <c r="BB21" s="5">
        <f t="shared" si="140"/>
        <v>0</v>
      </c>
      <c r="BC21" s="5">
        <f t="shared" si="141"/>
        <v>0</v>
      </c>
      <c r="BD21" s="5">
        <f t="shared" si="142"/>
        <v>0</v>
      </c>
      <c r="BE21" s="199">
        <f t="shared" si="143"/>
        <v>0</v>
      </c>
      <c r="BF21" s="21">
        <f t="shared" si="144"/>
        <v>0</v>
      </c>
      <c r="BG21" s="6">
        <f t="shared" si="145"/>
        <v>0</v>
      </c>
      <c r="BH21" s="5" t="e">
        <f t="shared" si="146"/>
        <v>#DIV/0!</v>
      </c>
      <c r="BI21" s="6">
        <f t="shared" si="147"/>
        <v>0</v>
      </c>
      <c r="BJ21" s="5" t="e">
        <f t="shared" si="148"/>
        <v>#DIV/0!</v>
      </c>
      <c r="BK21" s="20">
        <f t="shared" si="149"/>
        <v>-9.9999999999999998E-13</v>
      </c>
      <c r="BL21" s="20">
        <f t="shared" si="150"/>
        <v>0</v>
      </c>
      <c r="BM21" s="6">
        <f t="shared" si="151"/>
        <v>0</v>
      </c>
      <c r="BN21" s="5">
        <f t="shared" si="152"/>
        <v>0</v>
      </c>
      <c r="BO21" s="333">
        <f t="shared" si="153"/>
        <v>0</v>
      </c>
      <c r="BP21" s="334">
        <f t="shared" si="154"/>
        <v>0</v>
      </c>
      <c r="BQ21" s="6">
        <f t="shared" si="155"/>
        <v>0</v>
      </c>
      <c r="BR21" s="5">
        <f t="shared" si="156"/>
        <v>0</v>
      </c>
      <c r="BS21" s="6">
        <f t="shared" si="157"/>
        <v>0</v>
      </c>
      <c r="BT21" s="5">
        <f t="shared" si="158"/>
        <v>0</v>
      </c>
      <c r="BU21" s="181">
        <f t="shared" si="159"/>
        <v>0</v>
      </c>
      <c r="BV21" s="154">
        <f t="shared" si="160"/>
        <v>0</v>
      </c>
      <c r="BW21" s="181">
        <f t="shared" si="161"/>
        <v>0</v>
      </c>
      <c r="BX21" s="180">
        <f t="shared" si="162"/>
        <v>0</v>
      </c>
      <c r="BY21" s="181">
        <f t="shared" si="163"/>
        <v>0</v>
      </c>
      <c r="BZ21" s="154">
        <f t="shared" si="164"/>
        <v>0</v>
      </c>
      <c r="CA21" s="182">
        <f t="shared" si="165"/>
        <v>0</v>
      </c>
      <c r="CB21" s="2">
        <f t="shared" si="166"/>
        <v>0</v>
      </c>
      <c r="CC21" s="2">
        <f t="shared" si="167"/>
        <v>0</v>
      </c>
      <c r="CD21" s="2">
        <f t="shared" si="168"/>
        <v>0</v>
      </c>
      <c r="CE21" s="2">
        <f t="shared" si="169"/>
        <v>0</v>
      </c>
      <c r="CF21" s="6">
        <f t="shared" si="170"/>
        <v>0</v>
      </c>
      <c r="CG21" s="6">
        <f t="shared" si="171"/>
        <v>0</v>
      </c>
      <c r="CH21" s="6">
        <f t="shared" si="172"/>
        <v>0</v>
      </c>
      <c r="CI21" s="20">
        <f t="shared" si="173"/>
        <v>0</v>
      </c>
      <c r="CJ21" s="133">
        <f t="shared" si="174"/>
        <v>2521</v>
      </c>
      <c r="CK21" s="5">
        <f t="shared" si="175"/>
        <v>0</v>
      </c>
      <c r="CL21" s="302"/>
      <c r="CM21" s="298" t="s">
        <v>13</v>
      </c>
      <c r="CN21" s="298" t="s">
        <v>1194</v>
      </c>
      <c r="CO21" s="298">
        <v>28</v>
      </c>
      <c r="CP21" s="298" t="s">
        <v>1195</v>
      </c>
      <c r="CQ21" s="298" t="s">
        <v>1196</v>
      </c>
      <c r="CR21" s="298" t="s">
        <v>645</v>
      </c>
      <c r="CS21" s="298" t="s">
        <v>689</v>
      </c>
      <c r="CT21" s="298" t="s">
        <v>833</v>
      </c>
      <c r="CU21" s="299">
        <v>47299</v>
      </c>
      <c r="CV21" s="298">
        <v>0</v>
      </c>
      <c r="CW21" s="298">
        <v>0</v>
      </c>
      <c r="CX21" s="298">
        <v>0</v>
      </c>
      <c r="CY21" s="298">
        <v>0</v>
      </c>
      <c r="CZ21" s="298">
        <v>0</v>
      </c>
      <c r="DA21" s="298">
        <v>0</v>
      </c>
      <c r="DB21" s="298">
        <v>0</v>
      </c>
      <c r="DC21" s="298">
        <v>0</v>
      </c>
      <c r="DD21" s="298">
        <v>0</v>
      </c>
      <c r="DE21" s="298">
        <v>0</v>
      </c>
      <c r="DF21" s="298">
        <v>0</v>
      </c>
      <c r="DG21" s="298">
        <v>0</v>
      </c>
      <c r="DH21" s="298">
        <v>0</v>
      </c>
      <c r="DI21" s="298">
        <v>0</v>
      </c>
      <c r="DJ21" s="298">
        <v>0</v>
      </c>
      <c r="DK21" s="298">
        <v>0</v>
      </c>
      <c r="DL21" s="298">
        <v>0</v>
      </c>
      <c r="DM21" s="298">
        <v>0</v>
      </c>
      <c r="DN21" s="298">
        <v>0</v>
      </c>
      <c r="DO21" s="298">
        <v>0</v>
      </c>
      <c r="DP21" s="298">
        <v>0</v>
      </c>
      <c r="DQ21" s="298">
        <v>0</v>
      </c>
      <c r="DR21" s="298">
        <v>0</v>
      </c>
      <c r="DS21" s="298">
        <v>0</v>
      </c>
      <c r="DT21" s="298">
        <v>0</v>
      </c>
      <c r="DU21" s="298">
        <v>0</v>
      </c>
      <c r="DV21" s="303" t="s">
        <v>548</v>
      </c>
    </row>
    <row r="22" spans="1:126" ht="24.95" customHeight="1" thickBot="1" x14ac:dyDescent="0.3">
      <c r="A22" s="29" t="str">
        <f t="shared" si="0"/>
        <v>21º</v>
      </c>
      <c r="B22" s="69" t="str">
        <f t="shared" si="89"/>
        <v>Gabriel Cabral</v>
      </c>
      <c r="C22" s="269" t="str">
        <f t="shared" si="90"/>
        <v>BRA</v>
      </c>
      <c r="D22" s="99" t="str">
        <f t="shared" si="91"/>
        <v>Pé Direito</v>
      </c>
      <c r="E22" s="28" t="str">
        <f t="shared" si="92"/>
        <v>Famalicão</v>
      </c>
      <c r="F22" s="169">
        <f t="shared" si="93"/>
        <v>25</v>
      </c>
      <c r="G22" s="2" t="str">
        <f t="shared" si="94"/>
        <v>10m €</v>
      </c>
      <c r="H22" s="154">
        <f t="shared" si="95"/>
        <v>1.96</v>
      </c>
      <c r="I22" s="64">
        <f t="shared" si="96"/>
        <v>47299</v>
      </c>
      <c r="J22" s="304" t="str">
        <f t="shared" si="97"/>
        <v>3,7m € p/m</v>
      </c>
      <c r="K22" s="96">
        <f t="shared" si="10"/>
        <v>3.5222222222222221</v>
      </c>
      <c r="L22" s="146">
        <f t="shared" si="98"/>
        <v>0</v>
      </c>
      <c r="M22" s="6">
        <f t="shared" si="99"/>
        <v>0</v>
      </c>
      <c r="N22" s="5">
        <f t="shared" si="100"/>
        <v>5400</v>
      </c>
      <c r="O22" s="21">
        <f t="shared" si="101"/>
        <v>0</v>
      </c>
      <c r="P22" s="2">
        <f t="shared" si="102"/>
        <v>0</v>
      </c>
      <c r="Q22" s="2">
        <f t="shared" si="103"/>
        <v>0</v>
      </c>
      <c r="R22" s="5">
        <f t="shared" si="104"/>
        <v>0</v>
      </c>
      <c r="S22" s="2">
        <f t="shared" si="105"/>
        <v>0</v>
      </c>
      <c r="T22" s="2">
        <f t="shared" si="106"/>
        <v>0</v>
      </c>
      <c r="U22" s="102">
        <f t="shared" si="107"/>
        <v>0</v>
      </c>
      <c r="V22" s="102">
        <f t="shared" si="108"/>
        <v>0</v>
      </c>
      <c r="W22" s="6">
        <f t="shared" si="109"/>
        <v>0</v>
      </c>
      <c r="X22" s="5">
        <f t="shared" si="110"/>
        <v>0</v>
      </c>
      <c r="Y22" s="6">
        <f t="shared" si="111"/>
        <v>0</v>
      </c>
      <c r="Z22" s="5" t="e">
        <f t="shared" si="112"/>
        <v>#DIV/0!</v>
      </c>
      <c r="AA22" s="21">
        <f t="shared" si="113"/>
        <v>0</v>
      </c>
      <c r="AB22" s="6">
        <f t="shared" si="114"/>
        <v>0</v>
      </c>
      <c r="AC22" s="5" t="e">
        <f t="shared" si="115"/>
        <v>#DIV/0!</v>
      </c>
      <c r="AD22" s="6">
        <f t="shared" si="116"/>
        <v>0</v>
      </c>
      <c r="AE22" s="5">
        <f t="shared" si="117"/>
        <v>0</v>
      </c>
      <c r="AF22" s="21">
        <f t="shared" si="118"/>
        <v>0</v>
      </c>
      <c r="AG22" s="6">
        <f t="shared" si="119"/>
        <v>0</v>
      </c>
      <c r="AH22" s="5">
        <f t="shared" si="120"/>
        <v>0</v>
      </c>
      <c r="AI22" s="21">
        <f t="shared" si="121"/>
        <v>0</v>
      </c>
      <c r="AJ22" s="6">
        <f t="shared" si="122"/>
        <v>0</v>
      </c>
      <c r="AK22" s="5">
        <f t="shared" si="123"/>
        <v>0</v>
      </c>
      <c r="AL22" s="21">
        <f t="shared" si="124"/>
        <v>0</v>
      </c>
      <c r="AM22" s="21">
        <f t="shared" si="125"/>
        <v>0</v>
      </c>
      <c r="AN22" s="6">
        <f t="shared" si="126"/>
        <v>0</v>
      </c>
      <c r="AO22" s="5">
        <f t="shared" si="127"/>
        <v>0</v>
      </c>
      <c r="AP22" s="6">
        <f t="shared" si="128"/>
        <v>0</v>
      </c>
      <c r="AQ22" s="5">
        <f t="shared" si="129"/>
        <v>0</v>
      </c>
      <c r="AR22" s="2">
        <f t="shared" si="130"/>
        <v>0</v>
      </c>
      <c r="AS22" s="5">
        <f t="shared" si="131"/>
        <v>0</v>
      </c>
      <c r="AT22" s="21">
        <f t="shared" si="132"/>
        <v>0</v>
      </c>
      <c r="AU22" s="20">
        <f t="shared" si="133"/>
        <v>0</v>
      </c>
      <c r="AV22" s="20">
        <f t="shared" si="134"/>
        <v>1</v>
      </c>
      <c r="AW22" s="199">
        <f t="shared" si="135"/>
        <v>0</v>
      </c>
      <c r="AX22" s="24">
        <f t="shared" si="136"/>
        <v>0</v>
      </c>
      <c r="AY22" s="5">
        <f t="shared" si="137"/>
        <v>0</v>
      </c>
      <c r="AZ22" s="5">
        <f t="shared" si="138"/>
        <v>0</v>
      </c>
      <c r="BA22" s="5">
        <f t="shared" si="139"/>
        <v>0</v>
      </c>
      <c r="BB22" s="5">
        <f t="shared" si="140"/>
        <v>0</v>
      </c>
      <c r="BC22" s="5">
        <f t="shared" si="141"/>
        <v>0</v>
      </c>
      <c r="BD22" s="5">
        <f t="shared" si="142"/>
        <v>0</v>
      </c>
      <c r="BE22" s="199">
        <f t="shared" si="143"/>
        <v>0</v>
      </c>
      <c r="BF22" s="21">
        <f t="shared" si="144"/>
        <v>0</v>
      </c>
      <c r="BG22" s="6">
        <f t="shared" si="145"/>
        <v>0</v>
      </c>
      <c r="BH22" s="5" t="e">
        <f t="shared" si="146"/>
        <v>#DIV/0!</v>
      </c>
      <c r="BI22" s="6">
        <f t="shared" si="147"/>
        <v>0</v>
      </c>
      <c r="BJ22" s="5" t="e">
        <f t="shared" si="148"/>
        <v>#DIV/0!</v>
      </c>
      <c r="BK22" s="20">
        <f t="shared" si="149"/>
        <v>-9.9999999999999998E-13</v>
      </c>
      <c r="BL22" s="20">
        <f t="shared" si="150"/>
        <v>0</v>
      </c>
      <c r="BM22" s="6">
        <f t="shared" si="151"/>
        <v>0</v>
      </c>
      <c r="BN22" s="5">
        <f t="shared" si="152"/>
        <v>0</v>
      </c>
      <c r="BO22" s="333">
        <f t="shared" si="153"/>
        <v>0</v>
      </c>
      <c r="BP22" s="334">
        <f t="shared" si="154"/>
        <v>0</v>
      </c>
      <c r="BQ22" s="6">
        <f t="shared" si="155"/>
        <v>0</v>
      </c>
      <c r="BR22" s="5">
        <f t="shared" si="156"/>
        <v>0</v>
      </c>
      <c r="BS22" s="6">
        <f t="shared" si="157"/>
        <v>0</v>
      </c>
      <c r="BT22" s="5">
        <f t="shared" si="158"/>
        <v>0</v>
      </c>
      <c r="BU22" s="181">
        <f t="shared" si="159"/>
        <v>0</v>
      </c>
      <c r="BV22" s="154">
        <f t="shared" si="160"/>
        <v>0</v>
      </c>
      <c r="BW22" s="181">
        <f t="shared" si="161"/>
        <v>0</v>
      </c>
      <c r="BX22" s="180">
        <f t="shared" si="162"/>
        <v>0</v>
      </c>
      <c r="BY22" s="181">
        <f t="shared" si="163"/>
        <v>0</v>
      </c>
      <c r="BZ22" s="154">
        <f t="shared" si="164"/>
        <v>0</v>
      </c>
      <c r="CA22" s="182">
        <f t="shared" si="165"/>
        <v>0</v>
      </c>
      <c r="CB22" s="2">
        <f t="shared" si="166"/>
        <v>0</v>
      </c>
      <c r="CC22" s="2">
        <f t="shared" si="167"/>
        <v>0</v>
      </c>
      <c r="CD22" s="2">
        <f t="shared" si="168"/>
        <v>0</v>
      </c>
      <c r="CE22" s="2">
        <f t="shared" si="169"/>
        <v>0</v>
      </c>
      <c r="CF22" s="6">
        <f t="shared" si="170"/>
        <v>0</v>
      </c>
      <c r="CG22" s="6">
        <f t="shared" si="171"/>
        <v>0</v>
      </c>
      <c r="CH22" s="6">
        <f t="shared" si="172"/>
        <v>0</v>
      </c>
      <c r="CI22" s="20">
        <f t="shared" si="173"/>
        <v>0</v>
      </c>
      <c r="CJ22" s="133">
        <f t="shared" si="174"/>
        <v>2521</v>
      </c>
      <c r="CK22" s="5">
        <f t="shared" si="175"/>
        <v>0</v>
      </c>
      <c r="CL22" s="300" t="s">
        <v>19</v>
      </c>
      <c r="CM22" s="296" t="s">
        <v>13</v>
      </c>
      <c r="CN22" s="296" t="s">
        <v>1197</v>
      </c>
      <c r="CO22" s="296">
        <v>25</v>
      </c>
      <c r="CP22" s="296" t="s">
        <v>1198</v>
      </c>
      <c r="CQ22" s="296" t="s">
        <v>1127</v>
      </c>
      <c r="CR22" s="296" t="s">
        <v>644</v>
      </c>
      <c r="CS22" s="296" t="s">
        <v>1132</v>
      </c>
      <c r="CT22" s="296" t="s">
        <v>833</v>
      </c>
      <c r="CU22" s="297">
        <v>47299</v>
      </c>
      <c r="CV22" s="296">
        <v>0</v>
      </c>
      <c r="CW22" s="296">
        <v>0</v>
      </c>
      <c r="CX22" s="296">
        <v>0</v>
      </c>
      <c r="CY22" s="296">
        <v>0</v>
      </c>
      <c r="CZ22" s="296">
        <v>0</v>
      </c>
      <c r="DA22" s="296">
        <v>0</v>
      </c>
      <c r="DB22" s="296">
        <v>0</v>
      </c>
      <c r="DC22" s="296">
        <v>0</v>
      </c>
      <c r="DD22" s="296">
        <v>0</v>
      </c>
      <c r="DE22" s="296">
        <v>0</v>
      </c>
      <c r="DF22" s="296">
        <v>0</v>
      </c>
      <c r="DG22" s="296">
        <v>0</v>
      </c>
      <c r="DH22" s="296">
        <v>0</v>
      </c>
      <c r="DI22" s="296">
        <v>0</v>
      </c>
      <c r="DJ22" s="296">
        <v>0</v>
      </c>
      <c r="DK22" s="296">
        <v>0</v>
      </c>
      <c r="DL22" s="296">
        <v>0</v>
      </c>
      <c r="DM22" s="296">
        <v>0</v>
      </c>
      <c r="DN22" s="296">
        <v>0</v>
      </c>
      <c r="DO22" s="296">
        <v>0</v>
      </c>
      <c r="DP22" s="296">
        <v>0</v>
      </c>
      <c r="DQ22" s="296">
        <v>0</v>
      </c>
      <c r="DR22" s="296">
        <v>0</v>
      </c>
      <c r="DS22" s="296">
        <v>0</v>
      </c>
      <c r="DT22" s="296">
        <v>0</v>
      </c>
      <c r="DU22" s="296">
        <v>0</v>
      </c>
      <c r="DV22" s="301" t="s">
        <v>548</v>
      </c>
    </row>
    <row r="23" spans="1:126" ht="24.95" customHeight="1" thickBot="1" x14ac:dyDescent="0.3">
      <c r="A23" s="29" t="str">
        <f t="shared" si="0"/>
        <v>22º</v>
      </c>
      <c r="B23" s="69" t="str">
        <f t="shared" si="89"/>
        <v>Afonso</v>
      </c>
      <c r="C23" s="269" t="str">
        <f t="shared" si="90"/>
        <v>BRA</v>
      </c>
      <c r="D23" s="99" t="str">
        <f t="shared" si="91"/>
        <v>Pé Direito</v>
      </c>
      <c r="E23" s="28" t="str">
        <f t="shared" si="92"/>
        <v>LUV</v>
      </c>
      <c r="F23" s="169">
        <f t="shared" si="93"/>
        <v>29</v>
      </c>
      <c r="G23" s="2" t="str">
        <f t="shared" si="94"/>
        <v>0 €</v>
      </c>
      <c r="H23" s="154">
        <f t="shared" si="95"/>
        <v>1.87</v>
      </c>
      <c r="I23" s="64">
        <f t="shared" si="96"/>
        <v>47483</v>
      </c>
      <c r="J23" s="304" t="str">
        <f t="shared" si="97"/>
        <v>1,6m € p/m</v>
      </c>
      <c r="K23" s="96">
        <f t="shared" si="10"/>
        <v>3.5222222222222221</v>
      </c>
      <c r="L23" s="146">
        <f t="shared" si="98"/>
        <v>4.2222222222222223</v>
      </c>
      <c r="M23" s="6">
        <f t="shared" si="99"/>
        <v>1</v>
      </c>
      <c r="N23" s="5">
        <f t="shared" si="100"/>
        <v>380</v>
      </c>
      <c r="O23" s="21">
        <f t="shared" si="101"/>
        <v>0.23684210526315788</v>
      </c>
      <c r="P23" s="2">
        <f t="shared" si="102"/>
        <v>143</v>
      </c>
      <c r="Q23" s="2">
        <f t="shared" si="103"/>
        <v>111</v>
      </c>
      <c r="R23" s="5">
        <f t="shared" si="104"/>
        <v>26.289473684210527</v>
      </c>
      <c r="S23" s="2">
        <f t="shared" si="105"/>
        <v>32</v>
      </c>
      <c r="T23" s="2">
        <f t="shared" si="106"/>
        <v>79</v>
      </c>
      <c r="U23" s="102">
        <f t="shared" si="107"/>
        <v>0.22377622377622378</v>
      </c>
      <c r="V23" s="102">
        <f t="shared" si="108"/>
        <v>0.77622377622377625</v>
      </c>
      <c r="W23" s="6">
        <f t="shared" si="109"/>
        <v>143</v>
      </c>
      <c r="X23" s="5">
        <f t="shared" si="110"/>
        <v>33.868421052631575</v>
      </c>
      <c r="Y23" s="6">
        <f t="shared" si="111"/>
        <v>0</v>
      </c>
      <c r="Z23" s="5">
        <f t="shared" si="112"/>
        <v>0</v>
      </c>
      <c r="AA23" s="21">
        <f t="shared" si="113"/>
        <v>0</v>
      </c>
      <c r="AB23" s="6">
        <f t="shared" si="114"/>
        <v>0</v>
      </c>
      <c r="AC23" s="5">
        <f t="shared" si="115"/>
        <v>0</v>
      </c>
      <c r="AD23" s="6">
        <f t="shared" si="116"/>
        <v>1</v>
      </c>
      <c r="AE23" s="5">
        <f t="shared" si="117"/>
        <v>0.23684210526315788</v>
      </c>
      <c r="AF23" s="21">
        <f t="shared" si="118"/>
        <v>0.25</v>
      </c>
      <c r="AG23" s="6">
        <f t="shared" si="119"/>
        <v>0</v>
      </c>
      <c r="AH23" s="5">
        <f t="shared" si="120"/>
        <v>0</v>
      </c>
      <c r="AI23" s="21">
        <f t="shared" si="121"/>
        <v>0</v>
      </c>
      <c r="AJ23" s="6">
        <f t="shared" si="122"/>
        <v>3</v>
      </c>
      <c r="AK23" s="5">
        <f t="shared" si="123"/>
        <v>0.11411411411411411</v>
      </c>
      <c r="AL23" s="21">
        <f t="shared" si="124"/>
        <v>0.75</v>
      </c>
      <c r="AM23" s="21">
        <f t="shared" si="125"/>
        <v>1.1842105263157894</v>
      </c>
      <c r="AN23" s="6">
        <f t="shared" si="126"/>
        <v>5</v>
      </c>
      <c r="AO23" s="5">
        <f t="shared" si="127"/>
        <v>1.1842105263157894</v>
      </c>
      <c r="AP23" s="6">
        <f t="shared" si="128"/>
        <v>4</v>
      </c>
      <c r="AQ23" s="5">
        <f t="shared" si="129"/>
        <v>0.94736842105263153</v>
      </c>
      <c r="AR23" s="2">
        <f t="shared" si="130"/>
        <v>5</v>
      </c>
      <c r="AS23" s="5">
        <f t="shared" si="131"/>
        <v>1.1842105263157894</v>
      </c>
      <c r="AT23" s="21">
        <f t="shared" si="132"/>
        <v>0.8</v>
      </c>
      <c r="AU23" s="20">
        <f t="shared" si="133"/>
        <v>0.75</v>
      </c>
      <c r="AV23" s="20">
        <f t="shared" si="134"/>
        <v>0.2</v>
      </c>
      <c r="AW23" s="199">
        <f t="shared" si="135"/>
        <v>1.1000000000000001</v>
      </c>
      <c r="AX23" s="24">
        <f t="shared" si="136"/>
        <v>380</v>
      </c>
      <c r="AY23" s="5">
        <f t="shared" si="137"/>
        <v>5</v>
      </c>
      <c r="AZ23" s="5">
        <f t="shared" si="138"/>
        <v>4</v>
      </c>
      <c r="BA23" s="5">
        <f t="shared" si="139"/>
        <v>0.88</v>
      </c>
      <c r="BB23" s="5">
        <f t="shared" si="140"/>
        <v>0.20842105263157895</v>
      </c>
      <c r="BC23" s="5">
        <f t="shared" si="141"/>
        <v>0.88</v>
      </c>
      <c r="BD23" s="5">
        <f t="shared" si="142"/>
        <v>0.20842105263157895</v>
      </c>
      <c r="BE23" s="199">
        <f t="shared" si="143"/>
        <v>0.17600000000000002</v>
      </c>
      <c r="BF23" s="21">
        <f t="shared" si="144"/>
        <v>0.46808510638297873</v>
      </c>
      <c r="BG23" s="6">
        <f t="shared" si="145"/>
        <v>0</v>
      </c>
      <c r="BH23" s="5">
        <f t="shared" si="146"/>
        <v>0</v>
      </c>
      <c r="BI23" s="6">
        <f t="shared" si="147"/>
        <v>0</v>
      </c>
      <c r="BJ23" s="5">
        <f t="shared" si="148"/>
        <v>0</v>
      </c>
      <c r="BK23" s="20">
        <f t="shared" si="149"/>
        <v>-9.9999999999999998E-13</v>
      </c>
      <c r="BL23" s="20">
        <f t="shared" si="150"/>
        <v>6.7430883344571813E-4</v>
      </c>
      <c r="BM23" s="6">
        <f t="shared" si="151"/>
        <v>1</v>
      </c>
      <c r="BN23" s="5">
        <f t="shared" si="152"/>
        <v>0.23684210526315788</v>
      </c>
      <c r="BO23" s="333">
        <f t="shared" si="153"/>
        <v>0</v>
      </c>
      <c r="BP23" s="334">
        <f t="shared" si="154"/>
        <v>0</v>
      </c>
      <c r="BQ23" s="6">
        <f t="shared" si="155"/>
        <v>7.177777777777778</v>
      </c>
      <c r="BR23" s="5">
        <f t="shared" si="156"/>
        <v>1.7</v>
      </c>
      <c r="BS23" s="6">
        <f t="shared" si="157"/>
        <v>11.822222222222221</v>
      </c>
      <c r="BT23" s="5">
        <f t="shared" si="158"/>
        <v>2.8</v>
      </c>
      <c r="BU23" s="181">
        <f t="shared" si="159"/>
        <v>0</v>
      </c>
      <c r="BV23" s="154">
        <f t="shared" si="160"/>
        <v>0</v>
      </c>
      <c r="BW23" s="181">
        <f t="shared" si="161"/>
        <v>0</v>
      </c>
      <c r="BX23" s="180">
        <f t="shared" si="162"/>
        <v>0</v>
      </c>
      <c r="BY23" s="181">
        <f t="shared" si="163"/>
        <v>0</v>
      </c>
      <c r="BZ23" s="154">
        <f t="shared" si="164"/>
        <v>0</v>
      </c>
      <c r="CA23" s="182">
        <f t="shared" si="165"/>
        <v>0</v>
      </c>
      <c r="CB23" s="2">
        <f t="shared" si="166"/>
        <v>0</v>
      </c>
      <c r="CC23" s="2">
        <f t="shared" si="167"/>
        <v>0</v>
      </c>
      <c r="CD23" s="2">
        <f t="shared" si="168"/>
        <v>0</v>
      </c>
      <c r="CE23" s="2">
        <f t="shared" si="169"/>
        <v>1</v>
      </c>
      <c r="CF23" s="6">
        <f t="shared" si="170"/>
        <v>0</v>
      </c>
      <c r="CG23" s="6">
        <f t="shared" si="171"/>
        <v>161.72399999999999</v>
      </c>
      <c r="CH23" s="6">
        <f t="shared" si="172"/>
        <v>115</v>
      </c>
      <c r="CI23" s="20">
        <f t="shared" si="173"/>
        <v>0.71108802651430836</v>
      </c>
      <c r="CJ23" s="133">
        <f t="shared" si="174"/>
        <v>2521</v>
      </c>
      <c r="CK23" s="5">
        <f t="shared" si="175"/>
        <v>7.02</v>
      </c>
      <c r="CL23" s="302"/>
      <c r="CM23" s="298" t="s">
        <v>13</v>
      </c>
      <c r="CN23" s="298" t="s">
        <v>1199</v>
      </c>
      <c r="CO23" s="298">
        <v>29</v>
      </c>
      <c r="CP23" s="298" t="s">
        <v>1200</v>
      </c>
      <c r="CQ23" s="298" t="s">
        <v>1131</v>
      </c>
      <c r="CR23" s="298" t="s">
        <v>644</v>
      </c>
      <c r="CS23" s="298" t="s">
        <v>884</v>
      </c>
      <c r="CT23" s="298" t="s">
        <v>911</v>
      </c>
      <c r="CU23" s="299">
        <v>47483</v>
      </c>
      <c r="CV23" s="298">
        <v>1</v>
      </c>
      <c r="CW23" s="298">
        <v>380</v>
      </c>
      <c r="CX23" s="298">
        <v>1</v>
      </c>
      <c r="CY23" s="298">
        <v>1</v>
      </c>
      <c r="CZ23" s="298">
        <v>0</v>
      </c>
      <c r="DA23" s="298">
        <v>3</v>
      </c>
      <c r="DB23" s="298">
        <v>0</v>
      </c>
      <c r="DC23" s="298">
        <v>1.7</v>
      </c>
      <c r="DD23" s="298">
        <v>2.8</v>
      </c>
      <c r="DE23" s="298">
        <v>5</v>
      </c>
      <c r="DF23" s="298">
        <v>0</v>
      </c>
      <c r="DG23" s="298">
        <v>0</v>
      </c>
      <c r="DH23" s="298">
        <v>0</v>
      </c>
      <c r="DI23" s="298">
        <v>1</v>
      </c>
      <c r="DJ23" s="298">
        <v>0</v>
      </c>
      <c r="DK23" s="298">
        <v>0</v>
      </c>
      <c r="DL23" s="298">
        <v>143</v>
      </c>
      <c r="DM23" s="298">
        <v>111</v>
      </c>
      <c r="DN23" s="298" t="s">
        <v>1201</v>
      </c>
      <c r="DO23" s="298">
        <v>0</v>
      </c>
      <c r="DP23" s="298">
        <v>0</v>
      </c>
      <c r="DQ23" s="298">
        <v>0</v>
      </c>
      <c r="DR23" s="298">
        <v>0</v>
      </c>
      <c r="DS23" s="298">
        <v>0</v>
      </c>
      <c r="DT23" s="298">
        <v>0</v>
      </c>
      <c r="DU23" s="298">
        <v>0</v>
      </c>
      <c r="DV23" s="303">
        <v>7.02</v>
      </c>
    </row>
    <row r="24" spans="1:126" ht="24.95" customHeight="1" thickBot="1" x14ac:dyDescent="0.3">
      <c r="A24" s="29" t="str">
        <f t="shared" si="0"/>
        <v>23º</v>
      </c>
      <c r="B24" s="69" t="str">
        <f t="shared" si="89"/>
        <v>Álex Dos Santos</v>
      </c>
      <c r="C24" s="269" t="str">
        <f t="shared" si="90"/>
        <v>BRA</v>
      </c>
      <c r="D24" s="99" t="str">
        <f t="shared" si="91"/>
        <v>Pé Direito</v>
      </c>
      <c r="E24" s="28" t="str">
        <f t="shared" si="92"/>
        <v>Algeciras</v>
      </c>
      <c r="F24" s="169">
        <f t="shared" si="93"/>
        <v>29</v>
      </c>
      <c r="G24" s="2" t="str">
        <f t="shared" si="94"/>
        <v>4m € - 40m €</v>
      </c>
      <c r="H24" s="154">
        <f t="shared" si="95"/>
        <v>1.85</v>
      </c>
      <c r="I24" s="64">
        <f t="shared" si="96"/>
        <v>47299</v>
      </c>
      <c r="J24" s="304" t="str">
        <f t="shared" si="97"/>
        <v>8,5m € p/m</v>
      </c>
      <c r="K24" s="96">
        <f t="shared" si="10"/>
        <v>3.5222222222222221</v>
      </c>
      <c r="L24" s="146">
        <f t="shared" si="98"/>
        <v>0</v>
      </c>
      <c r="M24" s="6">
        <f t="shared" si="99"/>
        <v>0</v>
      </c>
      <c r="N24" s="5">
        <f t="shared" si="100"/>
        <v>5400</v>
      </c>
      <c r="O24" s="21">
        <f t="shared" si="101"/>
        <v>0</v>
      </c>
      <c r="P24" s="2">
        <f t="shared" si="102"/>
        <v>0</v>
      </c>
      <c r="Q24" s="2">
        <f t="shared" si="103"/>
        <v>0</v>
      </c>
      <c r="R24" s="5">
        <f t="shared" si="104"/>
        <v>0</v>
      </c>
      <c r="S24" s="2">
        <f t="shared" si="105"/>
        <v>0</v>
      </c>
      <c r="T24" s="2">
        <f t="shared" si="106"/>
        <v>0</v>
      </c>
      <c r="U24" s="102">
        <f t="shared" si="107"/>
        <v>0</v>
      </c>
      <c r="V24" s="102">
        <f t="shared" si="108"/>
        <v>0</v>
      </c>
      <c r="W24" s="6">
        <f t="shared" si="109"/>
        <v>0</v>
      </c>
      <c r="X24" s="5">
        <f t="shared" si="110"/>
        <v>0</v>
      </c>
      <c r="Y24" s="6">
        <f t="shared" si="111"/>
        <v>0</v>
      </c>
      <c r="Z24" s="5" t="e">
        <f t="shared" si="112"/>
        <v>#DIV/0!</v>
      </c>
      <c r="AA24" s="21">
        <f t="shared" si="113"/>
        <v>0</v>
      </c>
      <c r="AB24" s="6">
        <f t="shared" si="114"/>
        <v>0</v>
      </c>
      <c r="AC24" s="5" t="e">
        <f t="shared" si="115"/>
        <v>#DIV/0!</v>
      </c>
      <c r="AD24" s="6">
        <f t="shared" si="116"/>
        <v>0</v>
      </c>
      <c r="AE24" s="5">
        <f t="shared" si="117"/>
        <v>0</v>
      </c>
      <c r="AF24" s="21">
        <f t="shared" si="118"/>
        <v>0</v>
      </c>
      <c r="AG24" s="6">
        <f t="shared" si="119"/>
        <v>0</v>
      </c>
      <c r="AH24" s="5">
        <f t="shared" si="120"/>
        <v>0</v>
      </c>
      <c r="AI24" s="21">
        <f t="shared" si="121"/>
        <v>0</v>
      </c>
      <c r="AJ24" s="6">
        <f t="shared" si="122"/>
        <v>0</v>
      </c>
      <c r="AK24" s="5">
        <f t="shared" si="123"/>
        <v>0</v>
      </c>
      <c r="AL24" s="21">
        <f t="shared" si="124"/>
        <v>0</v>
      </c>
      <c r="AM24" s="21">
        <f t="shared" si="125"/>
        <v>0</v>
      </c>
      <c r="AN24" s="6">
        <f t="shared" si="126"/>
        <v>0</v>
      </c>
      <c r="AO24" s="5">
        <f t="shared" si="127"/>
        <v>0</v>
      </c>
      <c r="AP24" s="6">
        <f t="shared" si="128"/>
        <v>0</v>
      </c>
      <c r="AQ24" s="5">
        <f t="shared" si="129"/>
        <v>0</v>
      </c>
      <c r="AR24" s="2">
        <f t="shared" si="130"/>
        <v>0</v>
      </c>
      <c r="AS24" s="5">
        <f t="shared" si="131"/>
        <v>0</v>
      </c>
      <c r="AT24" s="21">
        <f t="shared" si="132"/>
        <v>0</v>
      </c>
      <c r="AU24" s="20">
        <f t="shared" si="133"/>
        <v>0</v>
      </c>
      <c r="AV24" s="20">
        <f t="shared" si="134"/>
        <v>1</v>
      </c>
      <c r="AW24" s="199">
        <f t="shared" si="135"/>
        <v>0</v>
      </c>
      <c r="AX24" s="24">
        <f t="shared" si="136"/>
        <v>0</v>
      </c>
      <c r="AY24" s="5">
        <f t="shared" si="137"/>
        <v>0</v>
      </c>
      <c r="AZ24" s="5">
        <f t="shared" si="138"/>
        <v>0</v>
      </c>
      <c r="BA24" s="5">
        <f t="shared" si="139"/>
        <v>0</v>
      </c>
      <c r="BB24" s="5">
        <f t="shared" si="140"/>
        <v>0</v>
      </c>
      <c r="BC24" s="5">
        <f t="shared" si="141"/>
        <v>0</v>
      </c>
      <c r="BD24" s="5">
        <f t="shared" si="142"/>
        <v>0</v>
      </c>
      <c r="BE24" s="199">
        <f t="shared" si="143"/>
        <v>0</v>
      </c>
      <c r="BF24" s="21">
        <f t="shared" si="144"/>
        <v>0</v>
      </c>
      <c r="BG24" s="6">
        <f t="shared" si="145"/>
        <v>0</v>
      </c>
      <c r="BH24" s="5" t="e">
        <f t="shared" si="146"/>
        <v>#DIV/0!</v>
      </c>
      <c r="BI24" s="6">
        <f t="shared" si="147"/>
        <v>0</v>
      </c>
      <c r="BJ24" s="5" t="e">
        <f t="shared" si="148"/>
        <v>#DIV/0!</v>
      </c>
      <c r="BK24" s="20">
        <f t="shared" si="149"/>
        <v>-9.9999999999999998E-13</v>
      </c>
      <c r="BL24" s="20">
        <f t="shared" si="150"/>
        <v>0</v>
      </c>
      <c r="BM24" s="6">
        <f t="shared" si="151"/>
        <v>0</v>
      </c>
      <c r="BN24" s="5">
        <f t="shared" si="152"/>
        <v>0</v>
      </c>
      <c r="BO24" s="333">
        <f t="shared" si="153"/>
        <v>0</v>
      </c>
      <c r="BP24" s="334">
        <f t="shared" si="154"/>
        <v>0</v>
      </c>
      <c r="BQ24" s="6">
        <f t="shared" si="155"/>
        <v>0</v>
      </c>
      <c r="BR24" s="5">
        <f t="shared" si="156"/>
        <v>0</v>
      </c>
      <c r="BS24" s="6">
        <f t="shared" si="157"/>
        <v>0</v>
      </c>
      <c r="BT24" s="5">
        <f t="shared" si="158"/>
        <v>0</v>
      </c>
      <c r="BU24" s="181">
        <f t="shared" si="159"/>
        <v>0</v>
      </c>
      <c r="BV24" s="154">
        <f t="shared" si="160"/>
        <v>0</v>
      </c>
      <c r="BW24" s="181">
        <f t="shared" si="161"/>
        <v>0</v>
      </c>
      <c r="BX24" s="180">
        <f t="shared" si="162"/>
        <v>0</v>
      </c>
      <c r="BY24" s="181">
        <f t="shared" si="163"/>
        <v>0</v>
      </c>
      <c r="BZ24" s="154">
        <f t="shared" si="164"/>
        <v>0</v>
      </c>
      <c r="CA24" s="182">
        <f t="shared" si="165"/>
        <v>0</v>
      </c>
      <c r="CB24" s="2">
        <f t="shared" si="166"/>
        <v>0</v>
      </c>
      <c r="CC24" s="2">
        <f t="shared" si="167"/>
        <v>0</v>
      </c>
      <c r="CD24" s="2">
        <f t="shared" si="168"/>
        <v>0</v>
      </c>
      <c r="CE24" s="2">
        <f t="shared" si="169"/>
        <v>0</v>
      </c>
      <c r="CF24" s="6">
        <f t="shared" si="170"/>
        <v>0</v>
      </c>
      <c r="CG24" s="6">
        <f t="shared" si="171"/>
        <v>0</v>
      </c>
      <c r="CH24" s="6">
        <f t="shared" si="172"/>
        <v>0</v>
      </c>
      <c r="CI24" s="20">
        <f t="shared" si="173"/>
        <v>0</v>
      </c>
      <c r="CJ24" s="133">
        <f t="shared" si="174"/>
        <v>2521</v>
      </c>
      <c r="CK24" s="5">
        <f t="shared" si="175"/>
        <v>0</v>
      </c>
      <c r="CL24" s="300"/>
      <c r="CM24" s="296" t="s">
        <v>13</v>
      </c>
      <c r="CN24" s="296" t="s">
        <v>1202</v>
      </c>
      <c r="CO24" s="296">
        <v>29</v>
      </c>
      <c r="CP24" s="296" t="s">
        <v>1203</v>
      </c>
      <c r="CQ24" s="296" t="s">
        <v>1204</v>
      </c>
      <c r="CR24" s="296" t="s">
        <v>644</v>
      </c>
      <c r="CS24" s="296" t="s">
        <v>762</v>
      </c>
      <c r="CT24" s="296" t="s">
        <v>587</v>
      </c>
      <c r="CU24" s="297">
        <v>47299</v>
      </c>
      <c r="CV24" s="296">
        <v>0</v>
      </c>
      <c r="CW24" s="296">
        <v>0</v>
      </c>
      <c r="CX24" s="296">
        <v>0</v>
      </c>
      <c r="CY24" s="296">
        <v>0</v>
      </c>
      <c r="CZ24" s="296">
        <v>0</v>
      </c>
      <c r="DA24" s="296">
        <v>0</v>
      </c>
      <c r="DB24" s="296">
        <v>0</v>
      </c>
      <c r="DC24" s="296">
        <v>0</v>
      </c>
      <c r="DD24" s="296">
        <v>0</v>
      </c>
      <c r="DE24" s="296">
        <v>0</v>
      </c>
      <c r="DF24" s="296">
        <v>0</v>
      </c>
      <c r="DG24" s="296">
        <v>0</v>
      </c>
      <c r="DH24" s="296">
        <v>0</v>
      </c>
      <c r="DI24" s="296">
        <v>0</v>
      </c>
      <c r="DJ24" s="296">
        <v>0</v>
      </c>
      <c r="DK24" s="296">
        <v>0</v>
      </c>
      <c r="DL24" s="296">
        <v>0</v>
      </c>
      <c r="DM24" s="296">
        <v>0</v>
      </c>
      <c r="DN24" s="296">
        <v>0</v>
      </c>
      <c r="DO24" s="296">
        <v>0</v>
      </c>
      <c r="DP24" s="296">
        <v>0</v>
      </c>
      <c r="DQ24" s="296">
        <v>0</v>
      </c>
      <c r="DR24" s="296">
        <v>0</v>
      </c>
      <c r="DS24" s="296">
        <v>0</v>
      </c>
      <c r="DT24" s="296">
        <v>0</v>
      </c>
      <c r="DU24" s="296">
        <v>0</v>
      </c>
      <c r="DV24" s="301" t="s">
        <v>548</v>
      </c>
    </row>
    <row r="25" spans="1:126" ht="24.95" customHeight="1" thickBot="1" x14ac:dyDescent="0.3">
      <c r="A25" s="29" t="str">
        <f t="shared" si="0"/>
        <v>24º</v>
      </c>
      <c r="B25" s="69" t="str">
        <f t="shared" si="89"/>
        <v>Lucas</v>
      </c>
      <c r="C25" s="269" t="str">
        <f t="shared" si="90"/>
        <v>BRA</v>
      </c>
      <c r="D25" s="99" t="str">
        <f t="shared" si="91"/>
        <v>Pé Direito</v>
      </c>
      <c r="E25" s="28" t="str">
        <f t="shared" si="92"/>
        <v>OFI</v>
      </c>
      <c r="F25" s="169">
        <f t="shared" si="93"/>
        <v>31</v>
      </c>
      <c r="G25" s="2" t="str">
        <f t="shared" si="94"/>
        <v>100m € - 300m €</v>
      </c>
      <c r="H25" s="154">
        <f t="shared" si="95"/>
        <v>1.87</v>
      </c>
      <c r="I25" s="64">
        <f t="shared" si="96"/>
        <v>47299</v>
      </c>
      <c r="J25" s="304" t="str">
        <f t="shared" si="97"/>
        <v>10,5m € p/m</v>
      </c>
      <c r="K25" s="96">
        <f t="shared" si="10"/>
        <v>3.5222222222222221</v>
      </c>
      <c r="L25" s="146">
        <f t="shared" si="98"/>
        <v>0</v>
      </c>
      <c r="M25" s="6">
        <f t="shared" si="99"/>
        <v>0</v>
      </c>
      <c r="N25" s="5">
        <f t="shared" si="100"/>
        <v>5400</v>
      </c>
      <c r="O25" s="21">
        <f t="shared" si="101"/>
        <v>0</v>
      </c>
      <c r="P25" s="2">
        <f t="shared" si="102"/>
        <v>0</v>
      </c>
      <c r="Q25" s="2">
        <f t="shared" si="103"/>
        <v>0</v>
      </c>
      <c r="R25" s="5">
        <f t="shared" si="104"/>
        <v>0</v>
      </c>
      <c r="S25" s="2">
        <f t="shared" si="105"/>
        <v>0</v>
      </c>
      <c r="T25" s="2">
        <f t="shared" si="106"/>
        <v>0</v>
      </c>
      <c r="U25" s="102">
        <f t="shared" si="107"/>
        <v>0</v>
      </c>
      <c r="V25" s="102">
        <f t="shared" si="108"/>
        <v>0</v>
      </c>
      <c r="W25" s="6">
        <f t="shared" si="109"/>
        <v>0</v>
      </c>
      <c r="X25" s="5">
        <f t="shared" si="110"/>
        <v>0</v>
      </c>
      <c r="Y25" s="6">
        <f t="shared" si="111"/>
        <v>0</v>
      </c>
      <c r="Z25" s="5" t="e">
        <f t="shared" si="112"/>
        <v>#DIV/0!</v>
      </c>
      <c r="AA25" s="21">
        <f t="shared" si="113"/>
        <v>0</v>
      </c>
      <c r="AB25" s="6">
        <f t="shared" si="114"/>
        <v>0</v>
      </c>
      <c r="AC25" s="5" t="e">
        <f t="shared" si="115"/>
        <v>#DIV/0!</v>
      </c>
      <c r="AD25" s="6">
        <f t="shared" si="116"/>
        <v>0</v>
      </c>
      <c r="AE25" s="5">
        <f t="shared" si="117"/>
        <v>0</v>
      </c>
      <c r="AF25" s="21">
        <f t="shared" si="118"/>
        <v>0</v>
      </c>
      <c r="AG25" s="6">
        <f t="shared" si="119"/>
        <v>0</v>
      </c>
      <c r="AH25" s="5">
        <f t="shared" si="120"/>
        <v>0</v>
      </c>
      <c r="AI25" s="21">
        <f t="shared" si="121"/>
        <v>0</v>
      </c>
      <c r="AJ25" s="6">
        <f t="shared" si="122"/>
        <v>0</v>
      </c>
      <c r="AK25" s="5">
        <f t="shared" si="123"/>
        <v>0</v>
      </c>
      <c r="AL25" s="21">
        <f t="shared" si="124"/>
        <v>0</v>
      </c>
      <c r="AM25" s="21">
        <f t="shared" si="125"/>
        <v>0</v>
      </c>
      <c r="AN25" s="6">
        <f t="shared" si="126"/>
        <v>0</v>
      </c>
      <c r="AO25" s="5">
        <f t="shared" si="127"/>
        <v>0</v>
      </c>
      <c r="AP25" s="6">
        <f t="shared" si="128"/>
        <v>0</v>
      </c>
      <c r="AQ25" s="5">
        <f t="shared" si="129"/>
        <v>0</v>
      </c>
      <c r="AR25" s="2">
        <f t="shared" si="130"/>
        <v>0</v>
      </c>
      <c r="AS25" s="5">
        <f t="shared" si="131"/>
        <v>0</v>
      </c>
      <c r="AT25" s="21">
        <f t="shared" si="132"/>
        <v>0</v>
      </c>
      <c r="AU25" s="20">
        <f t="shared" si="133"/>
        <v>0</v>
      </c>
      <c r="AV25" s="20">
        <f t="shared" si="134"/>
        <v>1</v>
      </c>
      <c r="AW25" s="199">
        <f t="shared" si="135"/>
        <v>0</v>
      </c>
      <c r="AX25" s="24">
        <f t="shared" si="136"/>
        <v>0</v>
      </c>
      <c r="AY25" s="5">
        <f t="shared" si="137"/>
        <v>0</v>
      </c>
      <c r="AZ25" s="5">
        <f t="shared" si="138"/>
        <v>0</v>
      </c>
      <c r="BA25" s="5">
        <f t="shared" si="139"/>
        <v>0</v>
      </c>
      <c r="BB25" s="5">
        <f t="shared" si="140"/>
        <v>0</v>
      </c>
      <c r="BC25" s="5">
        <f t="shared" si="141"/>
        <v>0</v>
      </c>
      <c r="BD25" s="5">
        <f t="shared" si="142"/>
        <v>0</v>
      </c>
      <c r="BE25" s="199">
        <f t="shared" si="143"/>
        <v>0</v>
      </c>
      <c r="BF25" s="21">
        <f t="shared" si="144"/>
        <v>0</v>
      </c>
      <c r="BG25" s="6">
        <f t="shared" si="145"/>
        <v>0</v>
      </c>
      <c r="BH25" s="5" t="e">
        <f t="shared" si="146"/>
        <v>#DIV/0!</v>
      </c>
      <c r="BI25" s="6">
        <f t="shared" si="147"/>
        <v>0</v>
      </c>
      <c r="BJ25" s="5" t="e">
        <f t="shared" si="148"/>
        <v>#DIV/0!</v>
      </c>
      <c r="BK25" s="20">
        <f t="shared" si="149"/>
        <v>-9.9999999999999998E-13</v>
      </c>
      <c r="BL25" s="20">
        <f t="shared" si="150"/>
        <v>0</v>
      </c>
      <c r="BM25" s="6">
        <f t="shared" si="151"/>
        <v>0</v>
      </c>
      <c r="BN25" s="5">
        <f t="shared" si="152"/>
        <v>0</v>
      </c>
      <c r="BO25" s="333">
        <f t="shared" si="153"/>
        <v>0</v>
      </c>
      <c r="BP25" s="334">
        <f t="shared" si="154"/>
        <v>0</v>
      </c>
      <c r="BQ25" s="6">
        <f t="shared" si="155"/>
        <v>0</v>
      </c>
      <c r="BR25" s="5">
        <f t="shared" si="156"/>
        <v>0</v>
      </c>
      <c r="BS25" s="6">
        <f t="shared" si="157"/>
        <v>0</v>
      </c>
      <c r="BT25" s="5">
        <f t="shared" si="158"/>
        <v>0</v>
      </c>
      <c r="BU25" s="181">
        <f t="shared" si="159"/>
        <v>0</v>
      </c>
      <c r="BV25" s="154">
        <f t="shared" si="160"/>
        <v>0</v>
      </c>
      <c r="BW25" s="181">
        <f t="shared" si="161"/>
        <v>0</v>
      </c>
      <c r="BX25" s="180">
        <f t="shared" si="162"/>
        <v>0</v>
      </c>
      <c r="BY25" s="181">
        <f t="shared" si="163"/>
        <v>0</v>
      </c>
      <c r="BZ25" s="154">
        <f t="shared" si="164"/>
        <v>0</v>
      </c>
      <c r="CA25" s="182">
        <f t="shared" si="165"/>
        <v>0</v>
      </c>
      <c r="CB25" s="2">
        <f t="shared" si="166"/>
        <v>0</v>
      </c>
      <c r="CC25" s="2">
        <f t="shared" si="167"/>
        <v>0</v>
      </c>
      <c r="CD25" s="2">
        <f t="shared" si="168"/>
        <v>0</v>
      </c>
      <c r="CE25" s="2">
        <f t="shared" si="169"/>
        <v>0</v>
      </c>
      <c r="CF25" s="6">
        <f t="shared" si="170"/>
        <v>0</v>
      </c>
      <c r="CG25" s="6">
        <f t="shared" si="171"/>
        <v>0</v>
      </c>
      <c r="CH25" s="6">
        <f t="shared" si="172"/>
        <v>0</v>
      </c>
      <c r="CI25" s="20">
        <f t="shared" si="173"/>
        <v>0</v>
      </c>
      <c r="CJ25" s="133">
        <f t="shared" si="174"/>
        <v>2521</v>
      </c>
      <c r="CK25" s="5">
        <f t="shared" si="175"/>
        <v>0</v>
      </c>
      <c r="CL25" s="302"/>
      <c r="CM25" s="298" t="s">
        <v>13</v>
      </c>
      <c r="CN25" s="298" t="s">
        <v>1205</v>
      </c>
      <c r="CO25" s="298">
        <v>31</v>
      </c>
      <c r="CP25" s="298" t="s">
        <v>1206</v>
      </c>
      <c r="CQ25" s="298" t="s">
        <v>1207</v>
      </c>
      <c r="CR25" s="298" t="s">
        <v>644</v>
      </c>
      <c r="CS25" s="298" t="s">
        <v>913</v>
      </c>
      <c r="CT25" s="298" t="s">
        <v>911</v>
      </c>
      <c r="CU25" s="299">
        <v>47299</v>
      </c>
      <c r="CV25" s="298">
        <v>0</v>
      </c>
      <c r="CW25" s="298">
        <v>0</v>
      </c>
      <c r="CX25" s="298">
        <v>0</v>
      </c>
      <c r="CY25" s="298">
        <v>0</v>
      </c>
      <c r="CZ25" s="298">
        <v>0</v>
      </c>
      <c r="DA25" s="298">
        <v>0</v>
      </c>
      <c r="DB25" s="298">
        <v>0</v>
      </c>
      <c r="DC25" s="298">
        <v>0</v>
      </c>
      <c r="DD25" s="298">
        <v>0</v>
      </c>
      <c r="DE25" s="298">
        <v>0</v>
      </c>
      <c r="DF25" s="298">
        <v>0</v>
      </c>
      <c r="DG25" s="298">
        <v>0</v>
      </c>
      <c r="DH25" s="298">
        <v>0</v>
      </c>
      <c r="DI25" s="298">
        <v>0</v>
      </c>
      <c r="DJ25" s="298">
        <v>0</v>
      </c>
      <c r="DK25" s="298">
        <v>0</v>
      </c>
      <c r="DL25" s="298">
        <v>0</v>
      </c>
      <c r="DM25" s="298">
        <v>0</v>
      </c>
      <c r="DN25" s="298">
        <v>0</v>
      </c>
      <c r="DO25" s="298">
        <v>0</v>
      </c>
      <c r="DP25" s="298">
        <v>0</v>
      </c>
      <c r="DQ25" s="298">
        <v>0</v>
      </c>
      <c r="DR25" s="298">
        <v>0</v>
      </c>
      <c r="DS25" s="298">
        <v>0</v>
      </c>
      <c r="DT25" s="298">
        <v>0</v>
      </c>
      <c r="DU25" s="298">
        <v>0</v>
      </c>
      <c r="DV25" s="303" t="s">
        <v>548</v>
      </c>
    </row>
    <row r="26" spans="1:126" ht="24.95" customHeight="1" thickBot="1" x14ac:dyDescent="0.3">
      <c r="A26" s="29" t="str">
        <f t="shared" si="0"/>
        <v>25º</v>
      </c>
      <c r="B26" s="69" t="str">
        <f t="shared" si="89"/>
        <v>Andre Bernardini</v>
      </c>
      <c r="C26" s="269" t="str">
        <f t="shared" si="90"/>
        <v>BRA</v>
      </c>
      <c r="D26" s="99" t="str">
        <f t="shared" si="91"/>
        <v>Somente Pé Direito</v>
      </c>
      <c r="E26" s="28" t="str">
        <f t="shared" si="92"/>
        <v>BK Häcken</v>
      </c>
      <c r="F26" s="169">
        <f t="shared" si="93"/>
        <v>32</v>
      </c>
      <c r="G26" s="2" t="str">
        <f t="shared" si="94"/>
        <v>0 € - 35m €</v>
      </c>
      <c r="H26" s="154">
        <f t="shared" si="95"/>
        <v>1.9</v>
      </c>
      <c r="I26" s="64">
        <f t="shared" si="96"/>
        <v>47118</v>
      </c>
      <c r="J26" s="304" t="str">
        <f t="shared" si="97"/>
        <v>6,25m € p/m</v>
      </c>
      <c r="K26" s="96">
        <f t="shared" si="10"/>
        <v>3.5222222222222221</v>
      </c>
      <c r="L26" s="146">
        <f t="shared" si="98"/>
        <v>14</v>
      </c>
      <c r="M26" s="6">
        <f t="shared" si="99"/>
        <v>0</v>
      </c>
      <c r="N26" s="5">
        <f t="shared" si="100"/>
        <v>5400</v>
      </c>
      <c r="O26" s="21">
        <f t="shared" si="101"/>
        <v>0</v>
      </c>
      <c r="P26" s="2">
        <f t="shared" si="102"/>
        <v>280</v>
      </c>
      <c r="Q26" s="2">
        <f t="shared" si="103"/>
        <v>158</v>
      </c>
      <c r="R26" s="5">
        <f t="shared" si="104"/>
        <v>11.285714285714286</v>
      </c>
      <c r="S26" s="2">
        <f t="shared" si="105"/>
        <v>122</v>
      </c>
      <c r="T26" s="2">
        <f t="shared" si="106"/>
        <v>36</v>
      </c>
      <c r="U26" s="102">
        <f t="shared" si="107"/>
        <v>0.43571428571428572</v>
      </c>
      <c r="V26" s="102">
        <f t="shared" si="108"/>
        <v>0.56428571428571428</v>
      </c>
      <c r="W26" s="6">
        <f t="shared" si="109"/>
        <v>280</v>
      </c>
      <c r="X26" s="5">
        <f t="shared" si="110"/>
        <v>20</v>
      </c>
      <c r="Y26" s="6">
        <f t="shared" si="111"/>
        <v>0</v>
      </c>
      <c r="Z26" s="5">
        <f t="shared" si="112"/>
        <v>0</v>
      </c>
      <c r="AA26" s="21">
        <f t="shared" si="113"/>
        <v>0</v>
      </c>
      <c r="AB26" s="6">
        <f t="shared" si="114"/>
        <v>0</v>
      </c>
      <c r="AC26" s="5">
        <f t="shared" si="115"/>
        <v>0</v>
      </c>
      <c r="AD26" s="6">
        <f t="shared" si="116"/>
        <v>0</v>
      </c>
      <c r="AE26" s="5">
        <f t="shared" si="117"/>
        <v>0</v>
      </c>
      <c r="AF26" s="21">
        <f t="shared" si="118"/>
        <v>0</v>
      </c>
      <c r="AG26" s="6">
        <f t="shared" si="119"/>
        <v>0</v>
      </c>
      <c r="AH26" s="5">
        <f t="shared" si="120"/>
        <v>0</v>
      </c>
      <c r="AI26" s="21">
        <f t="shared" si="121"/>
        <v>0</v>
      </c>
      <c r="AJ26" s="6">
        <f t="shared" si="122"/>
        <v>0</v>
      </c>
      <c r="AK26" s="5">
        <f t="shared" si="123"/>
        <v>0</v>
      </c>
      <c r="AL26" s="21">
        <f t="shared" si="124"/>
        <v>0</v>
      </c>
      <c r="AM26" s="21">
        <f t="shared" si="125"/>
        <v>0.21428571428571427</v>
      </c>
      <c r="AN26" s="6">
        <f t="shared" si="126"/>
        <v>3</v>
      </c>
      <c r="AO26" s="5">
        <f t="shared" si="127"/>
        <v>0.21428571428571427</v>
      </c>
      <c r="AP26" s="6">
        <f t="shared" si="128"/>
        <v>0</v>
      </c>
      <c r="AQ26" s="5">
        <f t="shared" si="129"/>
        <v>0</v>
      </c>
      <c r="AR26" s="2">
        <f t="shared" si="130"/>
        <v>20</v>
      </c>
      <c r="AS26" s="5">
        <f t="shared" si="131"/>
        <v>1.4285714285714286</v>
      </c>
      <c r="AT26" s="21">
        <f t="shared" si="132"/>
        <v>0</v>
      </c>
      <c r="AU26" s="20">
        <f t="shared" si="133"/>
        <v>0</v>
      </c>
      <c r="AV26" s="20">
        <f t="shared" si="134"/>
        <v>1</v>
      </c>
      <c r="AW26" s="199">
        <f t="shared" si="135"/>
        <v>0</v>
      </c>
      <c r="AX26" s="24">
        <f t="shared" si="136"/>
        <v>63</v>
      </c>
      <c r="AY26" s="5">
        <f t="shared" si="137"/>
        <v>1</v>
      </c>
      <c r="AZ26" s="5">
        <f t="shared" si="138"/>
        <v>1</v>
      </c>
      <c r="BA26" s="5">
        <f t="shared" si="139"/>
        <v>0</v>
      </c>
      <c r="BB26" s="5">
        <f t="shared" si="140"/>
        <v>0</v>
      </c>
      <c r="BC26" s="5">
        <f t="shared" si="141"/>
        <v>0</v>
      </c>
      <c r="BD26" s="5">
        <f t="shared" si="142"/>
        <v>0</v>
      </c>
      <c r="BE26" s="199">
        <f t="shared" si="143"/>
        <v>0</v>
      </c>
      <c r="BF26" s="21">
        <f t="shared" si="144"/>
        <v>0</v>
      </c>
      <c r="BG26" s="6">
        <f t="shared" si="145"/>
        <v>0</v>
      </c>
      <c r="BH26" s="5">
        <f t="shared" si="146"/>
        <v>0</v>
      </c>
      <c r="BI26" s="6">
        <f t="shared" si="147"/>
        <v>0</v>
      </c>
      <c r="BJ26" s="5">
        <f t="shared" si="148"/>
        <v>0</v>
      </c>
      <c r="BK26" s="20">
        <f t="shared" si="149"/>
        <v>-9.9999999999999998E-13</v>
      </c>
      <c r="BL26" s="20">
        <f t="shared" si="150"/>
        <v>1.3486176668914362E-2</v>
      </c>
      <c r="BM26" s="6">
        <f t="shared" si="151"/>
        <v>20</v>
      </c>
      <c r="BN26" s="5">
        <f t="shared" si="152"/>
        <v>1.4285714285714286</v>
      </c>
      <c r="BO26" s="333">
        <f t="shared" si="153"/>
        <v>0</v>
      </c>
      <c r="BP26" s="334">
        <f t="shared" si="154"/>
        <v>0</v>
      </c>
      <c r="BQ26" s="6">
        <f t="shared" si="155"/>
        <v>0</v>
      </c>
      <c r="BR26" s="5">
        <f t="shared" si="156"/>
        <v>0</v>
      </c>
      <c r="BS26" s="6">
        <f t="shared" si="157"/>
        <v>0</v>
      </c>
      <c r="BT26" s="5">
        <f t="shared" si="158"/>
        <v>0</v>
      </c>
      <c r="BU26" s="181">
        <f t="shared" si="159"/>
        <v>0</v>
      </c>
      <c r="BV26" s="154">
        <f t="shared" si="160"/>
        <v>0</v>
      </c>
      <c r="BW26" s="181">
        <f t="shared" si="161"/>
        <v>0</v>
      </c>
      <c r="BX26" s="180">
        <f t="shared" si="162"/>
        <v>0</v>
      </c>
      <c r="BY26" s="181">
        <f t="shared" si="163"/>
        <v>0</v>
      </c>
      <c r="BZ26" s="154">
        <f t="shared" si="164"/>
        <v>0</v>
      </c>
      <c r="CA26" s="182">
        <f t="shared" si="165"/>
        <v>0</v>
      </c>
      <c r="CB26" s="2">
        <f t="shared" si="166"/>
        <v>0</v>
      </c>
      <c r="CC26" s="2">
        <f t="shared" si="167"/>
        <v>0</v>
      </c>
      <c r="CD26" s="2">
        <f t="shared" si="168"/>
        <v>0</v>
      </c>
      <c r="CE26" s="2">
        <f t="shared" si="169"/>
        <v>10</v>
      </c>
      <c r="CF26" s="6">
        <f t="shared" si="170"/>
        <v>0</v>
      </c>
      <c r="CG26" s="6">
        <f t="shared" si="171"/>
        <v>306</v>
      </c>
      <c r="CH26" s="6">
        <f t="shared" si="172"/>
        <v>158</v>
      </c>
      <c r="CI26" s="20">
        <f t="shared" si="173"/>
        <v>0.5163398692810458</v>
      </c>
      <c r="CJ26" s="133">
        <f t="shared" si="174"/>
        <v>2521</v>
      </c>
      <c r="CK26" s="5">
        <f t="shared" si="175"/>
        <v>6.89</v>
      </c>
      <c r="CL26" s="300"/>
      <c r="CM26" s="296" t="s">
        <v>13</v>
      </c>
      <c r="CN26" s="296" t="s">
        <v>1208</v>
      </c>
      <c r="CO26" s="296">
        <v>32</v>
      </c>
      <c r="CP26" s="296" t="s">
        <v>1209</v>
      </c>
      <c r="CQ26" s="296" t="s">
        <v>921</v>
      </c>
      <c r="CR26" s="296" t="s">
        <v>645</v>
      </c>
      <c r="CS26" s="296" t="s">
        <v>681</v>
      </c>
      <c r="CT26" s="296" t="s">
        <v>682</v>
      </c>
      <c r="CU26" s="297">
        <v>47118</v>
      </c>
      <c r="CV26" s="296">
        <v>0</v>
      </c>
      <c r="CW26" s="296">
        <v>1260</v>
      </c>
      <c r="CX26" s="296">
        <v>20</v>
      </c>
      <c r="CY26" s="296">
        <v>0</v>
      </c>
      <c r="CZ26" s="296">
        <v>0</v>
      </c>
      <c r="DA26" s="296">
        <v>0</v>
      </c>
      <c r="DB26" s="296">
        <v>0</v>
      </c>
      <c r="DC26" s="296">
        <v>0</v>
      </c>
      <c r="DD26" s="296">
        <v>0</v>
      </c>
      <c r="DE26" s="296">
        <v>3</v>
      </c>
      <c r="DF26" s="296">
        <v>0</v>
      </c>
      <c r="DG26" s="296">
        <v>0</v>
      </c>
      <c r="DH26" s="296">
        <v>0</v>
      </c>
      <c r="DI26" s="296">
        <v>10</v>
      </c>
      <c r="DJ26" s="296">
        <v>0</v>
      </c>
      <c r="DK26" s="296">
        <v>0</v>
      </c>
      <c r="DL26" s="296">
        <v>280</v>
      </c>
      <c r="DM26" s="296">
        <v>158</v>
      </c>
      <c r="DN26" s="296">
        <v>0</v>
      </c>
      <c r="DO26" s="296">
        <v>0</v>
      </c>
      <c r="DP26" s="296">
        <v>0</v>
      </c>
      <c r="DQ26" s="296">
        <v>0</v>
      </c>
      <c r="DR26" s="296">
        <v>0</v>
      </c>
      <c r="DS26" s="296">
        <v>0</v>
      </c>
      <c r="DT26" s="296">
        <v>0</v>
      </c>
      <c r="DU26" s="296">
        <v>0</v>
      </c>
      <c r="DV26" s="301">
        <v>6.89</v>
      </c>
    </row>
    <row r="27" spans="1:126" ht="24.95" customHeight="1" thickBot="1" x14ac:dyDescent="0.3">
      <c r="A27" s="29" t="str">
        <f t="shared" si="0"/>
        <v>26º</v>
      </c>
      <c r="B27" s="69" t="str">
        <f t="shared" si="89"/>
        <v>Vitor Hugo</v>
      </c>
      <c r="C27" s="269" t="str">
        <f t="shared" si="90"/>
        <v>BRA</v>
      </c>
      <c r="D27" s="99" t="str">
        <f t="shared" si="91"/>
        <v>Pé Direito</v>
      </c>
      <c r="E27" s="28" t="str">
        <f t="shared" si="92"/>
        <v>Lusitânia Lourosa</v>
      </c>
      <c r="F27" s="169">
        <f t="shared" si="93"/>
        <v>26</v>
      </c>
      <c r="G27" s="2" t="str">
        <f t="shared" si="94"/>
        <v>35m € - 110m €</v>
      </c>
      <c r="H27" s="154">
        <f t="shared" si="95"/>
        <v>1.95</v>
      </c>
      <c r="I27" s="64">
        <f t="shared" si="96"/>
        <v>48029</v>
      </c>
      <c r="J27" s="304" t="str">
        <f t="shared" si="97"/>
        <v>5m € p/m</v>
      </c>
      <c r="K27" s="96">
        <f t="shared" si="10"/>
        <v>3.5222222222222221</v>
      </c>
      <c r="L27" s="146">
        <f t="shared" si="98"/>
        <v>0</v>
      </c>
      <c r="M27" s="6">
        <f t="shared" si="99"/>
        <v>0</v>
      </c>
      <c r="N27" s="5">
        <f t="shared" si="100"/>
        <v>5400</v>
      </c>
      <c r="O27" s="21">
        <f t="shared" si="101"/>
        <v>0</v>
      </c>
      <c r="P27" s="2">
        <f t="shared" si="102"/>
        <v>0</v>
      </c>
      <c r="Q27" s="2">
        <f t="shared" si="103"/>
        <v>0</v>
      </c>
      <c r="R27" s="5">
        <f t="shared" si="104"/>
        <v>0</v>
      </c>
      <c r="S27" s="2">
        <f t="shared" si="105"/>
        <v>0</v>
      </c>
      <c r="T27" s="2">
        <f t="shared" si="106"/>
        <v>0</v>
      </c>
      <c r="U27" s="102">
        <f t="shared" si="107"/>
        <v>0</v>
      </c>
      <c r="V27" s="102">
        <f t="shared" si="108"/>
        <v>0</v>
      </c>
      <c r="W27" s="6">
        <f t="shared" si="109"/>
        <v>0</v>
      </c>
      <c r="X27" s="5">
        <f t="shared" si="110"/>
        <v>0</v>
      </c>
      <c r="Y27" s="6">
        <f t="shared" si="111"/>
        <v>0</v>
      </c>
      <c r="Z27" s="5" t="e">
        <f t="shared" si="112"/>
        <v>#DIV/0!</v>
      </c>
      <c r="AA27" s="21">
        <f t="shared" si="113"/>
        <v>0</v>
      </c>
      <c r="AB27" s="6">
        <f t="shared" si="114"/>
        <v>0</v>
      </c>
      <c r="AC27" s="5" t="e">
        <f t="shared" si="115"/>
        <v>#DIV/0!</v>
      </c>
      <c r="AD27" s="6">
        <f t="shared" si="116"/>
        <v>0</v>
      </c>
      <c r="AE27" s="5">
        <f t="shared" si="117"/>
        <v>0</v>
      </c>
      <c r="AF27" s="21">
        <f t="shared" si="118"/>
        <v>0</v>
      </c>
      <c r="AG27" s="6">
        <f t="shared" si="119"/>
        <v>0</v>
      </c>
      <c r="AH27" s="5">
        <f t="shared" si="120"/>
        <v>0</v>
      </c>
      <c r="AI27" s="21">
        <f t="shared" si="121"/>
        <v>0</v>
      </c>
      <c r="AJ27" s="6">
        <f t="shared" si="122"/>
        <v>0</v>
      </c>
      <c r="AK27" s="5">
        <f t="shared" si="123"/>
        <v>0</v>
      </c>
      <c r="AL27" s="21">
        <f t="shared" si="124"/>
        <v>0</v>
      </c>
      <c r="AM27" s="21">
        <f t="shared" si="125"/>
        <v>0</v>
      </c>
      <c r="AN27" s="6">
        <f t="shared" si="126"/>
        <v>0</v>
      </c>
      <c r="AO27" s="5">
        <f t="shared" si="127"/>
        <v>0</v>
      </c>
      <c r="AP27" s="6">
        <f t="shared" si="128"/>
        <v>0</v>
      </c>
      <c r="AQ27" s="5">
        <f t="shared" si="129"/>
        <v>0</v>
      </c>
      <c r="AR27" s="2">
        <f t="shared" si="130"/>
        <v>0</v>
      </c>
      <c r="AS27" s="5">
        <f t="shared" si="131"/>
        <v>0</v>
      </c>
      <c r="AT27" s="21">
        <f t="shared" si="132"/>
        <v>0</v>
      </c>
      <c r="AU27" s="20">
        <f t="shared" si="133"/>
        <v>0</v>
      </c>
      <c r="AV27" s="20">
        <f t="shared" si="134"/>
        <v>1</v>
      </c>
      <c r="AW27" s="199">
        <f t="shared" si="135"/>
        <v>0</v>
      </c>
      <c r="AX27" s="24">
        <f t="shared" si="136"/>
        <v>0</v>
      </c>
      <c r="AY27" s="5">
        <f t="shared" si="137"/>
        <v>0</v>
      </c>
      <c r="AZ27" s="5">
        <f t="shared" si="138"/>
        <v>0</v>
      </c>
      <c r="BA27" s="5">
        <f t="shared" si="139"/>
        <v>0</v>
      </c>
      <c r="BB27" s="5">
        <f t="shared" si="140"/>
        <v>0</v>
      </c>
      <c r="BC27" s="5">
        <f t="shared" si="141"/>
        <v>0</v>
      </c>
      <c r="BD27" s="5">
        <f t="shared" si="142"/>
        <v>0</v>
      </c>
      <c r="BE27" s="199">
        <f t="shared" si="143"/>
        <v>0</v>
      </c>
      <c r="BF27" s="21">
        <f t="shared" si="144"/>
        <v>0</v>
      </c>
      <c r="BG27" s="6">
        <f t="shared" si="145"/>
        <v>0</v>
      </c>
      <c r="BH27" s="5" t="e">
        <f t="shared" si="146"/>
        <v>#DIV/0!</v>
      </c>
      <c r="BI27" s="6">
        <f t="shared" si="147"/>
        <v>0</v>
      </c>
      <c r="BJ27" s="5" t="e">
        <f t="shared" si="148"/>
        <v>#DIV/0!</v>
      </c>
      <c r="BK27" s="20">
        <f t="shared" si="149"/>
        <v>-9.9999999999999998E-13</v>
      </c>
      <c r="BL27" s="20">
        <f t="shared" si="150"/>
        <v>0</v>
      </c>
      <c r="BM27" s="6">
        <f t="shared" si="151"/>
        <v>0</v>
      </c>
      <c r="BN27" s="5">
        <f t="shared" si="152"/>
        <v>0</v>
      </c>
      <c r="BO27" s="333">
        <f t="shared" si="153"/>
        <v>0</v>
      </c>
      <c r="BP27" s="334">
        <f t="shared" si="154"/>
        <v>0</v>
      </c>
      <c r="BQ27" s="6">
        <f t="shared" si="155"/>
        <v>0</v>
      </c>
      <c r="BR27" s="5">
        <f t="shared" si="156"/>
        <v>0</v>
      </c>
      <c r="BS27" s="6">
        <f t="shared" si="157"/>
        <v>0</v>
      </c>
      <c r="BT27" s="5">
        <f t="shared" si="158"/>
        <v>0</v>
      </c>
      <c r="BU27" s="181">
        <f t="shared" si="159"/>
        <v>0</v>
      </c>
      <c r="BV27" s="154">
        <f t="shared" si="160"/>
        <v>0</v>
      </c>
      <c r="BW27" s="181">
        <f t="shared" si="161"/>
        <v>0</v>
      </c>
      <c r="BX27" s="180">
        <f t="shared" si="162"/>
        <v>0</v>
      </c>
      <c r="BY27" s="181">
        <f t="shared" si="163"/>
        <v>0</v>
      </c>
      <c r="BZ27" s="154">
        <f t="shared" si="164"/>
        <v>0</v>
      </c>
      <c r="CA27" s="182">
        <f t="shared" si="165"/>
        <v>0</v>
      </c>
      <c r="CB27" s="2">
        <f t="shared" si="166"/>
        <v>0</v>
      </c>
      <c r="CC27" s="2">
        <f t="shared" si="167"/>
        <v>0</v>
      </c>
      <c r="CD27" s="2">
        <f t="shared" si="168"/>
        <v>0</v>
      </c>
      <c r="CE27" s="2">
        <f t="shared" si="169"/>
        <v>0</v>
      </c>
      <c r="CF27" s="6">
        <f t="shared" si="170"/>
        <v>0</v>
      </c>
      <c r="CG27" s="6">
        <f t="shared" si="171"/>
        <v>0</v>
      </c>
      <c r="CH27" s="6">
        <f t="shared" si="172"/>
        <v>0</v>
      </c>
      <c r="CI27" s="20">
        <f t="shared" si="173"/>
        <v>0</v>
      </c>
      <c r="CJ27" s="133">
        <f t="shared" si="174"/>
        <v>2521</v>
      </c>
      <c r="CK27" s="5">
        <f t="shared" si="175"/>
        <v>0</v>
      </c>
      <c r="CL27" s="302"/>
      <c r="CM27" s="298" t="s">
        <v>13</v>
      </c>
      <c r="CN27" s="298" t="s">
        <v>1210</v>
      </c>
      <c r="CO27" s="298">
        <v>26</v>
      </c>
      <c r="CP27" s="298" t="s">
        <v>1211</v>
      </c>
      <c r="CQ27" s="298" t="s">
        <v>1212</v>
      </c>
      <c r="CR27" s="298" t="s">
        <v>644</v>
      </c>
      <c r="CS27" s="298" t="s">
        <v>1213</v>
      </c>
      <c r="CT27" s="298" t="s">
        <v>680</v>
      </c>
      <c r="CU27" s="299">
        <v>48029</v>
      </c>
      <c r="CV27" s="298">
        <v>0</v>
      </c>
      <c r="CW27" s="298">
        <v>0</v>
      </c>
      <c r="CX27" s="298">
        <v>0</v>
      </c>
      <c r="CY27" s="298">
        <v>0</v>
      </c>
      <c r="CZ27" s="298">
        <v>0</v>
      </c>
      <c r="DA27" s="298">
        <v>0</v>
      </c>
      <c r="DB27" s="298">
        <v>0</v>
      </c>
      <c r="DC27" s="298">
        <v>0</v>
      </c>
      <c r="DD27" s="298">
        <v>0</v>
      </c>
      <c r="DE27" s="298">
        <v>0</v>
      </c>
      <c r="DF27" s="298">
        <v>0</v>
      </c>
      <c r="DG27" s="298">
        <v>0</v>
      </c>
      <c r="DH27" s="298">
        <v>0</v>
      </c>
      <c r="DI27" s="298">
        <v>0</v>
      </c>
      <c r="DJ27" s="298">
        <v>0</v>
      </c>
      <c r="DK27" s="298">
        <v>0</v>
      </c>
      <c r="DL27" s="298">
        <v>0</v>
      </c>
      <c r="DM27" s="298">
        <v>0</v>
      </c>
      <c r="DN27" s="298">
        <v>0</v>
      </c>
      <c r="DO27" s="298">
        <v>0</v>
      </c>
      <c r="DP27" s="298">
        <v>0</v>
      </c>
      <c r="DQ27" s="298">
        <v>0</v>
      </c>
      <c r="DR27" s="298">
        <v>0</v>
      </c>
      <c r="DS27" s="298">
        <v>0</v>
      </c>
      <c r="DT27" s="298">
        <v>0</v>
      </c>
      <c r="DU27" s="298">
        <v>0</v>
      </c>
      <c r="DV27" s="303" t="s">
        <v>548</v>
      </c>
    </row>
    <row r="28" spans="1:126" ht="24.95" customHeight="1" thickBot="1" x14ac:dyDescent="0.3">
      <c r="A28" s="29" t="str">
        <f t="shared" si="0"/>
        <v>27º</v>
      </c>
      <c r="B28" s="69" t="str">
        <f t="shared" si="89"/>
        <v>Felipe</v>
      </c>
      <c r="C28" s="269" t="str">
        <f t="shared" si="90"/>
        <v>BRA</v>
      </c>
      <c r="D28" s="99" t="str">
        <f t="shared" si="91"/>
        <v>Somente Pé Direito</v>
      </c>
      <c r="E28" s="28" t="str">
        <f t="shared" si="92"/>
        <v>Rio Branco (PR)</v>
      </c>
      <c r="F28" s="169">
        <f t="shared" si="93"/>
        <v>30</v>
      </c>
      <c r="G28" s="2" t="str">
        <f t="shared" si="94"/>
        <v>0 €</v>
      </c>
      <c r="H28" s="154">
        <f t="shared" si="95"/>
        <v>1.87</v>
      </c>
      <c r="I28" s="64">
        <f t="shared" si="96"/>
        <v>47118</v>
      </c>
      <c r="J28" s="304" t="str">
        <f t="shared" si="97"/>
        <v>2,7m € p/m</v>
      </c>
      <c r="K28" s="96">
        <f t="shared" si="10"/>
        <v>3.5222222222222221</v>
      </c>
      <c r="L28" s="146">
        <f t="shared" si="98"/>
        <v>21.244444444444444</v>
      </c>
      <c r="M28" s="6">
        <f t="shared" si="99"/>
        <v>1</v>
      </c>
      <c r="N28" s="5">
        <f t="shared" si="100"/>
        <v>1912</v>
      </c>
      <c r="O28" s="21">
        <f t="shared" si="101"/>
        <v>4.7071129707112976E-2</v>
      </c>
      <c r="P28" s="2">
        <f t="shared" si="102"/>
        <v>442</v>
      </c>
      <c r="Q28" s="2">
        <f t="shared" si="103"/>
        <v>265</v>
      </c>
      <c r="R28" s="5">
        <f t="shared" si="104"/>
        <v>12.473849372384938</v>
      </c>
      <c r="S28" s="2">
        <f t="shared" si="105"/>
        <v>177</v>
      </c>
      <c r="T28" s="2">
        <f t="shared" si="106"/>
        <v>88</v>
      </c>
      <c r="U28" s="102">
        <f t="shared" si="107"/>
        <v>0.40045248868778283</v>
      </c>
      <c r="V28" s="102">
        <f t="shared" si="108"/>
        <v>0.59954751131221717</v>
      </c>
      <c r="W28" s="6">
        <f t="shared" si="109"/>
        <v>442</v>
      </c>
      <c r="X28" s="5">
        <f t="shared" si="110"/>
        <v>20.805439330543933</v>
      </c>
      <c r="Y28" s="6">
        <f t="shared" si="111"/>
        <v>0</v>
      </c>
      <c r="Z28" s="5">
        <f t="shared" si="112"/>
        <v>0</v>
      </c>
      <c r="AA28" s="21">
        <f t="shared" si="113"/>
        <v>0</v>
      </c>
      <c r="AB28" s="6">
        <f t="shared" si="114"/>
        <v>0</v>
      </c>
      <c r="AC28" s="5">
        <f t="shared" si="115"/>
        <v>0</v>
      </c>
      <c r="AD28" s="6">
        <f t="shared" si="116"/>
        <v>4</v>
      </c>
      <c r="AE28" s="5">
        <f t="shared" si="117"/>
        <v>0.1882845188284519</v>
      </c>
      <c r="AF28" s="21">
        <f t="shared" si="118"/>
        <v>0.30769230769230771</v>
      </c>
      <c r="AG28" s="6">
        <f t="shared" si="119"/>
        <v>3</v>
      </c>
      <c r="AH28" s="5">
        <f t="shared" si="120"/>
        <v>0.14121338912133891</v>
      </c>
      <c r="AI28" s="21">
        <f t="shared" si="121"/>
        <v>0.23076923076923078</v>
      </c>
      <c r="AJ28" s="6">
        <f t="shared" si="122"/>
        <v>6</v>
      </c>
      <c r="AK28" s="5">
        <f t="shared" si="123"/>
        <v>0.48100628930817607</v>
      </c>
      <c r="AL28" s="21">
        <f t="shared" si="124"/>
        <v>0.46153846153846156</v>
      </c>
      <c r="AM28" s="21">
        <f t="shared" si="125"/>
        <v>0.3765690376569038</v>
      </c>
      <c r="AN28" s="6">
        <f t="shared" si="126"/>
        <v>8</v>
      </c>
      <c r="AO28" s="5">
        <f t="shared" si="127"/>
        <v>0.3765690376569038</v>
      </c>
      <c r="AP28" s="6">
        <f t="shared" si="128"/>
        <v>13</v>
      </c>
      <c r="AQ28" s="5">
        <f t="shared" si="129"/>
        <v>0.61192468619246865</v>
      </c>
      <c r="AR28" s="2">
        <f t="shared" si="130"/>
        <v>38</v>
      </c>
      <c r="AS28" s="5">
        <f t="shared" si="131"/>
        <v>1.7887029288702929</v>
      </c>
      <c r="AT28" s="21">
        <f t="shared" si="132"/>
        <v>0.34210526315789475</v>
      </c>
      <c r="AU28" s="20">
        <f t="shared" si="133"/>
        <v>0.26470588235294118</v>
      </c>
      <c r="AV28" s="20">
        <f t="shared" si="134"/>
        <v>0.65789473684210531</v>
      </c>
      <c r="AW28" s="199">
        <f t="shared" si="135"/>
        <v>0.5</v>
      </c>
      <c r="AX28" s="24">
        <f t="shared" si="136"/>
        <v>76.48</v>
      </c>
      <c r="AY28" s="5">
        <f t="shared" si="137"/>
        <v>1.52</v>
      </c>
      <c r="AZ28" s="5">
        <f t="shared" si="138"/>
        <v>1.36</v>
      </c>
      <c r="BA28" s="5">
        <f t="shared" si="139"/>
        <v>-1.99</v>
      </c>
      <c r="BB28" s="5">
        <f t="shared" si="140"/>
        <v>-9.3671548117154821E-2</v>
      </c>
      <c r="BC28" s="5">
        <f t="shared" si="141"/>
        <v>-1.99</v>
      </c>
      <c r="BD28" s="5">
        <f t="shared" si="142"/>
        <v>-9.3671548117154821E-2</v>
      </c>
      <c r="BE28" s="199">
        <f t="shared" si="143"/>
        <v>-0.24875</v>
      </c>
      <c r="BF28" s="21">
        <f t="shared" si="144"/>
        <v>-8.6484137331594949E-2</v>
      </c>
      <c r="BG28" s="6">
        <f t="shared" si="145"/>
        <v>0</v>
      </c>
      <c r="BH28" s="5">
        <f t="shared" si="146"/>
        <v>0</v>
      </c>
      <c r="BI28" s="6">
        <f t="shared" si="147"/>
        <v>0</v>
      </c>
      <c r="BJ28" s="5">
        <f t="shared" si="148"/>
        <v>0</v>
      </c>
      <c r="BK28" s="20">
        <f t="shared" si="149"/>
        <v>-9.9999999999999998E-13</v>
      </c>
      <c r="BL28" s="20">
        <f t="shared" si="150"/>
        <v>1.6857720836142953E-2</v>
      </c>
      <c r="BM28" s="6">
        <f t="shared" si="151"/>
        <v>25</v>
      </c>
      <c r="BN28" s="5">
        <f t="shared" si="152"/>
        <v>1.1767782426778244</v>
      </c>
      <c r="BO28" s="333">
        <f t="shared" si="153"/>
        <v>0</v>
      </c>
      <c r="BP28" s="334">
        <f t="shared" si="154"/>
        <v>0</v>
      </c>
      <c r="BQ28" s="6">
        <f t="shared" si="155"/>
        <v>6.3733333333333331</v>
      </c>
      <c r="BR28" s="5">
        <f t="shared" si="156"/>
        <v>0.3</v>
      </c>
      <c r="BS28" s="6">
        <f t="shared" si="157"/>
        <v>10.622222222222222</v>
      </c>
      <c r="BT28" s="5">
        <f t="shared" si="158"/>
        <v>0.5</v>
      </c>
      <c r="BU28" s="181">
        <f t="shared" si="159"/>
        <v>0</v>
      </c>
      <c r="BV28" s="154">
        <f t="shared" si="160"/>
        <v>0</v>
      </c>
      <c r="BW28" s="181">
        <f t="shared" si="161"/>
        <v>0</v>
      </c>
      <c r="BX28" s="180">
        <f t="shared" si="162"/>
        <v>0</v>
      </c>
      <c r="BY28" s="181">
        <f t="shared" si="163"/>
        <v>0</v>
      </c>
      <c r="BZ28" s="154">
        <f t="shared" si="164"/>
        <v>0</v>
      </c>
      <c r="CA28" s="182">
        <f t="shared" si="165"/>
        <v>0</v>
      </c>
      <c r="CB28" s="2">
        <f t="shared" si="166"/>
        <v>0</v>
      </c>
      <c r="CC28" s="2">
        <f t="shared" si="167"/>
        <v>0</v>
      </c>
      <c r="CD28" s="2">
        <f t="shared" si="168"/>
        <v>0</v>
      </c>
      <c r="CE28" s="2">
        <f t="shared" si="169"/>
        <v>12</v>
      </c>
      <c r="CF28" s="6">
        <f t="shared" si="170"/>
        <v>0</v>
      </c>
      <c r="CG28" s="6">
        <f t="shared" si="171"/>
        <v>496.66500000000002</v>
      </c>
      <c r="CH28" s="6">
        <f t="shared" si="172"/>
        <v>278</v>
      </c>
      <c r="CI28" s="20">
        <f t="shared" si="173"/>
        <v>0.55973342192423459</v>
      </c>
      <c r="CJ28" s="133">
        <f t="shared" si="174"/>
        <v>2521</v>
      </c>
      <c r="CK28" s="5">
        <f t="shared" si="175"/>
        <v>7.64</v>
      </c>
      <c r="CL28" s="300"/>
      <c r="CM28" s="296" t="s">
        <v>13</v>
      </c>
      <c r="CN28" s="296" t="s">
        <v>1214</v>
      </c>
      <c r="CO28" s="296">
        <v>30</v>
      </c>
      <c r="CP28" s="296" t="s">
        <v>1215</v>
      </c>
      <c r="CQ28" s="296" t="s">
        <v>1131</v>
      </c>
      <c r="CR28" s="296" t="s">
        <v>645</v>
      </c>
      <c r="CS28" s="296" t="s">
        <v>1216</v>
      </c>
      <c r="CT28" s="296" t="s">
        <v>911</v>
      </c>
      <c r="CU28" s="297">
        <v>47118</v>
      </c>
      <c r="CV28" s="296">
        <v>1</v>
      </c>
      <c r="CW28" s="296">
        <v>1912</v>
      </c>
      <c r="CX28" s="296">
        <v>25</v>
      </c>
      <c r="CY28" s="296">
        <v>4</v>
      </c>
      <c r="CZ28" s="296">
        <v>3</v>
      </c>
      <c r="DA28" s="296">
        <v>6</v>
      </c>
      <c r="DB28" s="296">
        <v>0</v>
      </c>
      <c r="DC28" s="296">
        <v>0.3</v>
      </c>
      <c r="DD28" s="296">
        <v>0.5</v>
      </c>
      <c r="DE28" s="296">
        <v>8</v>
      </c>
      <c r="DF28" s="296">
        <v>0</v>
      </c>
      <c r="DG28" s="296">
        <v>0</v>
      </c>
      <c r="DH28" s="296">
        <v>0</v>
      </c>
      <c r="DI28" s="296">
        <v>12</v>
      </c>
      <c r="DJ28" s="296">
        <v>0</v>
      </c>
      <c r="DK28" s="296">
        <v>0</v>
      </c>
      <c r="DL28" s="296">
        <v>442</v>
      </c>
      <c r="DM28" s="296">
        <v>265</v>
      </c>
      <c r="DN28" s="296" t="s">
        <v>1217</v>
      </c>
      <c r="DO28" s="296">
        <v>0</v>
      </c>
      <c r="DP28" s="296">
        <v>0</v>
      </c>
      <c r="DQ28" s="296">
        <v>0</v>
      </c>
      <c r="DR28" s="296">
        <v>0</v>
      </c>
      <c r="DS28" s="296">
        <v>0</v>
      </c>
      <c r="DT28" s="296">
        <v>0</v>
      </c>
      <c r="DU28" s="296">
        <v>0</v>
      </c>
      <c r="DV28" s="301">
        <v>7.64</v>
      </c>
    </row>
    <row r="29" spans="1:126" ht="24.95" customHeight="1" thickBot="1" x14ac:dyDescent="0.3">
      <c r="A29" s="29" t="str">
        <f t="shared" si="0"/>
        <v>28º</v>
      </c>
      <c r="B29" s="69" t="str">
        <f t="shared" si="89"/>
        <v>Levy</v>
      </c>
      <c r="C29" s="269" t="str">
        <f t="shared" si="90"/>
        <v>BRA</v>
      </c>
      <c r="D29" s="99" t="str">
        <f t="shared" si="91"/>
        <v>Somente Pé Direito</v>
      </c>
      <c r="E29" s="28" t="str">
        <f t="shared" si="92"/>
        <v>Primavera</v>
      </c>
      <c r="F29" s="169">
        <f t="shared" si="93"/>
        <v>26</v>
      </c>
      <c r="G29" s="2" t="str">
        <f t="shared" si="94"/>
        <v>0 €</v>
      </c>
      <c r="H29" s="154">
        <f t="shared" si="95"/>
        <v>1.87</v>
      </c>
      <c r="I29" s="64">
        <f t="shared" si="96"/>
        <v>47238</v>
      </c>
      <c r="J29" s="304" t="str">
        <f t="shared" si="97"/>
        <v>500 € p/m</v>
      </c>
      <c r="K29" s="96">
        <f t="shared" si="10"/>
        <v>3.5222222222222221</v>
      </c>
      <c r="L29" s="146">
        <f t="shared" si="98"/>
        <v>14</v>
      </c>
      <c r="M29" s="6">
        <f t="shared" si="99"/>
        <v>0</v>
      </c>
      <c r="N29" s="5">
        <f t="shared" si="100"/>
        <v>5400</v>
      </c>
      <c r="O29" s="21">
        <f t="shared" si="101"/>
        <v>0</v>
      </c>
      <c r="P29" s="2">
        <f t="shared" si="102"/>
        <v>367</v>
      </c>
      <c r="Q29" s="2">
        <f t="shared" si="103"/>
        <v>283</v>
      </c>
      <c r="R29" s="5">
        <f t="shared" si="104"/>
        <v>20.214285714285715</v>
      </c>
      <c r="S29" s="2">
        <f t="shared" si="105"/>
        <v>84</v>
      </c>
      <c r="T29" s="2">
        <f t="shared" si="106"/>
        <v>199</v>
      </c>
      <c r="U29" s="102">
        <f t="shared" si="107"/>
        <v>0.22888283378746593</v>
      </c>
      <c r="V29" s="102">
        <f t="shared" si="108"/>
        <v>0.77111716621253401</v>
      </c>
      <c r="W29" s="6">
        <f t="shared" si="109"/>
        <v>367</v>
      </c>
      <c r="X29" s="5">
        <f t="shared" si="110"/>
        <v>26.214285714285715</v>
      </c>
      <c r="Y29" s="6">
        <f t="shared" si="111"/>
        <v>0</v>
      </c>
      <c r="Z29" s="5">
        <f t="shared" si="112"/>
        <v>0</v>
      </c>
      <c r="AA29" s="21">
        <f t="shared" si="113"/>
        <v>0</v>
      </c>
      <c r="AB29" s="6">
        <f t="shared" si="114"/>
        <v>0</v>
      </c>
      <c r="AC29" s="5">
        <f t="shared" si="115"/>
        <v>0</v>
      </c>
      <c r="AD29" s="6">
        <f t="shared" si="116"/>
        <v>26</v>
      </c>
      <c r="AE29" s="5">
        <f t="shared" si="117"/>
        <v>1.8571428571428572</v>
      </c>
      <c r="AF29" s="21">
        <f t="shared" si="118"/>
        <v>0.25</v>
      </c>
      <c r="AG29" s="6">
        <f t="shared" si="119"/>
        <v>24</v>
      </c>
      <c r="AH29" s="5">
        <f t="shared" si="120"/>
        <v>1.7142857142857142</v>
      </c>
      <c r="AI29" s="21">
        <f t="shared" si="121"/>
        <v>0.23076923076923078</v>
      </c>
      <c r="AJ29" s="6">
        <f t="shared" si="122"/>
        <v>54</v>
      </c>
      <c r="AK29" s="5">
        <f t="shared" si="123"/>
        <v>2.6713780918727914</v>
      </c>
      <c r="AL29" s="21">
        <f t="shared" si="124"/>
        <v>0.51923076923076927</v>
      </c>
      <c r="AM29" s="21">
        <f t="shared" si="125"/>
        <v>0.14285714285714285</v>
      </c>
      <c r="AN29" s="6">
        <f t="shared" si="126"/>
        <v>2</v>
      </c>
      <c r="AO29" s="5">
        <f t="shared" si="127"/>
        <v>0.14285714285714285</v>
      </c>
      <c r="AP29" s="6">
        <f t="shared" si="128"/>
        <v>104</v>
      </c>
      <c r="AQ29" s="5">
        <f t="shared" si="129"/>
        <v>7.4285714285714288</v>
      </c>
      <c r="AR29" s="2">
        <f t="shared" si="130"/>
        <v>136</v>
      </c>
      <c r="AS29" s="5">
        <f t="shared" si="131"/>
        <v>9.7142857142857135</v>
      </c>
      <c r="AT29" s="21">
        <f t="shared" si="132"/>
        <v>0.76470588235294112</v>
      </c>
      <c r="AU29" s="20">
        <f t="shared" si="133"/>
        <v>0.70909090909090911</v>
      </c>
      <c r="AV29" s="20">
        <f t="shared" si="134"/>
        <v>0.23529411764705882</v>
      </c>
      <c r="AW29" s="199">
        <f t="shared" si="135"/>
        <v>1.1397058823529411</v>
      </c>
      <c r="AX29" s="24">
        <f t="shared" si="136"/>
        <v>39.375</v>
      </c>
      <c r="AY29" s="5">
        <f t="shared" si="137"/>
        <v>4.25</v>
      </c>
      <c r="AZ29" s="5">
        <f t="shared" si="138"/>
        <v>3.4375</v>
      </c>
      <c r="BA29" s="5">
        <f t="shared" si="139"/>
        <v>9.3699999999999992</v>
      </c>
      <c r="BB29" s="5">
        <f t="shared" si="140"/>
        <v>0.66928571428571426</v>
      </c>
      <c r="BC29" s="5">
        <f t="shared" si="141"/>
        <v>9.3699999999999992</v>
      </c>
      <c r="BD29" s="5">
        <f t="shared" si="142"/>
        <v>0.66928571428571426</v>
      </c>
      <c r="BE29" s="199">
        <f t="shared" si="143"/>
        <v>4.6850000000000005</v>
      </c>
      <c r="BF29" s="21">
        <f t="shared" si="144"/>
        <v>0.22649262750785593</v>
      </c>
      <c r="BG29" s="6">
        <f t="shared" si="145"/>
        <v>3</v>
      </c>
      <c r="BH29" s="5">
        <f t="shared" si="146"/>
        <v>0.21428571428571427</v>
      </c>
      <c r="BI29" s="6">
        <f t="shared" si="147"/>
        <v>0</v>
      </c>
      <c r="BJ29" s="5">
        <f t="shared" si="148"/>
        <v>0</v>
      </c>
      <c r="BK29" s="20">
        <f t="shared" si="149"/>
        <v>0</v>
      </c>
      <c r="BL29" s="20">
        <f t="shared" si="150"/>
        <v>2.157788267026298E-2</v>
      </c>
      <c r="BM29" s="6">
        <f t="shared" si="151"/>
        <v>32</v>
      </c>
      <c r="BN29" s="5">
        <f t="shared" si="152"/>
        <v>2.2857142857142856</v>
      </c>
      <c r="BO29" s="333">
        <f t="shared" si="153"/>
        <v>0</v>
      </c>
      <c r="BP29" s="334">
        <f t="shared" si="154"/>
        <v>0</v>
      </c>
      <c r="BQ29" s="6">
        <f t="shared" si="155"/>
        <v>113.39999999999999</v>
      </c>
      <c r="BR29" s="5">
        <f t="shared" si="156"/>
        <v>8.1</v>
      </c>
      <c r="BS29" s="6">
        <f t="shared" si="157"/>
        <v>64.399999999999991</v>
      </c>
      <c r="BT29" s="5">
        <f t="shared" si="158"/>
        <v>4.5999999999999996</v>
      </c>
      <c r="BU29" s="181">
        <f t="shared" si="159"/>
        <v>3</v>
      </c>
      <c r="BV29" s="154">
        <f t="shared" si="160"/>
        <v>0.21428571428571427</v>
      </c>
      <c r="BW29" s="181">
        <f t="shared" si="161"/>
        <v>0</v>
      </c>
      <c r="BX29" s="180">
        <f t="shared" si="162"/>
        <v>0</v>
      </c>
      <c r="BY29" s="181">
        <f t="shared" si="163"/>
        <v>3</v>
      </c>
      <c r="BZ29" s="154">
        <f t="shared" si="164"/>
        <v>0.21428571428571427</v>
      </c>
      <c r="CA29" s="182">
        <f t="shared" si="165"/>
        <v>0</v>
      </c>
      <c r="CB29" s="2">
        <f t="shared" si="166"/>
        <v>0</v>
      </c>
      <c r="CC29" s="2">
        <f t="shared" si="167"/>
        <v>0</v>
      </c>
      <c r="CD29" s="2">
        <f t="shared" si="168"/>
        <v>0</v>
      </c>
      <c r="CE29" s="2">
        <f t="shared" si="169"/>
        <v>11</v>
      </c>
      <c r="CF29" s="6">
        <f t="shared" si="170"/>
        <v>0</v>
      </c>
      <c r="CG29" s="6">
        <f t="shared" si="171"/>
        <v>519.11800000000005</v>
      </c>
      <c r="CH29" s="6">
        <f t="shared" si="172"/>
        <v>387</v>
      </c>
      <c r="CI29" s="20">
        <f t="shared" si="173"/>
        <v>0.74549524385592481</v>
      </c>
      <c r="CJ29" s="133">
        <f t="shared" si="174"/>
        <v>2521</v>
      </c>
      <c r="CK29" s="5">
        <f t="shared" si="175"/>
        <v>6.45</v>
      </c>
      <c r="CL29" s="302"/>
      <c r="CM29" s="298" t="s">
        <v>13</v>
      </c>
      <c r="CN29" s="298" t="s">
        <v>1218</v>
      </c>
      <c r="CO29" s="298">
        <v>26</v>
      </c>
      <c r="CP29" s="298" t="s">
        <v>1219</v>
      </c>
      <c r="CQ29" s="298" t="s">
        <v>1131</v>
      </c>
      <c r="CR29" s="298" t="s">
        <v>645</v>
      </c>
      <c r="CS29" s="298" t="s">
        <v>760</v>
      </c>
      <c r="CT29" s="298" t="s">
        <v>911</v>
      </c>
      <c r="CU29" s="299">
        <v>47238</v>
      </c>
      <c r="CV29" s="298">
        <v>0</v>
      </c>
      <c r="CW29" s="298">
        <v>1260</v>
      </c>
      <c r="CX29" s="298">
        <v>32</v>
      </c>
      <c r="CY29" s="298">
        <v>26</v>
      </c>
      <c r="CZ29" s="298">
        <v>24</v>
      </c>
      <c r="DA29" s="298">
        <v>54</v>
      </c>
      <c r="DB29" s="298">
        <v>0</v>
      </c>
      <c r="DC29" s="298">
        <v>8.1</v>
      </c>
      <c r="DD29" s="298">
        <v>4.5999999999999996</v>
      </c>
      <c r="DE29" s="298">
        <v>2</v>
      </c>
      <c r="DF29" s="298">
        <v>0</v>
      </c>
      <c r="DG29" s="298">
        <v>0</v>
      </c>
      <c r="DH29" s="298">
        <v>0</v>
      </c>
      <c r="DI29" s="298">
        <v>11</v>
      </c>
      <c r="DJ29" s="298">
        <v>0</v>
      </c>
      <c r="DK29" s="298">
        <v>0</v>
      </c>
      <c r="DL29" s="298">
        <v>367</v>
      </c>
      <c r="DM29" s="298">
        <v>283</v>
      </c>
      <c r="DN29" s="298" t="s">
        <v>1220</v>
      </c>
      <c r="DO29" s="298">
        <v>0</v>
      </c>
      <c r="DP29" s="298">
        <v>0</v>
      </c>
      <c r="DQ29" s="298">
        <v>3</v>
      </c>
      <c r="DR29" s="298">
        <v>0</v>
      </c>
      <c r="DS29" s="298">
        <v>0</v>
      </c>
      <c r="DT29" s="298">
        <v>3</v>
      </c>
      <c r="DU29" s="298">
        <v>0</v>
      </c>
      <c r="DV29" s="303">
        <v>6.45</v>
      </c>
    </row>
    <row r="30" spans="1:126" ht="24.95" customHeight="1" thickBot="1" x14ac:dyDescent="0.3">
      <c r="A30" s="29" t="str">
        <f t="shared" si="0"/>
        <v>29º</v>
      </c>
      <c r="B30" s="69" t="str">
        <f t="shared" si="89"/>
        <v>Nayan</v>
      </c>
      <c r="C30" s="269" t="str">
        <f t="shared" si="90"/>
        <v>BRA</v>
      </c>
      <c r="D30" s="99" t="str">
        <f t="shared" si="91"/>
        <v>Somente Pé Direito</v>
      </c>
      <c r="E30" s="28" t="str">
        <f t="shared" si="92"/>
        <v>1º Agosto</v>
      </c>
      <c r="F30" s="169">
        <f t="shared" si="93"/>
        <v>28</v>
      </c>
      <c r="G30" s="2" t="str">
        <f t="shared" si="94"/>
        <v>45m € - 140m €</v>
      </c>
      <c r="H30" s="154">
        <f t="shared" si="95"/>
        <v>1.91</v>
      </c>
      <c r="I30" s="64">
        <f t="shared" si="96"/>
        <v>47299</v>
      </c>
      <c r="J30" s="304" t="str">
        <f t="shared" si="97"/>
        <v>6,5m € p/m</v>
      </c>
      <c r="K30" s="96">
        <f t="shared" si="10"/>
        <v>3.5222222222222221</v>
      </c>
      <c r="L30" s="146">
        <f t="shared" si="98"/>
        <v>0</v>
      </c>
      <c r="M30" s="6">
        <f t="shared" si="99"/>
        <v>0</v>
      </c>
      <c r="N30" s="5">
        <f t="shared" si="100"/>
        <v>5400</v>
      </c>
      <c r="O30" s="21">
        <f t="shared" si="101"/>
        <v>0</v>
      </c>
      <c r="P30" s="2">
        <f t="shared" si="102"/>
        <v>0</v>
      </c>
      <c r="Q30" s="2">
        <f t="shared" si="103"/>
        <v>0</v>
      </c>
      <c r="R30" s="5">
        <f t="shared" si="104"/>
        <v>0</v>
      </c>
      <c r="S30" s="2">
        <f t="shared" si="105"/>
        <v>0</v>
      </c>
      <c r="T30" s="2">
        <f t="shared" si="106"/>
        <v>0</v>
      </c>
      <c r="U30" s="102">
        <f t="shared" si="107"/>
        <v>0</v>
      </c>
      <c r="V30" s="102">
        <f t="shared" si="108"/>
        <v>0</v>
      </c>
      <c r="W30" s="6">
        <f t="shared" si="109"/>
        <v>0</v>
      </c>
      <c r="X30" s="5">
        <f t="shared" si="110"/>
        <v>0</v>
      </c>
      <c r="Y30" s="6">
        <f t="shared" si="111"/>
        <v>0</v>
      </c>
      <c r="Z30" s="5" t="e">
        <f t="shared" si="112"/>
        <v>#DIV/0!</v>
      </c>
      <c r="AA30" s="21">
        <f t="shared" si="113"/>
        <v>0</v>
      </c>
      <c r="AB30" s="6">
        <f t="shared" si="114"/>
        <v>0</v>
      </c>
      <c r="AC30" s="5" t="e">
        <f t="shared" si="115"/>
        <v>#DIV/0!</v>
      </c>
      <c r="AD30" s="6">
        <f t="shared" si="116"/>
        <v>0</v>
      </c>
      <c r="AE30" s="5">
        <f t="shared" si="117"/>
        <v>0</v>
      </c>
      <c r="AF30" s="21">
        <f t="shared" si="118"/>
        <v>0</v>
      </c>
      <c r="AG30" s="6">
        <f t="shared" si="119"/>
        <v>0</v>
      </c>
      <c r="AH30" s="5">
        <f t="shared" si="120"/>
        <v>0</v>
      </c>
      <c r="AI30" s="21">
        <f t="shared" si="121"/>
        <v>0</v>
      </c>
      <c r="AJ30" s="6">
        <f t="shared" si="122"/>
        <v>0</v>
      </c>
      <c r="AK30" s="5">
        <f t="shared" si="123"/>
        <v>0</v>
      </c>
      <c r="AL30" s="21">
        <f t="shared" si="124"/>
        <v>0</v>
      </c>
      <c r="AM30" s="21">
        <f t="shared" si="125"/>
        <v>0</v>
      </c>
      <c r="AN30" s="6">
        <f t="shared" si="126"/>
        <v>0</v>
      </c>
      <c r="AO30" s="5">
        <f t="shared" si="127"/>
        <v>0</v>
      </c>
      <c r="AP30" s="6">
        <f t="shared" si="128"/>
        <v>0</v>
      </c>
      <c r="AQ30" s="5">
        <f t="shared" si="129"/>
        <v>0</v>
      </c>
      <c r="AR30" s="2">
        <f t="shared" si="130"/>
        <v>0</v>
      </c>
      <c r="AS30" s="5">
        <f t="shared" si="131"/>
        <v>0</v>
      </c>
      <c r="AT30" s="21">
        <f t="shared" si="132"/>
        <v>0</v>
      </c>
      <c r="AU30" s="20">
        <f t="shared" si="133"/>
        <v>0</v>
      </c>
      <c r="AV30" s="20">
        <f t="shared" si="134"/>
        <v>1</v>
      </c>
      <c r="AW30" s="199">
        <f t="shared" si="135"/>
        <v>0</v>
      </c>
      <c r="AX30" s="24">
        <f t="shared" si="136"/>
        <v>0</v>
      </c>
      <c r="AY30" s="5">
        <f t="shared" si="137"/>
        <v>0</v>
      </c>
      <c r="AZ30" s="5">
        <f t="shared" si="138"/>
        <v>0</v>
      </c>
      <c r="BA30" s="5">
        <f t="shared" si="139"/>
        <v>0</v>
      </c>
      <c r="BB30" s="5">
        <f t="shared" si="140"/>
        <v>0</v>
      </c>
      <c r="BC30" s="5">
        <f t="shared" si="141"/>
        <v>0</v>
      </c>
      <c r="BD30" s="5">
        <f t="shared" si="142"/>
        <v>0</v>
      </c>
      <c r="BE30" s="199">
        <f t="shared" si="143"/>
        <v>0</v>
      </c>
      <c r="BF30" s="21">
        <f t="shared" si="144"/>
        <v>0</v>
      </c>
      <c r="BG30" s="6">
        <f t="shared" si="145"/>
        <v>0</v>
      </c>
      <c r="BH30" s="5" t="e">
        <f t="shared" si="146"/>
        <v>#DIV/0!</v>
      </c>
      <c r="BI30" s="6">
        <f t="shared" si="147"/>
        <v>0</v>
      </c>
      <c r="BJ30" s="5" t="e">
        <f t="shared" si="148"/>
        <v>#DIV/0!</v>
      </c>
      <c r="BK30" s="20">
        <f t="shared" si="149"/>
        <v>-9.9999999999999998E-13</v>
      </c>
      <c r="BL30" s="20">
        <f t="shared" si="150"/>
        <v>0</v>
      </c>
      <c r="BM30" s="6">
        <f t="shared" si="151"/>
        <v>0</v>
      </c>
      <c r="BN30" s="5">
        <f t="shared" si="152"/>
        <v>0</v>
      </c>
      <c r="BO30" s="333">
        <f t="shared" si="153"/>
        <v>0</v>
      </c>
      <c r="BP30" s="334">
        <f t="shared" si="154"/>
        <v>0</v>
      </c>
      <c r="BQ30" s="6">
        <f t="shared" si="155"/>
        <v>0</v>
      </c>
      <c r="BR30" s="5">
        <f t="shared" si="156"/>
        <v>0</v>
      </c>
      <c r="BS30" s="6">
        <f t="shared" si="157"/>
        <v>0</v>
      </c>
      <c r="BT30" s="5">
        <f t="shared" si="158"/>
        <v>0</v>
      </c>
      <c r="BU30" s="181">
        <f t="shared" si="159"/>
        <v>0</v>
      </c>
      <c r="BV30" s="154">
        <f t="shared" si="160"/>
        <v>0</v>
      </c>
      <c r="BW30" s="181">
        <f t="shared" si="161"/>
        <v>0</v>
      </c>
      <c r="BX30" s="180">
        <f t="shared" si="162"/>
        <v>0</v>
      </c>
      <c r="BY30" s="181">
        <f t="shared" si="163"/>
        <v>0</v>
      </c>
      <c r="BZ30" s="154">
        <f t="shared" si="164"/>
        <v>0</v>
      </c>
      <c r="CA30" s="182">
        <f t="shared" si="165"/>
        <v>0</v>
      </c>
      <c r="CB30" s="2">
        <f t="shared" si="166"/>
        <v>0</v>
      </c>
      <c r="CC30" s="2">
        <f t="shared" si="167"/>
        <v>0</v>
      </c>
      <c r="CD30" s="2">
        <f t="shared" si="168"/>
        <v>0</v>
      </c>
      <c r="CE30" s="2">
        <f t="shared" si="169"/>
        <v>0</v>
      </c>
      <c r="CF30" s="6">
        <f t="shared" si="170"/>
        <v>0</v>
      </c>
      <c r="CG30" s="6">
        <f t="shared" si="171"/>
        <v>0</v>
      </c>
      <c r="CH30" s="6">
        <f t="shared" si="172"/>
        <v>0</v>
      </c>
      <c r="CI30" s="20">
        <f t="shared" si="173"/>
        <v>0</v>
      </c>
      <c r="CJ30" s="133">
        <f t="shared" si="174"/>
        <v>2521</v>
      </c>
      <c r="CK30" s="5">
        <f t="shared" si="175"/>
        <v>0</v>
      </c>
      <c r="CL30" s="300"/>
      <c r="CM30" s="296" t="s">
        <v>13</v>
      </c>
      <c r="CN30" s="296" t="s">
        <v>1221</v>
      </c>
      <c r="CO30" s="296">
        <v>28</v>
      </c>
      <c r="CP30" s="296" t="s">
        <v>1222</v>
      </c>
      <c r="CQ30" s="296" t="s">
        <v>1223</v>
      </c>
      <c r="CR30" s="296" t="s">
        <v>645</v>
      </c>
      <c r="CS30" s="296" t="s">
        <v>843</v>
      </c>
      <c r="CT30" s="296" t="s">
        <v>595</v>
      </c>
      <c r="CU30" s="297">
        <v>47299</v>
      </c>
      <c r="CV30" s="296">
        <v>0</v>
      </c>
      <c r="CW30" s="296">
        <v>0</v>
      </c>
      <c r="CX30" s="296">
        <v>0</v>
      </c>
      <c r="CY30" s="296">
        <v>0</v>
      </c>
      <c r="CZ30" s="296">
        <v>0</v>
      </c>
      <c r="DA30" s="296">
        <v>0</v>
      </c>
      <c r="DB30" s="296">
        <v>0</v>
      </c>
      <c r="DC30" s="296">
        <v>0</v>
      </c>
      <c r="DD30" s="296">
        <v>0</v>
      </c>
      <c r="DE30" s="296">
        <v>0</v>
      </c>
      <c r="DF30" s="296">
        <v>0</v>
      </c>
      <c r="DG30" s="296">
        <v>0</v>
      </c>
      <c r="DH30" s="296">
        <v>0</v>
      </c>
      <c r="DI30" s="296">
        <v>0</v>
      </c>
      <c r="DJ30" s="296">
        <v>0</v>
      </c>
      <c r="DK30" s="296">
        <v>0</v>
      </c>
      <c r="DL30" s="296">
        <v>0</v>
      </c>
      <c r="DM30" s="296">
        <v>0</v>
      </c>
      <c r="DN30" s="296">
        <v>0</v>
      </c>
      <c r="DO30" s="296">
        <v>0</v>
      </c>
      <c r="DP30" s="296">
        <v>0</v>
      </c>
      <c r="DQ30" s="296">
        <v>0</v>
      </c>
      <c r="DR30" s="296">
        <v>0</v>
      </c>
      <c r="DS30" s="296">
        <v>0</v>
      </c>
      <c r="DT30" s="296">
        <v>0</v>
      </c>
      <c r="DU30" s="296">
        <v>0</v>
      </c>
      <c r="DV30" s="301" t="s">
        <v>548</v>
      </c>
    </row>
    <row r="31" spans="1:126" ht="24.95" customHeight="1" thickBot="1" x14ac:dyDescent="0.3">
      <c r="A31" s="29" t="str">
        <f t="shared" si="0"/>
        <v>30º</v>
      </c>
      <c r="B31" s="69" t="str">
        <f t="shared" si="89"/>
        <v>Thiago Beltrame</v>
      </c>
      <c r="C31" s="269" t="str">
        <f t="shared" si="90"/>
        <v>BRA</v>
      </c>
      <c r="D31" s="99" t="str">
        <f t="shared" si="91"/>
        <v>Pé Direito</v>
      </c>
      <c r="E31" s="28" t="str">
        <f t="shared" si="92"/>
        <v>GRE</v>
      </c>
      <c r="F31" s="169">
        <f t="shared" si="93"/>
        <v>25</v>
      </c>
      <c r="G31" s="2" t="str">
        <f t="shared" si="94"/>
        <v>2m €</v>
      </c>
      <c r="H31" s="154">
        <f t="shared" si="95"/>
        <v>2.0099999999999998</v>
      </c>
      <c r="I31" s="64">
        <f t="shared" si="96"/>
        <v>47118</v>
      </c>
      <c r="J31" s="304" t="str">
        <f t="shared" si="97"/>
        <v>6m € p/m</v>
      </c>
      <c r="K31" s="96">
        <f t="shared" si="10"/>
        <v>3.5222222222222221</v>
      </c>
      <c r="L31" s="146">
        <f t="shared" si="98"/>
        <v>0</v>
      </c>
      <c r="M31" s="6">
        <f t="shared" si="99"/>
        <v>0</v>
      </c>
      <c r="N31" s="5">
        <f t="shared" si="100"/>
        <v>5400</v>
      </c>
      <c r="O31" s="21">
        <f t="shared" si="101"/>
        <v>0</v>
      </c>
      <c r="P31" s="2">
        <f t="shared" si="102"/>
        <v>0</v>
      </c>
      <c r="Q31" s="2">
        <f t="shared" si="103"/>
        <v>0</v>
      </c>
      <c r="R31" s="5">
        <f t="shared" si="104"/>
        <v>0</v>
      </c>
      <c r="S31" s="2">
        <f t="shared" si="105"/>
        <v>0</v>
      </c>
      <c r="T31" s="2">
        <f t="shared" si="106"/>
        <v>0</v>
      </c>
      <c r="U31" s="102">
        <f t="shared" si="107"/>
        <v>0</v>
      </c>
      <c r="V31" s="102">
        <f t="shared" si="108"/>
        <v>0</v>
      </c>
      <c r="W31" s="6">
        <f t="shared" si="109"/>
        <v>0</v>
      </c>
      <c r="X31" s="5">
        <f t="shared" si="110"/>
        <v>0</v>
      </c>
      <c r="Y31" s="6">
        <f t="shared" si="111"/>
        <v>0</v>
      </c>
      <c r="Z31" s="5" t="e">
        <f t="shared" si="112"/>
        <v>#DIV/0!</v>
      </c>
      <c r="AA31" s="21">
        <f t="shared" si="113"/>
        <v>0</v>
      </c>
      <c r="AB31" s="6">
        <f t="shared" si="114"/>
        <v>0</v>
      </c>
      <c r="AC31" s="5" t="e">
        <f t="shared" si="115"/>
        <v>#DIV/0!</v>
      </c>
      <c r="AD31" s="6">
        <f t="shared" si="116"/>
        <v>0</v>
      </c>
      <c r="AE31" s="5">
        <f t="shared" si="117"/>
        <v>0</v>
      </c>
      <c r="AF31" s="21">
        <f t="shared" si="118"/>
        <v>0</v>
      </c>
      <c r="AG31" s="6">
        <f t="shared" si="119"/>
        <v>0</v>
      </c>
      <c r="AH31" s="5">
        <f t="shared" si="120"/>
        <v>0</v>
      </c>
      <c r="AI31" s="21">
        <f t="shared" si="121"/>
        <v>0</v>
      </c>
      <c r="AJ31" s="6">
        <f t="shared" si="122"/>
        <v>0</v>
      </c>
      <c r="AK31" s="5">
        <f t="shared" si="123"/>
        <v>0</v>
      </c>
      <c r="AL31" s="21">
        <f t="shared" si="124"/>
        <v>0</v>
      </c>
      <c r="AM31" s="21">
        <f t="shared" si="125"/>
        <v>0</v>
      </c>
      <c r="AN31" s="6">
        <f t="shared" si="126"/>
        <v>0</v>
      </c>
      <c r="AO31" s="5">
        <f t="shared" si="127"/>
        <v>0</v>
      </c>
      <c r="AP31" s="6">
        <f t="shared" si="128"/>
        <v>0</v>
      </c>
      <c r="AQ31" s="5">
        <f t="shared" si="129"/>
        <v>0</v>
      </c>
      <c r="AR31" s="2">
        <f t="shared" si="130"/>
        <v>0</v>
      </c>
      <c r="AS31" s="5">
        <f t="shared" si="131"/>
        <v>0</v>
      </c>
      <c r="AT31" s="21">
        <f t="shared" si="132"/>
        <v>0</v>
      </c>
      <c r="AU31" s="20">
        <f t="shared" si="133"/>
        <v>0</v>
      </c>
      <c r="AV31" s="20">
        <f t="shared" si="134"/>
        <v>1</v>
      </c>
      <c r="AW31" s="199">
        <f t="shared" si="135"/>
        <v>0</v>
      </c>
      <c r="AX31" s="24">
        <f t="shared" si="136"/>
        <v>0</v>
      </c>
      <c r="AY31" s="5">
        <f t="shared" si="137"/>
        <v>0</v>
      </c>
      <c r="AZ31" s="5">
        <f t="shared" si="138"/>
        <v>0</v>
      </c>
      <c r="BA31" s="5">
        <f t="shared" si="139"/>
        <v>0</v>
      </c>
      <c r="BB31" s="5">
        <f t="shared" si="140"/>
        <v>0</v>
      </c>
      <c r="BC31" s="5">
        <f t="shared" si="141"/>
        <v>0</v>
      </c>
      <c r="BD31" s="5">
        <f t="shared" si="142"/>
        <v>0</v>
      </c>
      <c r="BE31" s="199">
        <f t="shared" si="143"/>
        <v>0</v>
      </c>
      <c r="BF31" s="21">
        <f t="shared" si="144"/>
        <v>0</v>
      </c>
      <c r="BG31" s="6">
        <f t="shared" si="145"/>
        <v>0</v>
      </c>
      <c r="BH31" s="5" t="e">
        <f t="shared" si="146"/>
        <v>#DIV/0!</v>
      </c>
      <c r="BI31" s="6">
        <f t="shared" si="147"/>
        <v>0</v>
      </c>
      <c r="BJ31" s="5" t="e">
        <f t="shared" si="148"/>
        <v>#DIV/0!</v>
      </c>
      <c r="BK31" s="20">
        <f t="shared" si="149"/>
        <v>-9.9999999999999998E-13</v>
      </c>
      <c r="BL31" s="20">
        <f t="shared" si="150"/>
        <v>0</v>
      </c>
      <c r="BM31" s="6">
        <f t="shared" si="151"/>
        <v>0</v>
      </c>
      <c r="BN31" s="5">
        <f t="shared" si="152"/>
        <v>0</v>
      </c>
      <c r="BO31" s="333">
        <f t="shared" si="153"/>
        <v>0</v>
      </c>
      <c r="BP31" s="334">
        <f t="shared" si="154"/>
        <v>0</v>
      </c>
      <c r="BQ31" s="6">
        <f t="shared" si="155"/>
        <v>0</v>
      </c>
      <c r="BR31" s="5">
        <f t="shared" si="156"/>
        <v>0</v>
      </c>
      <c r="BS31" s="6">
        <f t="shared" si="157"/>
        <v>0</v>
      </c>
      <c r="BT31" s="5">
        <f t="shared" si="158"/>
        <v>0</v>
      </c>
      <c r="BU31" s="181">
        <f t="shared" si="159"/>
        <v>0</v>
      </c>
      <c r="BV31" s="154">
        <f t="shared" si="160"/>
        <v>0</v>
      </c>
      <c r="BW31" s="181">
        <f t="shared" si="161"/>
        <v>0</v>
      </c>
      <c r="BX31" s="180">
        <f t="shared" si="162"/>
        <v>0</v>
      </c>
      <c r="BY31" s="181">
        <f t="shared" si="163"/>
        <v>0</v>
      </c>
      <c r="BZ31" s="154">
        <f t="shared" si="164"/>
        <v>0</v>
      </c>
      <c r="CA31" s="182">
        <f t="shared" si="165"/>
        <v>0</v>
      </c>
      <c r="CB31" s="2">
        <f t="shared" si="166"/>
        <v>0</v>
      </c>
      <c r="CC31" s="2">
        <f t="shared" si="167"/>
        <v>0</v>
      </c>
      <c r="CD31" s="2">
        <f t="shared" si="168"/>
        <v>0</v>
      </c>
      <c r="CE31" s="2">
        <f t="shared" si="169"/>
        <v>0</v>
      </c>
      <c r="CF31" s="6">
        <f t="shared" si="170"/>
        <v>0</v>
      </c>
      <c r="CG31" s="6">
        <f t="shared" si="171"/>
        <v>0</v>
      </c>
      <c r="CH31" s="6">
        <f t="shared" si="172"/>
        <v>0</v>
      </c>
      <c r="CI31" s="20">
        <f t="shared" si="173"/>
        <v>0</v>
      </c>
      <c r="CJ31" s="133">
        <f t="shared" si="174"/>
        <v>2521</v>
      </c>
      <c r="CK31" s="5">
        <f t="shared" si="175"/>
        <v>0</v>
      </c>
      <c r="CL31" s="302" t="s">
        <v>19</v>
      </c>
      <c r="CM31" s="298" t="s">
        <v>13</v>
      </c>
      <c r="CN31" s="298" t="s">
        <v>1224</v>
      </c>
      <c r="CO31" s="298">
        <v>25</v>
      </c>
      <c r="CP31" s="298" t="s">
        <v>1225</v>
      </c>
      <c r="CQ31" s="298" t="s">
        <v>1226</v>
      </c>
      <c r="CR31" s="298" t="s">
        <v>644</v>
      </c>
      <c r="CS31" s="298" t="s">
        <v>694</v>
      </c>
      <c r="CT31" s="298" t="s">
        <v>1227</v>
      </c>
      <c r="CU31" s="299">
        <v>47118</v>
      </c>
      <c r="CV31" s="298">
        <v>0</v>
      </c>
      <c r="CW31" s="298">
        <v>0</v>
      </c>
      <c r="CX31" s="298">
        <v>0</v>
      </c>
      <c r="CY31" s="298">
        <v>0</v>
      </c>
      <c r="CZ31" s="298">
        <v>0</v>
      </c>
      <c r="DA31" s="298">
        <v>0</v>
      </c>
      <c r="DB31" s="298">
        <v>0</v>
      </c>
      <c r="DC31" s="298">
        <v>0</v>
      </c>
      <c r="DD31" s="298">
        <v>0</v>
      </c>
      <c r="DE31" s="298">
        <v>0</v>
      </c>
      <c r="DF31" s="298">
        <v>0</v>
      </c>
      <c r="DG31" s="298">
        <v>0</v>
      </c>
      <c r="DH31" s="298">
        <v>0</v>
      </c>
      <c r="DI31" s="298">
        <v>0</v>
      </c>
      <c r="DJ31" s="298">
        <v>0</v>
      </c>
      <c r="DK31" s="298">
        <v>0</v>
      </c>
      <c r="DL31" s="298">
        <v>0</v>
      </c>
      <c r="DM31" s="298">
        <v>0</v>
      </c>
      <c r="DN31" s="298">
        <v>0</v>
      </c>
      <c r="DO31" s="298">
        <v>0</v>
      </c>
      <c r="DP31" s="298">
        <v>0</v>
      </c>
      <c r="DQ31" s="298">
        <v>0</v>
      </c>
      <c r="DR31" s="298">
        <v>0</v>
      </c>
      <c r="DS31" s="298">
        <v>0</v>
      </c>
      <c r="DT31" s="298">
        <v>0</v>
      </c>
      <c r="DU31" s="298">
        <v>0</v>
      </c>
      <c r="DV31" s="303" t="s">
        <v>548</v>
      </c>
    </row>
    <row r="32" spans="1:126" ht="24.95" customHeight="1" thickBot="1" x14ac:dyDescent="0.3">
      <c r="A32" s="29" t="str">
        <f t="shared" si="0"/>
        <v>31º</v>
      </c>
      <c r="B32" s="69" t="str">
        <f t="shared" si="89"/>
        <v>Lucas Flores</v>
      </c>
      <c r="C32" s="269" t="str">
        <f t="shared" si="90"/>
        <v>BRA</v>
      </c>
      <c r="D32" s="99" t="str">
        <f t="shared" si="91"/>
        <v>Somente Pé Direito</v>
      </c>
      <c r="E32" s="28" t="str">
        <f t="shared" si="92"/>
        <v>Ethnikos Achnas</v>
      </c>
      <c r="F32" s="169">
        <f t="shared" si="93"/>
        <v>26</v>
      </c>
      <c r="G32" s="2" t="str">
        <f t="shared" si="94"/>
        <v>0 € - 90m €</v>
      </c>
      <c r="H32" s="154">
        <f t="shared" si="95"/>
        <v>1.95</v>
      </c>
      <c r="I32" s="64">
        <f t="shared" si="96"/>
        <v>47299</v>
      </c>
      <c r="J32" s="304" t="str">
        <f t="shared" si="97"/>
        <v>3m € p/m</v>
      </c>
      <c r="K32" s="96">
        <f t="shared" si="10"/>
        <v>3.5222222222222221</v>
      </c>
      <c r="L32" s="146">
        <f t="shared" si="98"/>
        <v>0</v>
      </c>
      <c r="M32" s="6">
        <f t="shared" si="99"/>
        <v>0</v>
      </c>
      <c r="N32" s="5">
        <f t="shared" si="100"/>
        <v>5400</v>
      </c>
      <c r="O32" s="21">
        <f t="shared" si="101"/>
        <v>0</v>
      </c>
      <c r="P32" s="2">
        <f t="shared" si="102"/>
        <v>0</v>
      </c>
      <c r="Q32" s="2">
        <f t="shared" si="103"/>
        <v>0</v>
      </c>
      <c r="R32" s="5">
        <f t="shared" si="104"/>
        <v>0</v>
      </c>
      <c r="S32" s="2">
        <f t="shared" si="105"/>
        <v>0</v>
      </c>
      <c r="T32" s="2">
        <f t="shared" si="106"/>
        <v>0</v>
      </c>
      <c r="U32" s="102">
        <f t="shared" si="107"/>
        <v>0</v>
      </c>
      <c r="V32" s="102">
        <f t="shared" si="108"/>
        <v>0</v>
      </c>
      <c r="W32" s="6">
        <f t="shared" si="109"/>
        <v>0</v>
      </c>
      <c r="X32" s="5">
        <f t="shared" si="110"/>
        <v>0</v>
      </c>
      <c r="Y32" s="6">
        <f t="shared" si="111"/>
        <v>0</v>
      </c>
      <c r="Z32" s="5" t="e">
        <f t="shared" si="112"/>
        <v>#DIV/0!</v>
      </c>
      <c r="AA32" s="21">
        <f t="shared" si="113"/>
        <v>0</v>
      </c>
      <c r="AB32" s="6">
        <f t="shared" si="114"/>
        <v>0</v>
      </c>
      <c r="AC32" s="5" t="e">
        <f t="shared" si="115"/>
        <v>#DIV/0!</v>
      </c>
      <c r="AD32" s="6">
        <f t="shared" si="116"/>
        <v>0</v>
      </c>
      <c r="AE32" s="5">
        <f t="shared" si="117"/>
        <v>0</v>
      </c>
      <c r="AF32" s="21">
        <f t="shared" si="118"/>
        <v>0</v>
      </c>
      <c r="AG32" s="6">
        <f t="shared" si="119"/>
        <v>0</v>
      </c>
      <c r="AH32" s="5">
        <f t="shared" si="120"/>
        <v>0</v>
      </c>
      <c r="AI32" s="21">
        <f t="shared" si="121"/>
        <v>0</v>
      </c>
      <c r="AJ32" s="6">
        <f t="shared" si="122"/>
        <v>0</v>
      </c>
      <c r="AK32" s="5">
        <f t="shared" si="123"/>
        <v>0</v>
      </c>
      <c r="AL32" s="21">
        <f t="shared" si="124"/>
        <v>0</v>
      </c>
      <c r="AM32" s="21">
        <f t="shared" si="125"/>
        <v>0</v>
      </c>
      <c r="AN32" s="6">
        <f t="shared" si="126"/>
        <v>0</v>
      </c>
      <c r="AO32" s="5">
        <f t="shared" si="127"/>
        <v>0</v>
      </c>
      <c r="AP32" s="6">
        <f t="shared" si="128"/>
        <v>0</v>
      </c>
      <c r="AQ32" s="5">
        <f t="shared" si="129"/>
        <v>0</v>
      </c>
      <c r="AR32" s="2">
        <f t="shared" si="130"/>
        <v>0</v>
      </c>
      <c r="AS32" s="5">
        <f t="shared" si="131"/>
        <v>0</v>
      </c>
      <c r="AT32" s="21">
        <f t="shared" si="132"/>
        <v>0</v>
      </c>
      <c r="AU32" s="20">
        <f t="shared" si="133"/>
        <v>0</v>
      </c>
      <c r="AV32" s="20">
        <f t="shared" si="134"/>
        <v>1</v>
      </c>
      <c r="AW32" s="199">
        <f t="shared" si="135"/>
        <v>0</v>
      </c>
      <c r="AX32" s="24">
        <f t="shared" si="136"/>
        <v>0</v>
      </c>
      <c r="AY32" s="5">
        <f t="shared" si="137"/>
        <v>0</v>
      </c>
      <c r="AZ32" s="5">
        <f t="shared" si="138"/>
        <v>0</v>
      </c>
      <c r="BA32" s="5">
        <f t="shared" si="139"/>
        <v>0</v>
      </c>
      <c r="BB32" s="5">
        <f t="shared" si="140"/>
        <v>0</v>
      </c>
      <c r="BC32" s="5">
        <f t="shared" si="141"/>
        <v>0</v>
      </c>
      <c r="BD32" s="5">
        <f t="shared" si="142"/>
        <v>0</v>
      </c>
      <c r="BE32" s="199">
        <f t="shared" si="143"/>
        <v>0</v>
      </c>
      <c r="BF32" s="21">
        <f t="shared" si="144"/>
        <v>0</v>
      </c>
      <c r="BG32" s="6">
        <f t="shared" si="145"/>
        <v>0</v>
      </c>
      <c r="BH32" s="5" t="e">
        <f t="shared" si="146"/>
        <v>#DIV/0!</v>
      </c>
      <c r="BI32" s="6">
        <f t="shared" si="147"/>
        <v>0</v>
      </c>
      <c r="BJ32" s="5" t="e">
        <f t="shared" si="148"/>
        <v>#DIV/0!</v>
      </c>
      <c r="BK32" s="20">
        <f t="shared" si="149"/>
        <v>-9.9999999999999998E-13</v>
      </c>
      <c r="BL32" s="20">
        <f t="shared" si="150"/>
        <v>0</v>
      </c>
      <c r="BM32" s="6">
        <f t="shared" si="151"/>
        <v>0</v>
      </c>
      <c r="BN32" s="5">
        <f t="shared" si="152"/>
        <v>0</v>
      </c>
      <c r="BO32" s="333">
        <f t="shared" si="153"/>
        <v>0</v>
      </c>
      <c r="BP32" s="334">
        <f t="shared" si="154"/>
        <v>0</v>
      </c>
      <c r="BQ32" s="6">
        <f t="shared" si="155"/>
        <v>0</v>
      </c>
      <c r="BR32" s="5">
        <f t="shared" si="156"/>
        <v>0</v>
      </c>
      <c r="BS32" s="6">
        <f t="shared" si="157"/>
        <v>0</v>
      </c>
      <c r="BT32" s="5">
        <f t="shared" si="158"/>
        <v>0</v>
      </c>
      <c r="BU32" s="181">
        <f t="shared" si="159"/>
        <v>0</v>
      </c>
      <c r="BV32" s="154">
        <f t="shared" si="160"/>
        <v>0</v>
      </c>
      <c r="BW32" s="181">
        <f t="shared" si="161"/>
        <v>0</v>
      </c>
      <c r="BX32" s="180">
        <f t="shared" si="162"/>
        <v>0</v>
      </c>
      <c r="BY32" s="181">
        <f t="shared" si="163"/>
        <v>0</v>
      </c>
      <c r="BZ32" s="154">
        <f t="shared" si="164"/>
        <v>0</v>
      </c>
      <c r="CA32" s="182">
        <f t="shared" si="165"/>
        <v>0</v>
      </c>
      <c r="CB32" s="2">
        <f t="shared" si="166"/>
        <v>0</v>
      </c>
      <c r="CC32" s="2">
        <f t="shared" si="167"/>
        <v>0</v>
      </c>
      <c r="CD32" s="2">
        <f t="shared" si="168"/>
        <v>0</v>
      </c>
      <c r="CE32" s="2">
        <f t="shared" si="169"/>
        <v>0</v>
      </c>
      <c r="CF32" s="6">
        <f t="shared" si="170"/>
        <v>0</v>
      </c>
      <c r="CG32" s="6">
        <f t="shared" si="171"/>
        <v>0</v>
      </c>
      <c r="CH32" s="6">
        <f t="shared" si="172"/>
        <v>0</v>
      </c>
      <c r="CI32" s="20">
        <f t="shared" si="173"/>
        <v>0</v>
      </c>
      <c r="CJ32" s="133">
        <f t="shared" si="174"/>
        <v>2521</v>
      </c>
      <c r="CK32" s="5">
        <f t="shared" si="175"/>
        <v>0</v>
      </c>
      <c r="CL32" s="300"/>
      <c r="CM32" s="296" t="s">
        <v>13</v>
      </c>
      <c r="CN32" s="296" t="s">
        <v>1228</v>
      </c>
      <c r="CO32" s="296">
        <v>26</v>
      </c>
      <c r="CP32" s="296" t="s">
        <v>1229</v>
      </c>
      <c r="CQ32" s="296" t="s">
        <v>1230</v>
      </c>
      <c r="CR32" s="296" t="s">
        <v>645</v>
      </c>
      <c r="CS32" s="296" t="s">
        <v>1231</v>
      </c>
      <c r="CT32" s="296" t="s">
        <v>680</v>
      </c>
      <c r="CU32" s="297">
        <v>47299</v>
      </c>
      <c r="CV32" s="296">
        <v>0</v>
      </c>
      <c r="CW32" s="296">
        <v>0</v>
      </c>
      <c r="CX32" s="296">
        <v>0</v>
      </c>
      <c r="CY32" s="296">
        <v>0</v>
      </c>
      <c r="CZ32" s="296">
        <v>0</v>
      </c>
      <c r="DA32" s="296">
        <v>0</v>
      </c>
      <c r="DB32" s="296">
        <v>0</v>
      </c>
      <c r="DC32" s="296">
        <v>0</v>
      </c>
      <c r="DD32" s="296">
        <v>0</v>
      </c>
      <c r="DE32" s="296">
        <v>0</v>
      </c>
      <c r="DF32" s="296">
        <v>0</v>
      </c>
      <c r="DG32" s="296">
        <v>0</v>
      </c>
      <c r="DH32" s="296">
        <v>0</v>
      </c>
      <c r="DI32" s="296">
        <v>0</v>
      </c>
      <c r="DJ32" s="296">
        <v>0</v>
      </c>
      <c r="DK32" s="296">
        <v>0</v>
      </c>
      <c r="DL32" s="296">
        <v>0</v>
      </c>
      <c r="DM32" s="296">
        <v>0</v>
      </c>
      <c r="DN32" s="296">
        <v>0</v>
      </c>
      <c r="DO32" s="296">
        <v>0</v>
      </c>
      <c r="DP32" s="296">
        <v>0</v>
      </c>
      <c r="DQ32" s="296">
        <v>0</v>
      </c>
      <c r="DR32" s="296">
        <v>0</v>
      </c>
      <c r="DS32" s="296">
        <v>0</v>
      </c>
      <c r="DT32" s="296">
        <v>0</v>
      </c>
      <c r="DU32" s="296">
        <v>0</v>
      </c>
      <c r="DV32" s="301" t="s">
        <v>548</v>
      </c>
    </row>
    <row r="33" spans="1:126" ht="24.95" customHeight="1" thickBot="1" x14ac:dyDescent="0.3">
      <c r="A33" s="29" t="str">
        <f t="shared" si="0"/>
        <v>32º</v>
      </c>
      <c r="B33" s="69" t="str">
        <f t="shared" si="89"/>
        <v>Leandro</v>
      </c>
      <c r="C33" s="269" t="str">
        <f t="shared" si="90"/>
        <v>BRA</v>
      </c>
      <c r="D33" s="99" t="str">
        <f t="shared" si="91"/>
        <v>Pé Esquerdo</v>
      </c>
      <c r="E33" s="28" t="str">
        <f t="shared" si="92"/>
        <v>SPO</v>
      </c>
      <c r="F33" s="169">
        <f t="shared" si="93"/>
        <v>23</v>
      </c>
      <c r="G33" s="2" t="str">
        <f t="shared" si="94"/>
        <v>0 €</v>
      </c>
      <c r="H33" s="154">
        <f t="shared" si="95"/>
        <v>1.88</v>
      </c>
      <c r="I33" s="64">
        <f t="shared" si="96"/>
        <v>47118</v>
      </c>
      <c r="J33" s="304" t="str">
        <f t="shared" si="97"/>
        <v>5,75m € p/m</v>
      </c>
      <c r="K33" s="96">
        <f t="shared" si="10"/>
        <v>3.5222222222222221</v>
      </c>
      <c r="L33" s="146">
        <f t="shared" si="98"/>
        <v>0</v>
      </c>
      <c r="M33" s="6">
        <f t="shared" si="99"/>
        <v>0</v>
      </c>
      <c r="N33" s="5">
        <f t="shared" si="100"/>
        <v>5400</v>
      </c>
      <c r="O33" s="21">
        <f t="shared" si="101"/>
        <v>0</v>
      </c>
      <c r="P33" s="2">
        <f t="shared" si="102"/>
        <v>0</v>
      </c>
      <c r="Q33" s="2">
        <f t="shared" si="103"/>
        <v>0</v>
      </c>
      <c r="R33" s="5">
        <f t="shared" si="104"/>
        <v>0</v>
      </c>
      <c r="S33" s="2">
        <f t="shared" si="105"/>
        <v>0</v>
      </c>
      <c r="T33" s="2">
        <f t="shared" si="106"/>
        <v>0</v>
      </c>
      <c r="U33" s="102">
        <f t="shared" si="107"/>
        <v>0</v>
      </c>
      <c r="V33" s="102">
        <f t="shared" si="108"/>
        <v>0</v>
      </c>
      <c r="W33" s="6">
        <f t="shared" si="109"/>
        <v>0</v>
      </c>
      <c r="X33" s="5">
        <f t="shared" si="110"/>
        <v>0</v>
      </c>
      <c r="Y33" s="6">
        <f t="shared" si="111"/>
        <v>0</v>
      </c>
      <c r="Z33" s="5" t="e">
        <f t="shared" si="112"/>
        <v>#DIV/0!</v>
      </c>
      <c r="AA33" s="21">
        <f t="shared" si="113"/>
        <v>0</v>
      </c>
      <c r="AB33" s="6">
        <f t="shared" si="114"/>
        <v>0</v>
      </c>
      <c r="AC33" s="5" t="e">
        <f t="shared" si="115"/>
        <v>#DIV/0!</v>
      </c>
      <c r="AD33" s="6">
        <f t="shared" si="116"/>
        <v>0</v>
      </c>
      <c r="AE33" s="5">
        <f t="shared" si="117"/>
        <v>0</v>
      </c>
      <c r="AF33" s="21">
        <f t="shared" si="118"/>
        <v>0</v>
      </c>
      <c r="AG33" s="6">
        <f t="shared" si="119"/>
        <v>0</v>
      </c>
      <c r="AH33" s="5">
        <f t="shared" si="120"/>
        <v>0</v>
      </c>
      <c r="AI33" s="21">
        <f t="shared" si="121"/>
        <v>0</v>
      </c>
      <c r="AJ33" s="6">
        <f t="shared" si="122"/>
        <v>0</v>
      </c>
      <c r="AK33" s="5">
        <f t="shared" si="123"/>
        <v>0</v>
      </c>
      <c r="AL33" s="21">
        <f t="shared" si="124"/>
        <v>0</v>
      </c>
      <c r="AM33" s="21">
        <f t="shared" si="125"/>
        <v>0</v>
      </c>
      <c r="AN33" s="6">
        <f t="shared" si="126"/>
        <v>0</v>
      </c>
      <c r="AO33" s="5">
        <f t="shared" si="127"/>
        <v>0</v>
      </c>
      <c r="AP33" s="6">
        <f t="shared" si="128"/>
        <v>0</v>
      </c>
      <c r="AQ33" s="5">
        <f t="shared" si="129"/>
        <v>0</v>
      </c>
      <c r="AR33" s="2">
        <f t="shared" si="130"/>
        <v>0</v>
      </c>
      <c r="AS33" s="5">
        <f t="shared" si="131"/>
        <v>0</v>
      </c>
      <c r="AT33" s="21">
        <f t="shared" si="132"/>
        <v>0</v>
      </c>
      <c r="AU33" s="20">
        <f t="shared" si="133"/>
        <v>0</v>
      </c>
      <c r="AV33" s="20">
        <f t="shared" si="134"/>
        <v>1</v>
      </c>
      <c r="AW33" s="199">
        <f t="shared" si="135"/>
        <v>0</v>
      </c>
      <c r="AX33" s="24">
        <f t="shared" si="136"/>
        <v>0</v>
      </c>
      <c r="AY33" s="5">
        <f t="shared" si="137"/>
        <v>0</v>
      </c>
      <c r="AZ33" s="5">
        <f t="shared" si="138"/>
        <v>0</v>
      </c>
      <c r="BA33" s="5">
        <f t="shared" si="139"/>
        <v>0</v>
      </c>
      <c r="BB33" s="5">
        <f t="shared" si="140"/>
        <v>0</v>
      </c>
      <c r="BC33" s="5">
        <f t="shared" si="141"/>
        <v>0</v>
      </c>
      <c r="BD33" s="5">
        <f t="shared" si="142"/>
        <v>0</v>
      </c>
      <c r="BE33" s="199">
        <f t="shared" si="143"/>
        <v>0</v>
      </c>
      <c r="BF33" s="21">
        <f t="shared" si="144"/>
        <v>0</v>
      </c>
      <c r="BG33" s="6">
        <f t="shared" si="145"/>
        <v>0</v>
      </c>
      <c r="BH33" s="5" t="e">
        <f t="shared" si="146"/>
        <v>#DIV/0!</v>
      </c>
      <c r="BI33" s="6">
        <f t="shared" si="147"/>
        <v>0</v>
      </c>
      <c r="BJ33" s="5" t="e">
        <f t="shared" si="148"/>
        <v>#DIV/0!</v>
      </c>
      <c r="BK33" s="20">
        <f t="shared" si="149"/>
        <v>-9.9999999999999998E-13</v>
      </c>
      <c r="BL33" s="20">
        <f t="shared" si="150"/>
        <v>0</v>
      </c>
      <c r="BM33" s="6">
        <f t="shared" si="151"/>
        <v>0</v>
      </c>
      <c r="BN33" s="5">
        <f t="shared" si="152"/>
        <v>0</v>
      </c>
      <c r="BO33" s="333">
        <f t="shared" si="153"/>
        <v>0</v>
      </c>
      <c r="BP33" s="334">
        <f t="shared" si="154"/>
        <v>0</v>
      </c>
      <c r="BQ33" s="6">
        <f t="shared" si="155"/>
        <v>0</v>
      </c>
      <c r="BR33" s="5">
        <f t="shared" si="156"/>
        <v>0</v>
      </c>
      <c r="BS33" s="6">
        <f t="shared" si="157"/>
        <v>0</v>
      </c>
      <c r="BT33" s="5">
        <f t="shared" si="158"/>
        <v>0</v>
      </c>
      <c r="BU33" s="181">
        <f t="shared" si="159"/>
        <v>0</v>
      </c>
      <c r="BV33" s="154">
        <f t="shared" si="160"/>
        <v>0</v>
      </c>
      <c r="BW33" s="181">
        <f t="shared" si="161"/>
        <v>0</v>
      </c>
      <c r="BX33" s="180">
        <f t="shared" si="162"/>
        <v>0</v>
      </c>
      <c r="BY33" s="181">
        <f t="shared" si="163"/>
        <v>0</v>
      </c>
      <c r="BZ33" s="154">
        <f t="shared" si="164"/>
        <v>0</v>
      </c>
      <c r="CA33" s="182">
        <f t="shared" si="165"/>
        <v>0</v>
      </c>
      <c r="CB33" s="2">
        <f t="shared" si="166"/>
        <v>0</v>
      </c>
      <c r="CC33" s="2">
        <f t="shared" si="167"/>
        <v>0</v>
      </c>
      <c r="CD33" s="2">
        <f t="shared" si="168"/>
        <v>0</v>
      </c>
      <c r="CE33" s="2">
        <f t="shared" si="169"/>
        <v>0</v>
      </c>
      <c r="CF33" s="6">
        <f t="shared" si="170"/>
        <v>0</v>
      </c>
      <c r="CG33" s="6">
        <f t="shared" si="171"/>
        <v>0</v>
      </c>
      <c r="CH33" s="6">
        <f t="shared" si="172"/>
        <v>0</v>
      </c>
      <c r="CI33" s="20">
        <f t="shared" si="173"/>
        <v>0</v>
      </c>
      <c r="CJ33" s="133">
        <f t="shared" si="174"/>
        <v>2521</v>
      </c>
      <c r="CK33" s="5">
        <f t="shared" si="175"/>
        <v>0</v>
      </c>
      <c r="CL33" s="302" t="s">
        <v>19</v>
      </c>
      <c r="CM33" s="298" t="s">
        <v>13</v>
      </c>
      <c r="CN33" s="298" t="s">
        <v>1232</v>
      </c>
      <c r="CO33" s="298">
        <v>23</v>
      </c>
      <c r="CP33" s="298" t="s">
        <v>1233</v>
      </c>
      <c r="CQ33" s="298" t="s">
        <v>1131</v>
      </c>
      <c r="CR33" s="298" t="s">
        <v>652</v>
      </c>
      <c r="CS33" s="298" t="s">
        <v>1234</v>
      </c>
      <c r="CT33" s="298" t="s">
        <v>552</v>
      </c>
      <c r="CU33" s="299">
        <v>47118</v>
      </c>
      <c r="CV33" s="298">
        <v>0</v>
      </c>
      <c r="CW33" s="298">
        <v>0</v>
      </c>
      <c r="CX33" s="298">
        <v>0</v>
      </c>
      <c r="CY33" s="298">
        <v>0</v>
      </c>
      <c r="CZ33" s="298">
        <v>0</v>
      </c>
      <c r="DA33" s="298">
        <v>0</v>
      </c>
      <c r="DB33" s="298">
        <v>0</v>
      </c>
      <c r="DC33" s="298">
        <v>0</v>
      </c>
      <c r="DD33" s="298">
        <v>0</v>
      </c>
      <c r="DE33" s="298">
        <v>0</v>
      </c>
      <c r="DF33" s="298">
        <v>0</v>
      </c>
      <c r="DG33" s="298">
        <v>0</v>
      </c>
      <c r="DH33" s="298">
        <v>0</v>
      </c>
      <c r="DI33" s="298">
        <v>0</v>
      </c>
      <c r="DJ33" s="298">
        <v>0</v>
      </c>
      <c r="DK33" s="298">
        <v>0</v>
      </c>
      <c r="DL33" s="298">
        <v>0</v>
      </c>
      <c r="DM33" s="298">
        <v>0</v>
      </c>
      <c r="DN33" s="298">
        <v>0</v>
      </c>
      <c r="DO33" s="298">
        <v>0</v>
      </c>
      <c r="DP33" s="298">
        <v>0</v>
      </c>
      <c r="DQ33" s="298">
        <v>0</v>
      </c>
      <c r="DR33" s="298">
        <v>0</v>
      </c>
      <c r="DS33" s="298">
        <v>0</v>
      </c>
      <c r="DT33" s="298">
        <v>0</v>
      </c>
      <c r="DU33" s="298">
        <v>0</v>
      </c>
      <c r="DV33" s="303" t="s">
        <v>548</v>
      </c>
    </row>
    <row r="34" spans="1:126" ht="24.95" customHeight="1" thickBot="1" x14ac:dyDescent="0.3">
      <c r="A34" s="29" t="str">
        <f t="shared" si="0"/>
        <v>33º</v>
      </c>
      <c r="B34" s="69" t="str">
        <f t="shared" si="89"/>
        <v>Gabriel Souza</v>
      </c>
      <c r="C34" s="269" t="str">
        <f t="shared" si="90"/>
        <v>BRA</v>
      </c>
      <c r="D34" s="99" t="str">
        <f t="shared" si="91"/>
        <v>Somente Pé Direito</v>
      </c>
      <c r="E34" s="28" t="str">
        <f t="shared" si="92"/>
        <v>BAH</v>
      </c>
      <c r="F34" s="169">
        <f t="shared" si="93"/>
        <v>23</v>
      </c>
      <c r="G34" s="2" t="str">
        <f t="shared" si="94"/>
        <v>180m € - 550m €</v>
      </c>
      <c r="H34" s="154">
        <f t="shared" si="95"/>
        <v>1.93</v>
      </c>
      <c r="I34" s="64">
        <f t="shared" si="96"/>
        <v>47848</v>
      </c>
      <c r="J34" s="304" t="str">
        <f t="shared" si="97"/>
        <v>5,75m € p/m</v>
      </c>
      <c r="K34" s="96">
        <f t="shared" si="10"/>
        <v>3.5222222222222221</v>
      </c>
      <c r="L34" s="146">
        <f t="shared" si="98"/>
        <v>1.1444444444444444</v>
      </c>
      <c r="M34" s="6">
        <f t="shared" si="99"/>
        <v>0</v>
      </c>
      <c r="N34" s="5">
        <f t="shared" si="100"/>
        <v>5400</v>
      </c>
      <c r="O34" s="21">
        <f t="shared" si="101"/>
        <v>0</v>
      </c>
      <c r="P34" s="2">
        <f t="shared" si="102"/>
        <v>27</v>
      </c>
      <c r="Q34" s="2">
        <f t="shared" si="103"/>
        <v>19</v>
      </c>
      <c r="R34" s="5">
        <f t="shared" si="104"/>
        <v>16.601941747572816</v>
      </c>
      <c r="S34" s="2">
        <f t="shared" si="105"/>
        <v>8</v>
      </c>
      <c r="T34" s="2">
        <f t="shared" si="106"/>
        <v>11</v>
      </c>
      <c r="U34" s="102">
        <f t="shared" si="107"/>
        <v>0.29629629629629628</v>
      </c>
      <c r="V34" s="102">
        <f t="shared" si="108"/>
        <v>0.70370370370370372</v>
      </c>
      <c r="W34" s="6">
        <f t="shared" si="109"/>
        <v>27</v>
      </c>
      <c r="X34" s="5">
        <f t="shared" si="110"/>
        <v>23.592233009708739</v>
      </c>
      <c r="Y34" s="6">
        <f t="shared" si="111"/>
        <v>0</v>
      </c>
      <c r="Z34" s="5">
        <f t="shared" si="112"/>
        <v>0</v>
      </c>
      <c r="AA34" s="21">
        <f t="shared" si="113"/>
        <v>0</v>
      </c>
      <c r="AB34" s="6">
        <f t="shared" si="114"/>
        <v>0</v>
      </c>
      <c r="AC34" s="5">
        <f t="shared" si="115"/>
        <v>0</v>
      </c>
      <c r="AD34" s="6">
        <f t="shared" si="116"/>
        <v>0</v>
      </c>
      <c r="AE34" s="5">
        <f t="shared" si="117"/>
        <v>0</v>
      </c>
      <c r="AF34" s="21">
        <f t="shared" si="118"/>
        <v>0</v>
      </c>
      <c r="AG34" s="6">
        <f t="shared" si="119"/>
        <v>0</v>
      </c>
      <c r="AH34" s="5">
        <f t="shared" si="120"/>
        <v>0</v>
      </c>
      <c r="AI34" s="21">
        <f t="shared" si="121"/>
        <v>0</v>
      </c>
      <c r="AJ34" s="6">
        <f t="shared" si="122"/>
        <v>2</v>
      </c>
      <c r="AK34" s="5">
        <f t="shared" si="123"/>
        <v>0.12046783625730993</v>
      </c>
      <c r="AL34" s="21">
        <f t="shared" si="124"/>
        <v>1</v>
      </c>
      <c r="AM34" s="21">
        <f t="shared" si="125"/>
        <v>1.7475728155339807</v>
      </c>
      <c r="AN34" s="6">
        <f t="shared" si="126"/>
        <v>2</v>
      </c>
      <c r="AO34" s="5">
        <f t="shared" si="127"/>
        <v>1.7475728155339807</v>
      </c>
      <c r="AP34" s="6">
        <f t="shared" si="128"/>
        <v>2</v>
      </c>
      <c r="AQ34" s="5">
        <f t="shared" si="129"/>
        <v>1.7475728155339807</v>
      </c>
      <c r="AR34" s="2">
        <f t="shared" si="130"/>
        <v>2</v>
      </c>
      <c r="AS34" s="5">
        <f t="shared" si="131"/>
        <v>1.7475728155339807</v>
      </c>
      <c r="AT34" s="21">
        <f t="shared" si="132"/>
        <v>1</v>
      </c>
      <c r="AU34" s="20">
        <f t="shared" si="133"/>
        <v>1</v>
      </c>
      <c r="AV34" s="20">
        <f t="shared" si="134"/>
        <v>0</v>
      </c>
      <c r="AW34" s="199">
        <f t="shared" si="135"/>
        <v>1.5</v>
      </c>
      <c r="AX34" s="24">
        <f t="shared" si="136"/>
        <v>0</v>
      </c>
      <c r="AY34" s="5">
        <f t="shared" si="137"/>
        <v>0</v>
      </c>
      <c r="AZ34" s="5">
        <f t="shared" si="138"/>
        <v>0</v>
      </c>
      <c r="BA34" s="5">
        <f t="shared" si="139"/>
        <v>1.26</v>
      </c>
      <c r="BB34" s="5">
        <f t="shared" si="140"/>
        <v>1.1009708737864079</v>
      </c>
      <c r="BC34" s="5">
        <f t="shared" si="141"/>
        <v>1.26</v>
      </c>
      <c r="BD34" s="5">
        <f t="shared" si="142"/>
        <v>1.1009708737864079</v>
      </c>
      <c r="BE34" s="199">
        <f t="shared" si="143"/>
        <v>0.63</v>
      </c>
      <c r="BF34" s="21">
        <f t="shared" si="144"/>
        <v>1</v>
      </c>
      <c r="BG34" s="6">
        <f t="shared" si="145"/>
        <v>0</v>
      </c>
      <c r="BH34" s="5">
        <f t="shared" si="146"/>
        <v>0</v>
      </c>
      <c r="BI34" s="6">
        <f t="shared" si="147"/>
        <v>0</v>
      </c>
      <c r="BJ34" s="5">
        <f t="shared" si="148"/>
        <v>0</v>
      </c>
      <c r="BK34" s="20">
        <f t="shared" si="149"/>
        <v>-9.9999999999999998E-13</v>
      </c>
      <c r="BL34" s="20">
        <f t="shared" si="150"/>
        <v>0</v>
      </c>
      <c r="BM34" s="6">
        <f t="shared" si="151"/>
        <v>0</v>
      </c>
      <c r="BN34" s="5">
        <f t="shared" si="152"/>
        <v>0</v>
      </c>
      <c r="BO34" s="333">
        <f t="shared" si="153"/>
        <v>0</v>
      </c>
      <c r="BP34" s="334">
        <f t="shared" si="154"/>
        <v>0</v>
      </c>
      <c r="BQ34" s="6">
        <f t="shared" si="155"/>
        <v>2.9755555555555553</v>
      </c>
      <c r="BR34" s="5">
        <f t="shared" si="156"/>
        <v>2.6</v>
      </c>
      <c r="BS34" s="6">
        <f t="shared" si="157"/>
        <v>6.9811111111111099</v>
      </c>
      <c r="BT34" s="5">
        <f t="shared" si="158"/>
        <v>6.1</v>
      </c>
      <c r="BU34" s="181">
        <f t="shared" si="159"/>
        <v>0</v>
      </c>
      <c r="BV34" s="154">
        <f t="shared" si="160"/>
        <v>0</v>
      </c>
      <c r="BW34" s="181">
        <f t="shared" si="161"/>
        <v>0</v>
      </c>
      <c r="BX34" s="180">
        <f t="shared" si="162"/>
        <v>0</v>
      </c>
      <c r="BY34" s="181">
        <f t="shared" si="163"/>
        <v>0</v>
      </c>
      <c r="BZ34" s="154">
        <f t="shared" si="164"/>
        <v>0</v>
      </c>
      <c r="CA34" s="182">
        <f t="shared" si="165"/>
        <v>0</v>
      </c>
      <c r="CB34" s="2">
        <f t="shared" si="166"/>
        <v>0</v>
      </c>
      <c r="CC34" s="2">
        <f t="shared" si="167"/>
        <v>0</v>
      </c>
      <c r="CD34" s="2">
        <f t="shared" si="168"/>
        <v>0</v>
      </c>
      <c r="CE34" s="2">
        <f t="shared" si="169"/>
        <v>0</v>
      </c>
      <c r="CF34" s="6">
        <f t="shared" si="170"/>
        <v>0</v>
      </c>
      <c r="CG34" s="6">
        <f t="shared" si="171"/>
        <v>41.113</v>
      </c>
      <c r="CH34" s="6">
        <f t="shared" si="172"/>
        <v>21</v>
      </c>
      <c r="CI34" s="20">
        <f t="shared" si="173"/>
        <v>0.5107873422031961</v>
      </c>
      <c r="CJ34" s="133">
        <f t="shared" si="174"/>
        <v>2521</v>
      </c>
      <c r="CK34" s="5">
        <f t="shared" si="175"/>
        <v>7.8</v>
      </c>
      <c r="CL34" s="300" t="s">
        <v>1235</v>
      </c>
      <c r="CM34" s="296" t="s">
        <v>13</v>
      </c>
      <c r="CN34" s="296" t="s">
        <v>1236</v>
      </c>
      <c r="CO34" s="296">
        <v>23</v>
      </c>
      <c r="CP34" s="296" t="s">
        <v>1172</v>
      </c>
      <c r="CQ34" s="296" t="s">
        <v>1237</v>
      </c>
      <c r="CR34" s="296" t="s">
        <v>645</v>
      </c>
      <c r="CS34" s="296" t="s">
        <v>1234</v>
      </c>
      <c r="CT34" s="296" t="s">
        <v>1123</v>
      </c>
      <c r="CU34" s="297">
        <v>47848</v>
      </c>
      <c r="CV34" s="296">
        <v>0</v>
      </c>
      <c r="CW34" s="296">
        <v>103</v>
      </c>
      <c r="CX34" s="296">
        <v>0</v>
      </c>
      <c r="CY34" s="296">
        <v>0</v>
      </c>
      <c r="CZ34" s="296">
        <v>0</v>
      </c>
      <c r="DA34" s="296">
        <v>2</v>
      </c>
      <c r="DB34" s="296">
        <v>0</v>
      </c>
      <c r="DC34" s="296">
        <v>2.6</v>
      </c>
      <c r="DD34" s="296">
        <v>6.1</v>
      </c>
      <c r="DE34" s="296">
        <v>2</v>
      </c>
      <c r="DF34" s="296">
        <v>0</v>
      </c>
      <c r="DG34" s="296">
        <v>0</v>
      </c>
      <c r="DH34" s="296">
        <v>0</v>
      </c>
      <c r="DI34" s="296">
        <v>0</v>
      </c>
      <c r="DJ34" s="296">
        <v>0</v>
      </c>
      <c r="DK34" s="296">
        <v>0</v>
      </c>
      <c r="DL34" s="296">
        <v>27</v>
      </c>
      <c r="DM34" s="296">
        <v>19</v>
      </c>
      <c r="DN34" s="296" t="s">
        <v>1238</v>
      </c>
      <c r="DO34" s="296">
        <v>0</v>
      </c>
      <c r="DP34" s="296">
        <v>0</v>
      </c>
      <c r="DQ34" s="296">
        <v>0</v>
      </c>
      <c r="DR34" s="296">
        <v>0</v>
      </c>
      <c r="DS34" s="296">
        <v>0</v>
      </c>
      <c r="DT34" s="296">
        <v>0</v>
      </c>
      <c r="DU34" s="296">
        <v>0</v>
      </c>
      <c r="DV34" s="301">
        <v>7.8</v>
      </c>
    </row>
    <row r="35" spans="1:126" ht="24.95" customHeight="1" thickBot="1" x14ac:dyDescent="0.3">
      <c r="A35" s="29" t="str">
        <f t="shared" si="0"/>
        <v>34º</v>
      </c>
      <c r="B35" s="69" t="str">
        <f t="shared" si="89"/>
        <v>Matheus Sampaio</v>
      </c>
      <c r="C35" s="269" t="str">
        <f t="shared" si="90"/>
        <v>BRA</v>
      </c>
      <c r="D35" s="99" t="str">
        <f t="shared" si="91"/>
        <v>Pé Direito</v>
      </c>
      <c r="E35" s="28" t="str">
        <f t="shared" si="92"/>
        <v>Académico de Viseu</v>
      </c>
      <c r="F35" s="169">
        <f t="shared" si="93"/>
        <v>23</v>
      </c>
      <c r="G35" s="2" t="str">
        <f t="shared" si="94"/>
        <v>0 € - 75m €</v>
      </c>
      <c r="H35" s="154">
        <f t="shared" si="95"/>
        <v>1.88</v>
      </c>
      <c r="I35" s="64">
        <f t="shared" si="96"/>
        <v>47299</v>
      </c>
      <c r="J35" s="304" t="str">
        <f t="shared" si="97"/>
        <v>2,7m € p/m</v>
      </c>
      <c r="K35" s="96">
        <f t="shared" si="10"/>
        <v>3.5222222222222221</v>
      </c>
      <c r="L35" s="146">
        <f t="shared" si="98"/>
        <v>0</v>
      </c>
      <c r="M35" s="6">
        <f t="shared" si="99"/>
        <v>0</v>
      </c>
      <c r="N35" s="5">
        <f t="shared" si="100"/>
        <v>5400</v>
      </c>
      <c r="O35" s="21">
        <f t="shared" si="101"/>
        <v>0</v>
      </c>
      <c r="P35" s="2">
        <f t="shared" si="102"/>
        <v>0</v>
      </c>
      <c r="Q35" s="2">
        <f t="shared" si="103"/>
        <v>0</v>
      </c>
      <c r="R35" s="5">
        <f t="shared" si="104"/>
        <v>0</v>
      </c>
      <c r="S35" s="2">
        <f t="shared" si="105"/>
        <v>0</v>
      </c>
      <c r="T35" s="2">
        <f t="shared" si="106"/>
        <v>0</v>
      </c>
      <c r="U35" s="102">
        <f t="shared" si="107"/>
        <v>0</v>
      </c>
      <c r="V35" s="102">
        <f t="shared" si="108"/>
        <v>0</v>
      </c>
      <c r="W35" s="6">
        <f t="shared" si="109"/>
        <v>0</v>
      </c>
      <c r="X35" s="5">
        <f t="shared" si="110"/>
        <v>0</v>
      </c>
      <c r="Y35" s="6">
        <f t="shared" si="111"/>
        <v>0</v>
      </c>
      <c r="Z35" s="5" t="e">
        <f t="shared" si="112"/>
        <v>#DIV/0!</v>
      </c>
      <c r="AA35" s="21">
        <f t="shared" si="113"/>
        <v>0</v>
      </c>
      <c r="AB35" s="6">
        <f t="shared" si="114"/>
        <v>0</v>
      </c>
      <c r="AC35" s="5" t="e">
        <f t="shared" si="115"/>
        <v>#DIV/0!</v>
      </c>
      <c r="AD35" s="6">
        <f t="shared" si="116"/>
        <v>0</v>
      </c>
      <c r="AE35" s="5">
        <f t="shared" si="117"/>
        <v>0</v>
      </c>
      <c r="AF35" s="21">
        <f t="shared" si="118"/>
        <v>0</v>
      </c>
      <c r="AG35" s="6">
        <f t="shared" si="119"/>
        <v>0</v>
      </c>
      <c r="AH35" s="5">
        <f t="shared" si="120"/>
        <v>0</v>
      </c>
      <c r="AI35" s="21">
        <f t="shared" si="121"/>
        <v>0</v>
      </c>
      <c r="AJ35" s="6">
        <f t="shared" si="122"/>
        <v>0</v>
      </c>
      <c r="AK35" s="5">
        <f t="shared" si="123"/>
        <v>0</v>
      </c>
      <c r="AL35" s="21">
        <f t="shared" si="124"/>
        <v>0</v>
      </c>
      <c r="AM35" s="21">
        <f t="shared" si="125"/>
        <v>0</v>
      </c>
      <c r="AN35" s="6">
        <f t="shared" si="126"/>
        <v>0</v>
      </c>
      <c r="AO35" s="5">
        <f t="shared" si="127"/>
        <v>0</v>
      </c>
      <c r="AP35" s="6">
        <f t="shared" si="128"/>
        <v>0</v>
      </c>
      <c r="AQ35" s="5">
        <f t="shared" si="129"/>
        <v>0</v>
      </c>
      <c r="AR35" s="2">
        <f t="shared" si="130"/>
        <v>0</v>
      </c>
      <c r="AS35" s="5">
        <f t="shared" si="131"/>
        <v>0</v>
      </c>
      <c r="AT35" s="21">
        <f t="shared" si="132"/>
        <v>0</v>
      </c>
      <c r="AU35" s="20">
        <f t="shared" si="133"/>
        <v>0</v>
      </c>
      <c r="AV35" s="20">
        <f t="shared" si="134"/>
        <v>1</v>
      </c>
      <c r="AW35" s="199">
        <f t="shared" si="135"/>
        <v>0</v>
      </c>
      <c r="AX35" s="24">
        <f t="shared" si="136"/>
        <v>0</v>
      </c>
      <c r="AY35" s="5">
        <f t="shared" si="137"/>
        <v>0</v>
      </c>
      <c r="AZ35" s="5">
        <f t="shared" si="138"/>
        <v>0</v>
      </c>
      <c r="BA35" s="5">
        <f t="shared" si="139"/>
        <v>0</v>
      </c>
      <c r="BB35" s="5">
        <f t="shared" si="140"/>
        <v>0</v>
      </c>
      <c r="BC35" s="5">
        <f t="shared" si="141"/>
        <v>0</v>
      </c>
      <c r="BD35" s="5">
        <f t="shared" si="142"/>
        <v>0</v>
      </c>
      <c r="BE35" s="199">
        <f t="shared" si="143"/>
        <v>0</v>
      </c>
      <c r="BF35" s="21">
        <f t="shared" si="144"/>
        <v>0</v>
      </c>
      <c r="BG35" s="6">
        <f t="shared" si="145"/>
        <v>0</v>
      </c>
      <c r="BH35" s="5" t="e">
        <f t="shared" si="146"/>
        <v>#DIV/0!</v>
      </c>
      <c r="BI35" s="6">
        <f t="shared" si="147"/>
        <v>0</v>
      </c>
      <c r="BJ35" s="5" t="e">
        <f t="shared" si="148"/>
        <v>#DIV/0!</v>
      </c>
      <c r="BK35" s="20">
        <f t="shared" si="149"/>
        <v>-9.9999999999999998E-13</v>
      </c>
      <c r="BL35" s="20">
        <f t="shared" si="150"/>
        <v>0</v>
      </c>
      <c r="BM35" s="6">
        <f t="shared" si="151"/>
        <v>0</v>
      </c>
      <c r="BN35" s="5">
        <f t="shared" si="152"/>
        <v>0</v>
      </c>
      <c r="BO35" s="333">
        <f t="shared" si="153"/>
        <v>0</v>
      </c>
      <c r="BP35" s="334">
        <f t="shared" si="154"/>
        <v>0</v>
      </c>
      <c r="BQ35" s="6">
        <f t="shared" si="155"/>
        <v>0</v>
      </c>
      <c r="BR35" s="5">
        <f t="shared" si="156"/>
        <v>0</v>
      </c>
      <c r="BS35" s="6">
        <f t="shared" si="157"/>
        <v>0</v>
      </c>
      <c r="BT35" s="5">
        <f t="shared" si="158"/>
        <v>0</v>
      </c>
      <c r="BU35" s="181">
        <f t="shared" si="159"/>
        <v>0</v>
      </c>
      <c r="BV35" s="154">
        <f t="shared" si="160"/>
        <v>0</v>
      </c>
      <c r="BW35" s="181">
        <f t="shared" si="161"/>
        <v>0</v>
      </c>
      <c r="BX35" s="180">
        <f t="shared" si="162"/>
        <v>0</v>
      </c>
      <c r="BY35" s="181">
        <f t="shared" si="163"/>
        <v>0</v>
      </c>
      <c r="BZ35" s="154">
        <f t="shared" si="164"/>
        <v>0</v>
      </c>
      <c r="CA35" s="182">
        <f t="shared" si="165"/>
        <v>0</v>
      </c>
      <c r="CB35" s="2">
        <f t="shared" si="166"/>
        <v>0</v>
      </c>
      <c r="CC35" s="2">
        <f t="shared" si="167"/>
        <v>0</v>
      </c>
      <c r="CD35" s="2">
        <f t="shared" si="168"/>
        <v>0</v>
      </c>
      <c r="CE35" s="2">
        <f t="shared" si="169"/>
        <v>0</v>
      </c>
      <c r="CF35" s="6">
        <f t="shared" si="170"/>
        <v>0</v>
      </c>
      <c r="CG35" s="6">
        <f t="shared" si="171"/>
        <v>0</v>
      </c>
      <c r="CH35" s="6">
        <f t="shared" si="172"/>
        <v>0</v>
      </c>
      <c r="CI35" s="20">
        <f t="shared" si="173"/>
        <v>0</v>
      </c>
      <c r="CJ35" s="133">
        <f t="shared" si="174"/>
        <v>2521</v>
      </c>
      <c r="CK35" s="5">
        <f t="shared" si="175"/>
        <v>0</v>
      </c>
      <c r="CL35" s="302"/>
      <c r="CM35" s="298" t="s">
        <v>13</v>
      </c>
      <c r="CN35" s="298" t="s">
        <v>1239</v>
      </c>
      <c r="CO35" s="298">
        <v>23</v>
      </c>
      <c r="CP35" s="298" t="s">
        <v>1240</v>
      </c>
      <c r="CQ35" s="298" t="s">
        <v>1241</v>
      </c>
      <c r="CR35" s="298" t="s">
        <v>644</v>
      </c>
      <c r="CS35" s="298" t="s">
        <v>1216</v>
      </c>
      <c r="CT35" s="298" t="s">
        <v>552</v>
      </c>
      <c r="CU35" s="299">
        <v>47299</v>
      </c>
      <c r="CV35" s="298">
        <v>0</v>
      </c>
      <c r="CW35" s="298">
        <v>0</v>
      </c>
      <c r="CX35" s="298">
        <v>0</v>
      </c>
      <c r="CY35" s="298">
        <v>0</v>
      </c>
      <c r="CZ35" s="298">
        <v>0</v>
      </c>
      <c r="DA35" s="298">
        <v>0</v>
      </c>
      <c r="DB35" s="298">
        <v>0</v>
      </c>
      <c r="DC35" s="298">
        <v>0</v>
      </c>
      <c r="DD35" s="298">
        <v>0</v>
      </c>
      <c r="DE35" s="298">
        <v>0</v>
      </c>
      <c r="DF35" s="298">
        <v>0</v>
      </c>
      <c r="DG35" s="298">
        <v>0</v>
      </c>
      <c r="DH35" s="298">
        <v>0</v>
      </c>
      <c r="DI35" s="298">
        <v>0</v>
      </c>
      <c r="DJ35" s="298">
        <v>0</v>
      </c>
      <c r="DK35" s="298">
        <v>0</v>
      </c>
      <c r="DL35" s="298">
        <v>0</v>
      </c>
      <c r="DM35" s="298">
        <v>0</v>
      </c>
      <c r="DN35" s="298">
        <v>0</v>
      </c>
      <c r="DO35" s="298">
        <v>0</v>
      </c>
      <c r="DP35" s="298">
        <v>0</v>
      </c>
      <c r="DQ35" s="298">
        <v>0</v>
      </c>
      <c r="DR35" s="298">
        <v>0</v>
      </c>
      <c r="DS35" s="298">
        <v>0</v>
      </c>
      <c r="DT35" s="298">
        <v>0</v>
      </c>
      <c r="DU35" s="298">
        <v>0</v>
      </c>
      <c r="DV35" s="303" t="s">
        <v>548</v>
      </c>
    </row>
    <row r="36" spans="1:126" ht="24.95" customHeight="1" thickBot="1" x14ac:dyDescent="0.3">
      <c r="A36" s="29" t="str">
        <f t="shared" si="0"/>
        <v>35º</v>
      </c>
      <c r="B36" s="69" t="str">
        <f t="shared" si="89"/>
        <v>Gabriel Werner</v>
      </c>
      <c r="C36" s="269" t="str">
        <f t="shared" si="90"/>
        <v>BRA</v>
      </c>
      <c r="D36" s="99" t="str">
        <f t="shared" si="91"/>
        <v>Pé Direito</v>
      </c>
      <c r="E36" s="28" t="str">
        <f t="shared" si="92"/>
        <v>CHA</v>
      </c>
      <c r="F36" s="169">
        <f t="shared" si="93"/>
        <v>25</v>
      </c>
      <c r="G36" s="2" t="str">
        <f t="shared" si="94"/>
        <v>0 €</v>
      </c>
      <c r="H36" s="154">
        <f t="shared" si="95"/>
        <v>1.89</v>
      </c>
      <c r="I36" s="64">
        <f t="shared" si="96"/>
        <v>47118</v>
      </c>
      <c r="J36" s="304" t="str">
        <f t="shared" si="97"/>
        <v>2,1m € p/m</v>
      </c>
      <c r="K36" s="96">
        <f t="shared" si="10"/>
        <v>3.5222222222222221</v>
      </c>
      <c r="L36" s="146">
        <f t="shared" si="98"/>
        <v>0</v>
      </c>
      <c r="M36" s="6">
        <f t="shared" si="99"/>
        <v>0</v>
      </c>
      <c r="N36" s="5">
        <f t="shared" si="100"/>
        <v>5400</v>
      </c>
      <c r="O36" s="21">
        <f t="shared" si="101"/>
        <v>0</v>
      </c>
      <c r="P36" s="2">
        <f t="shared" si="102"/>
        <v>0</v>
      </c>
      <c r="Q36" s="2">
        <f t="shared" si="103"/>
        <v>0</v>
      </c>
      <c r="R36" s="5">
        <f t="shared" si="104"/>
        <v>0</v>
      </c>
      <c r="S36" s="2">
        <f t="shared" si="105"/>
        <v>0</v>
      </c>
      <c r="T36" s="2">
        <f t="shared" si="106"/>
        <v>0</v>
      </c>
      <c r="U36" s="102">
        <f t="shared" si="107"/>
        <v>0</v>
      </c>
      <c r="V36" s="102">
        <f t="shared" si="108"/>
        <v>0</v>
      </c>
      <c r="W36" s="6">
        <f t="shared" si="109"/>
        <v>0</v>
      </c>
      <c r="X36" s="5">
        <f t="shared" si="110"/>
        <v>0</v>
      </c>
      <c r="Y36" s="6">
        <f t="shared" si="111"/>
        <v>0</v>
      </c>
      <c r="Z36" s="5" t="e">
        <f t="shared" si="112"/>
        <v>#DIV/0!</v>
      </c>
      <c r="AA36" s="21">
        <f t="shared" si="113"/>
        <v>0</v>
      </c>
      <c r="AB36" s="6">
        <f t="shared" si="114"/>
        <v>0</v>
      </c>
      <c r="AC36" s="5" t="e">
        <f t="shared" si="115"/>
        <v>#DIV/0!</v>
      </c>
      <c r="AD36" s="6">
        <f t="shared" si="116"/>
        <v>0</v>
      </c>
      <c r="AE36" s="5">
        <f t="shared" si="117"/>
        <v>0</v>
      </c>
      <c r="AF36" s="21">
        <f t="shared" si="118"/>
        <v>0</v>
      </c>
      <c r="AG36" s="6">
        <f t="shared" si="119"/>
        <v>0</v>
      </c>
      <c r="AH36" s="5">
        <f t="shared" si="120"/>
        <v>0</v>
      </c>
      <c r="AI36" s="21">
        <f t="shared" si="121"/>
        <v>0</v>
      </c>
      <c r="AJ36" s="6">
        <f t="shared" si="122"/>
        <v>0</v>
      </c>
      <c r="AK36" s="5">
        <f t="shared" si="123"/>
        <v>0</v>
      </c>
      <c r="AL36" s="21">
        <f t="shared" si="124"/>
        <v>0</v>
      </c>
      <c r="AM36" s="21">
        <f t="shared" si="125"/>
        <v>0</v>
      </c>
      <c r="AN36" s="6">
        <f t="shared" si="126"/>
        <v>0</v>
      </c>
      <c r="AO36" s="5">
        <f t="shared" si="127"/>
        <v>0</v>
      </c>
      <c r="AP36" s="6">
        <f t="shared" si="128"/>
        <v>0</v>
      </c>
      <c r="AQ36" s="5">
        <f t="shared" si="129"/>
        <v>0</v>
      </c>
      <c r="AR36" s="2">
        <f t="shared" si="130"/>
        <v>0</v>
      </c>
      <c r="AS36" s="5">
        <f t="shared" si="131"/>
        <v>0</v>
      </c>
      <c r="AT36" s="21">
        <f t="shared" si="132"/>
        <v>0</v>
      </c>
      <c r="AU36" s="20">
        <f t="shared" si="133"/>
        <v>0</v>
      </c>
      <c r="AV36" s="20">
        <f t="shared" si="134"/>
        <v>1</v>
      </c>
      <c r="AW36" s="199">
        <f t="shared" si="135"/>
        <v>0</v>
      </c>
      <c r="AX36" s="24">
        <f t="shared" si="136"/>
        <v>0</v>
      </c>
      <c r="AY36" s="5">
        <f t="shared" si="137"/>
        <v>0</v>
      </c>
      <c r="AZ36" s="5">
        <f t="shared" si="138"/>
        <v>0</v>
      </c>
      <c r="BA36" s="5">
        <f t="shared" si="139"/>
        <v>0</v>
      </c>
      <c r="BB36" s="5">
        <f t="shared" si="140"/>
        <v>0</v>
      </c>
      <c r="BC36" s="5">
        <f t="shared" si="141"/>
        <v>0</v>
      </c>
      <c r="BD36" s="5">
        <f t="shared" si="142"/>
        <v>0</v>
      </c>
      <c r="BE36" s="199">
        <f t="shared" si="143"/>
        <v>0</v>
      </c>
      <c r="BF36" s="21">
        <f t="shared" si="144"/>
        <v>0</v>
      </c>
      <c r="BG36" s="6">
        <f t="shared" si="145"/>
        <v>0</v>
      </c>
      <c r="BH36" s="5" t="e">
        <f t="shared" si="146"/>
        <v>#DIV/0!</v>
      </c>
      <c r="BI36" s="6">
        <f t="shared" si="147"/>
        <v>0</v>
      </c>
      <c r="BJ36" s="5" t="e">
        <f t="shared" si="148"/>
        <v>#DIV/0!</v>
      </c>
      <c r="BK36" s="20">
        <f t="shared" si="149"/>
        <v>-9.9999999999999998E-13</v>
      </c>
      <c r="BL36" s="20">
        <f t="shared" si="150"/>
        <v>0</v>
      </c>
      <c r="BM36" s="6">
        <f t="shared" si="151"/>
        <v>0</v>
      </c>
      <c r="BN36" s="5">
        <f t="shared" si="152"/>
        <v>0</v>
      </c>
      <c r="BO36" s="333">
        <f t="shared" si="153"/>
        <v>0</v>
      </c>
      <c r="BP36" s="334">
        <f t="shared" si="154"/>
        <v>0</v>
      </c>
      <c r="BQ36" s="6">
        <f t="shared" si="155"/>
        <v>0</v>
      </c>
      <c r="BR36" s="5">
        <f t="shared" si="156"/>
        <v>0</v>
      </c>
      <c r="BS36" s="6">
        <f t="shared" si="157"/>
        <v>0</v>
      </c>
      <c r="BT36" s="5">
        <f t="shared" si="158"/>
        <v>0</v>
      </c>
      <c r="BU36" s="181">
        <f t="shared" si="159"/>
        <v>0</v>
      </c>
      <c r="BV36" s="154">
        <f t="shared" si="160"/>
        <v>0</v>
      </c>
      <c r="BW36" s="181">
        <f t="shared" si="161"/>
        <v>0</v>
      </c>
      <c r="BX36" s="180">
        <f t="shared" si="162"/>
        <v>0</v>
      </c>
      <c r="BY36" s="181">
        <f t="shared" si="163"/>
        <v>0</v>
      </c>
      <c r="BZ36" s="154">
        <f t="shared" si="164"/>
        <v>0</v>
      </c>
      <c r="CA36" s="182">
        <f t="shared" si="165"/>
        <v>0</v>
      </c>
      <c r="CB36" s="2">
        <f t="shared" si="166"/>
        <v>0</v>
      </c>
      <c r="CC36" s="2">
        <f t="shared" si="167"/>
        <v>0</v>
      </c>
      <c r="CD36" s="2">
        <f t="shared" si="168"/>
        <v>0</v>
      </c>
      <c r="CE36" s="2">
        <f t="shared" si="169"/>
        <v>0</v>
      </c>
      <c r="CF36" s="6">
        <f t="shared" si="170"/>
        <v>0</v>
      </c>
      <c r="CG36" s="6">
        <f t="shared" si="171"/>
        <v>0</v>
      </c>
      <c r="CH36" s="6">
        <f t="shared" si="172"/>
        <v>0</v>
      </c>
      <c r="CI36" s="20">
        <f t="shared" si="173"/>
        <v>0</v>
      </c>
      <c r="CJ36" s="133">
        <f t="shared" si="174"/>
        <v>2521</v>
      </c>
      <c r="CK36" s="5">
        <f t="shared" si="175"/>
        <v>0</v>
      </c>
      <c r="CL36" s="300"/>
      <c r="CM36" s="296" t="s">
        <v>13</v>
      </c>
      <c r="CN36" s="296" t="s">
        <v>1242</v>
      </c>
      <c r="CO36" s="296">
        <v>25</v>
      </c>
      <c r="CP36" s="296" t="s">
        <v>1243</v>
      </c>
      <c r="CQ36" s="296" t="s">
        <v>1131</v>
      </c>
      <c r="CR36" s="296" t="s">
        <v>644</v>
      </c>
      <c r="CS36" s="296" t="s">
        <v>1244</v>
      </c>
      <c r="CT36" s="296" t="s">
        <v>593</v>
      </c>
      <c r="CU36" s="297">
        <v>47118</v>
      </c>
      <c r="CV36" s="296">
        <v>0</v>
      </c>
      <c r="CW36" s="296">
        <v>0</v>
      </c>
      <c r="CX36" s="296">
        <v>0</v>
      </c>
      <c r="CY36" s="296">
        <v>0</v>
      </c>
      <c r="CZ36" s="296">
        <v>0</v>
      </c>
      <c r="DA36" s="296">
        <v>0</v>
      </c>
      <c r="DB36" s="296">
        <v>0</v>
      </c>
      <c r="DC36" s="296">
        <v>0</v>
      </c>
      <c r="DD36" s="296">
        <v>0</v>
      </c>
      <c r="DE36" s="296">
        <v>0</v>
      </c>
      <c r="DF36" s="296">
        <v>0</v>
      </c>
      <c r="DG36" s="296">
        <v>0</v>
      </c>
      <c r="DH36" s="296">
        <v>0</v>
      </c>
      <c r="DI36" s="296">
        <v>0</v>
      </c>
      <c r="DJ36" s="296">
        <v>0</v>
      </c>
      <c r="DK36" s="296">
        <v>0</v>
      </c>
      <c r="DL36" s="296">
        <v>0</v>
      </c>
      <c r="DM36" s="296">
        <v>0</v>
      </c>
      <c r="DN36" s="296">
        <v>0</v>
      </c>
      <c r="DO36" s="296">
        <v>0</v>
      </c>
      <c r="DP36" s="296">
        <v>0</v>
      </c>
      <c r="DQ36" s="296">
        <v>0</v>
      </c>
      <c r="DR36" s="296">
        <v>0</v>
      </c>
      <c r="DS36" s="296">
        <v>0</v>
      </c>
      <c r="DT36" s="296">
        <v>0</v>
      </c>
      <c r="DU36" s="296">
        <v>0</v>
      </c>
      <c r="DV36" s="301" t="s">
        <v>548</v>
      </c>
    </row>
    <row r="37" spans="1:126" ht="24.95" customHeight="1" thickBot="1" x14ac:dyDescent="0.3">
      <c r="A37" s="29" t="str">
        <f t="shared" si="0"/>
        <v>36º</v>
      </c>
      <c r="B37" s="69" t="str">
        <f t="shared" si="89"/>
        <v>Edivaldo</v>
      </c>
      <c r="C37" s="269" t="str">
        <f t="shared" si="90"/>
        <v>BRA</v>
      </c>
      <c r="D37" s="99" t="str">
        <f t="shared" si="91"/>
        <v>Pé Direito</v>
      </c>
      <c r="E37" s="28" t="str">
        <f t="shared" si="92"/>
        <v>SAN</v>
      </c>
      <c r="F37" s="169">
        <f t="shared" si="93"/>
        <v>18</v>
      </c>
      <c r="G37" s="2" t="str">
        <f t="shared" si="94"/>
        <v>210m € - 2,1M €</v>
      </c>
      <c r="H37" s="154">
        <f t="shared" si="95"/>
        <v>1.89</v>
      </c>
      <c r="I37" s="64">
        <f t="shared" si="96"/>
        <v>47483</v>
      </c>
      <c r="J37" s="304" t="str">
        <f t="shared" si="97"/>
        <v>750 € p/m</v>
      </c>
      <c r="K37" s="96">
        <f t="shared" si="10"/>
        <v>3.5222222222222221</v>
      </c>
      <c r="L37" s="146">
        <f t="shared" si="98"/>
        <v>0</v>
      </c>
      <c r="M37" s="6">
        <f t="shared" si="99"/>
        <v>0</v>
      </c>
      <c r="N37" s="5">
        <f t="shared" si="100"/>
        <v>5400</v>
      </c>
      <c r="O37" s="21">
        <f t="shared" si="101"/>
        <v>0</v>
      </c>
      <c r="P37" s="2">
        <f t="shared" si="102"/>
        <v>0</v>
      </c>
      <c r="Q37" s="2">
        <f t="shared" si="103"/>
        <v>0</v>
      </c>
      <c r="R37" s="5">
        <f t="shared" si="104"/>
        <v>0</v>
      </c>
      <c r="S37" s="2">
        <f t="shared" si="105"/>
        <v>0</v>
      </c>
      <c r="T37" s="2">
        <f t="shared" si="106"/>
        <v>0</v>
      </c>
      <c r="U37" s="102">
        <f t="shared" si="107"/>
        <v>0</v>
      </c>
      <c r="V37" s="102">
        <f t="shared" si="108"/>
        <v>0</v>
      </c>
      <c r="W37" s="6">
        <f t="shared" si="109"/>
        <v>0</v>
      </c>
      <c r="X37" s="5">
        <f t="shared" si="110"/>
        <v>0</v>
      </c>
      <c r="Y37" s="6">
        <f t="shared" si="111"/>
        <v>0</v>
      </c>
      <c r="Z37" s="5" t="e">
        <f t="shared" si="112"/>
        <v>#DIV/0!</v>
      </c>
      <c r="AA37" s="21">
        <f t="shared" si="113"/>
        <v>0</v>
      </c>
      <c r="AB37" s="6">
        <f t="shared" si="114"/>
        <v>0</v>
      </c>
      <c r="AC37" s="5" t="e">
        <f t="shared" si="115"/>
        <v>#DIV/0!</v>
      </c>
      <c r="AD37" s="6">
        <f t="shared" si="116"/>
        <v>0</v>
      </c>
      <c r="AE37" s="5">
        <f t="shared" si="117"/>
        <v>0</v>
      </c>
      <c r="AF37" s="21">
        <f t="shared" si="118"/>
        <v>0</v>
      </c>
      <c r="AG37" s="6">
        <f t="shared" si="119"/>
        <v>0</v>
      </c>
      <c r="AH37" s="5">
        <f t="shared" si="120"/>
        <v>0</v>
      </c>
      <c r="AI37" s="21">
        <f t="shared" si="121"/>
        <v>0</v>
      </c>
      <c r="AJ37" s="6">
        <f t="shared" si="122"/>
        <v>0</v>
      </c>
      <c r="AK37" s="5">
        <f t="shared" si="123"/>
        <v>0</v>
      </c>
      <c r="AL37" s="21">
        <f t="shared" si="124"/>
        <v>0</v>
      </c>
      <c r="AM37" s="21">
        <f t="shared" si="125"/>
        <v>0</v>
      </c>
      <c r="AN37" s="6">
        <f t="shared" si="126"/>
        <v>0</v>
      </c>
      <c r="AO37" s="5">
        <f t="shared" si="127"/>
        <v>0</v>
      </c>
      <c r="AP37" s="6">
        <f t="shared" si="128"/>
        <v>0</v>
      </c>
      <c r="AQ37" s="5">
        <f t="shared" si="129"/>
        <v>0</v>
      </c>
      <c r="AR37" s="2">
        <f t="shared" si="130"/>
        <v>0</v>
      </c>
      <c r="AS37" s="5">
        <f t="shared" si="131"/>
        <v>0</v>
      </c>
      <c r="AT37" s="21">
        <f t="shared" si="132"/>
        <v>0</v>
      </c>
      <c r="AU37" s="20">
        <f t="shared" si="133"/>
        <v>0</v>
      </c>
      <c r="AV37" s="20">
        <f t="shared" si="134"/>
        <v>1</v>
      </c>
      <c r="AW37" s="199">
        <f t="shared" si="135"/>
        <v>0</v>
      </c>
      <c r="AX37" s="24">
        <f t="shared" si="136"/>
        <v>0</v>
      </c>
      <c r="AY37" s="5">
        <f t="shared" si="137"/>
        <v>0</v>
      </c>
      <c r="AZ37" s="5">
        <f t="shared" si="138"/>
        <v>0</v>
      </c>
      <c r="BA37" s="5">
        <f t="shared" si="139"/>
        <v>0</v>
      </c>
      <c r="BB37" s="5">
        <f t="shared" si="140"/>
        <v>0</v>
      </c>
      <c r="BC37" s="5">
        <f t="shared" si="141"/>
        <v>0</v>
      </c>
      <c r="BD37" s="5">
        <f t="shared" si="142"/>
        <v>0</v>
      </c>
      <c r="BE37" s="199">
        <f t="shared" si="143"/>
        <v>0</v>
      </c>
      <c r="BF37" s="21">
        <f t="shared" si="144"/>
        <v>0</v>
      </c>
      <c r="BG37" s="6">
        <f t="shared" si="145"/>
        <v>0</v>
      </c>
      <c r="BH37" s="5" t="e">
        <f t="shared" si="146"/>
        <v>#DIV/0!</v>
      </c>
      <c r="BI37" s="6">
        <f t="shared" si="147"/>
        <v>0</v>
      </c>
      <c r="BJ37" s="5" t="e">
        <f t="shared" si="148"/>
        <v>#DIV/0!</v>
      </c>
      <c r="BK37" s="20">
        <f t="shared" si="149"/>
        <v>-9.9999999999999998E-13</v>
      </c>
      <c r="BL37" s="20">
        <f t="shared" si="150"/>
        <v>0</v>
      </c>
      <c r="BM37" s="6">
        <f t="shared" si="151"/>
        <v>0</v>
      </c>
      <c r="BN37" s="5">
        <f t="shared" si="152"/>
        <v>0</v>
      </c>
      <c r="BO37" s="333">
        <f t="shared" si="153"/>
        <v>0</v>
      </c>
      <c r="BP37" s="334">
        <f t="shared" si="154"/>
        <v>0</v>
      </c>
      <c r="BQ37" s="6">
        <f t="shared" si="155"/>
        <v>0</v>
      </c>
      <c r="BR37" s="5">
        <f t="shared" si="156"/>
        <v>0</v>
      </c>
      <c r="BS37" s="6">
        <f t="shared" si="157"/>
        <v>0</v>
      </c>
      <c r="BT37" s="5">
        <f t="shared" si="158"/>
        <v>0</v>
      </c>
      <c r="BU37" s="181">
        <f t="shared" si="159"/>
        <v>0</v>
      </c>
      <c r="BV37" s="154">
        <f t="shared" si="160"/>
        <v>0</v>
      </c>
      <c r="BW37" s="181">
        <f t="shared" si="161"/>
        <v>0</v>
      </c>
      <c r="BX37" s="180">
        <f t="shared" si="162"/>
        <v>0</v>
      </c>
      <c r="BY37" s="181">
        <f t="shared" si="163"/>
        <v>0</v>
      </c>
      <c r="BZ37" s="154">
        <f t="shared" si="164"/>
        <v>0</v>
      </c>
      <c r="CA37" s="182">
        <f t="shared" si="165"/>
        <v>0</v>
      </c>
      <c r="CB37" s="2">
        <f t="shared" si="166"/>
        <v>0</v>
      </c>
      <c r="CC37" s="2">
        <f t="shared" si="167"/>
        <v>0</v>
      </c>
      <c r="CD37" s="2">
        <f t="shared" si="168"/>
        <v>0</v>
      </c>
      <c r="CE37" s="2">
        <f t="shared" si="169"/>
        <v>0</v>
      </c>
      <c r="CF37" s="6">
        <f t="shared" si="170"/>
        <v>0</v>
      </c>
      <c r="CG37" s="6">
        <f t="shared" si="171"/>
        <v>0</v>
      </c>
      <c r="CH37" s="6">
        <f t="shared" si="172"/>
        <v>0</v>
      </c>
      <c r="CI37" s="20">
        <f t="shared" si="173"/>
        <v>0</v>
      </c>
      <c r="CJ37" s="133">
        <f t="shared" si="174"/>
        <v>2521</v>
      </c>
      <c r="CK37" s="5">
        <f t="shared" si="175"/>
        <v>0</v>
      </c>
      <c r="CL37" s="302" t="s">
        <v>1235</v>
      </c>
      <c r="CM37" s="298" t="s">
        <v>13</v>
      </c>
      <c r="CN37" s="298" t="s">
        <v>1245</v>
      </c>
      <c r="CO37" s="298">
        <v>18</v>
      </c>
      <c r="CP37" s="298" t="s">
        <v>1246</v>
      </c>
      <c r="CQ37" s="298" t="s">
        <v>688</v>
      </c>
      <c r="CR37" s="298" t="s">
        <v>644</v>
      </c>
      <c r="CS37" s="298" t="s">
        <v>1247</v>
      </c>
      <c r="CT37" s="298" t="s">
        <v>593</v>
      </c>
      <c r="CU37" s="299">
        <v>47483</v>
      </c>
      <c r="CV37" s="298">
        <v>0</v>
      </c>
      <c r="CW37" s="298">
        <v>0</v>
      </c>
      <c r="CX37" s="298">
        <v>0</v>
      </c>
      <c r="CY37" s="298">
        <v>0</v>
      </c>
      <c r="CZ37" s="298">
        <v>0</v>
      </c>
      <c r="DA37" s="298">
        <v>0</v>
      </c>
      <c r="DB37" s="298">
        <v>0</v>
      </c>
      <c r="DC37" s="298">
        <v>0</v>
      </c>
      <c r="DD37" s="298">
        <v>0</v>
      </c>
      <c r="DE37" s="298">
        <v>0</v>
      </c>
      <c r="DF37" s="298">
        <v>0</v>
      </c>
      <c r="DG37" s="298">
        <v>0</v>
      </c>
      <c r="DH37" s="298">
        <v>0</v>
      </c>
      <c r="DI37" s="298">
        <v>0</v>
      </c>
      <c r="DJ37" s="298">
        <v>0</v>
      </c>
      <c r="DK37" s="298">
        <v>0</v>
      </c>
      <c r="DL37" s="298">
        <v>0</v>
      </c>
      <c r="DM37" s="298">
        <v>0</v>
      </c>
      <c r="DN37" s="298">
        <v>0</v>
      </c>
      <c r="DO37" s="298">
        <v>0</v>
      </c>
      <c r="DP37" s="298">
        <v>0</v>
      </c>
      <c r="DQ37" s="298">
        <v>0</v>
      </c>
      <c r="DR37" s="298">
        <v>0</v>
      </c>
      <c r="DS37" s="298">
        <v>0</v>
      </c>
      <c r="DT37" s="298">
        <v>0</v>
      </c>
      <c r="DU37" s="298">
        <v>0</v>
      </c>
      <c r="DV37" s="303" t="s">
        <v>548</v>
      </c>
    </row>
    <row r="38" spans="1:126" ht="24.95" customHeight="1" thickBot="1" x14ac:dyDescent="0.3">
      <c r="A38" s="29" t="str">
        <f t="shared" si="0"/>
        <v>37º</v>
      </c>
      <c r="B38" s="69" t="str">
        <f t="shared" si="89"/>
        <v>Rodrigo Falcão</v>
      </c>
      <c r="C38" s="269" t="str">
        <f t="shared" si="90"/>
        <v>BRA</v>
      </c>
      <c r="D38" s="99" t="str">
        <f t="shared" si="91"/>
        <v>Somente Pé Direito</v>
      </c>
      <c r="E38" s="28" t="str">
        <f t="shared" si="92"/>
        <v>SAN</v>
      </c>
      <c r="F38" s="169">
        <f t="shared" si="93"/>
        <v>23</v>
      </c>
      <c r="G38" s="2" t="str">
        <f t="shared" si="94"/>
        <v>0 €</v>
      </c>
      <c r="H38" s="154">
        <f t="shared" si="95"/>
        <v>1.91</v>
      </c>
      <c r="I38" s="64">
        <f t="shared" si="96"/>
        <v>47118</v>
      </c>
      <c r="J38" s="304" t="str">
        <f t="shared" si="97"/>
        <v>3,8m € p/m</v>
      </c>
      <c r="K38" s="96">
        <f t="shared" si="10"/>
        <v>3.5222222222222221</v>
      </c>
      <c r="L38" s="146">
        <f t="shared" si="98"/>
        <v>0</v>
      </c>
      <c r="M38" s="6">
        <f t="shared" si="99"/>
        <v>0</v>
      </c>
      <c r="N38" s="5">
        <f t="shared" si="100"/>
        <v>5400</v>
      </c>
      <c r="O38" s="21">
        <f t="shared" si="101"/>
        <v>0</v>
      </c>
      <c r="P38" s="2">
        <f t="shared" si="102"/>
        <v>0</v>
      </c>
      <c r="Q38" s="2">
        <f t="shared" si="103"/>
        <v>0</v>
      </c>
      <c r="R38" s="5">
        <f t="shared" si="104"/>
        <v>0</v>
      </c>
      <c r="S38" s="2">
        <f t="shared" si="105"/>
        <v>0</v>
      </c>
      <c r="T38" s="2">
        <f t="shared" si="106"/>
        <v>0</v>
      </c>
      <c r="U38" s="102">
        <f t="shared" si="107"/>
        <v>0</v>
      </c>
      <c r="V38" s="102">
        <f t="shared" si="108"/>
        <v>0</v>
      </c>
      <c r="W38" s="6">
        <f t="shared" si="109"/>
        <v>0</v>
      </c>
      <c r="X38" s="5">
        <f t="shared" si="110"/>
        <v>0</v>
      </c>
      <c r="Y38" s="6">
        <f t="shared" si="111"/>
        <v>0</v>
      </c>
      <c r="Z38" s="5" t="e">
        <f t="shared" si="112"/>
        <v>#DIV/0!</v>
      </c>
      <c r="AA38" s="21">
        <f t="shared" si="113"/>
        <v>0</v>
      </c>
      <c r="AB38" s="6">
        <f t="shared" si="114"/>
        <v>0</v>
      </c>
      <c r="AC38" s="5" t="e">
        <f t="shared" si="115"/>
        <v>#DIV/0!</v>
      </c>
      <c r="AD38" s="6">
        <f t="shared" si="116"/>
        <v>0</v>
      </c>
      <c r="AE38" s="5">
        <f t="shared" si="117"/>
        <v>0</v>
      </c>
      <c r="AF38" s="21">
        <f t="shared" si="118"/>
        <v>0</v>
      </c>
      <c r="AG38" s="6">
        <f t="shared" si="119"/>
        <v>0</v>
      </c>
      <c r="AH38" s="5">
        <f t="shared" si="120"/>
        <v>0</v>
      </c>
      <c r="AI38" s="21">
        <f t="shared" si="121"/>
        <v>0</v>
      </c>
      <c r="AJ38" s="6">
        <f t="shared" si="122"/>
        <v>0</v>
      </c>
      <c r="AK38" s="5">
        <f t="shared" si="123"/>
        <v>0</v>
      </c>
      <c r="AL38" s="21">
        <f t="shared" si="124"/>
        <v>0</v>
      </c>
      <c r="AM38" s="21">
        <f t="shared" si="125"/>
        <v>0</v>
      </c>
      <c r="AN38" s="6">
        <f t="shared" si="126"/>
        <v>0</v>
      </c>
      <c r="AO38" s="5">
        <f t="shared" si="127"/>
        <v>0</v>
      </c>
      <c r="AP38" s="6">
        <f t="shared" si="128"/>
        <v>0</v>
      </c>
      <c r="AQ38" s="5">
        <f t="shared" si="129"/>
        <v>0</v>
      </c>
      <c r="AR38" s="2">
        <f t="shared" si="130"/>
        <v>0</v>
      </c>
      <c r="AS38" s="5">
        <f t="shared" si="131"/>
        <v>0</v>
      </c>
      <c r="AT38" s="21">
        <f t="shared" si="132"/>
        <v>0</v>
      </c>
      <c r="AU38" s="20">
        <f t="shared" si="133"/>
        <v>0</v>
      </c>
      <c r="AV38" s="20">
        <f t="shared" si="134"/>
        <v>1</v>
      </c>
      <c r="AW38" s="199">
        <f t="shared" si="135"/>
        <v>0</v>
      </c>
      <c r="AX38" s="24">
        <f t="shared" si="136"/>
        <v>0</v>
      </c>
      <c r="AY38" s="5">
        <f t="shared" si="137"/>
        <v>0</v>
      </c>
      <c r="AZ38" s="5">
        <f t="shared" si="138"/>
        <v>0</v>
      </c>
      <c r="BA38" s="5">
        <f t="shared" si="139"/>
        <v>0</v>
      </c>
      <c r="BB38" s="5">
        <f t="shared" si="140"/>
        <v>0</v>
      </c>
      <c r="BC38" s="5">
        <f t="shared" si="141"/>
        <v>0</v>
      </c>
      <c r="BD38" s="5">
        <f t="shared" si="142"/>
        <v>0</v>
      </c>
      <c r="BE38" s="199">
        <f t="shared" si="143"/>
        <v>0</v>
      </c>
      <c r="BF38" s="21">
        <f t="shared" si="144"/>
        <v>0</v>
      </c>
      <c r="BG38" s="6">
        <f t="shared" si="145"/>
        <v>0</v>
      </c>
      <c r="BH38" s="5" t="e">
        <f t="shared" si="146"/>
        <v>#DIV/0!</v>
      </c>
      <c r="BI38" s="6">
        <f t="shared" si="147"/>
        <v>0</v>
      </c>
      <c r="BJ38" s="5" t="e">
        <f t="shared" si="148"/>
        <v>#DIV/0!</v>
      </c>
      <c r="BK38" s="20">
        <f t="shared" si="149"/>
        <v>-9.9999999999999998E-13</v>
      </c>
      <c r="BL38" s="20">
        <f t="shared" si="150"/>
        <v>0</v>
      </c>
      <c r="BM38" s="6">
        <f t="shared" si="151"/>
        <v>0</v>
      </c>
      <c r="BN38" s="5">
        <f t="shared" si="152"/>
        <v>0</v>
      </c>
      <c r="BO38" s="333">
        <f t="shared" si="153"/>
        <v>0</v>
      </c>
      <c r="BP38" s="334">
        <f t="shared" si="154"/>
        <v>0</v>
      </c>
      <c r="BQ38" s="6">
        <f t="shared" si="155"/>
        <v>0</v>
      </c>
      <c r="BR38" s="5">
        <f t="shared" si="156"/>
        <v>0</v>
      </c>
      <c r="BS38" s="6">
        <f t="shared" si="157"/>
        <v>0</v>
      </c>
      <c r="BT38" s="5">
        <f t="shared" si="158"/>
        <v>0</v>
      </c>
      <c r="BU38" s="181">
        <f t="shared" si="159"/>
        <v>0</v>
      </c>
      <c r="BV38" s="154">
        <f t="shared" si="160"/>
        <v>0</v>
      </c>
      <c r="BW38" s="181">
        <f t="shared" si="161"/>
        <v>0</v>
      </c>
      <c r="BX38" s="180">
        <f t="shared" si="162"/>
        <v>0</v>
      </c>
      <c r="BY38" s="181">
        <f t="shared" si="163"/>
        <v>0</v>
      </c>
      <c r="BZ38" s="154">
        <f t="shared" si="164"/>
        <v>0</v>
      </c>
      <c r="CA38" s="182">
        <f t="shared" si="165"/>
        <v>0</v>
      </c>
      <c r="CB38" s="2">
        <f t="shared" si="166"/>
        <v>0</v>
      </c>
      <c r="CC38" s="2">
        <f t="shared" si="167"/>
        <v>0</v>
      </c>
      <c r="CD38" s="2">
        <f t="shared" si="168"/>
        <v>0</v>
      </c>
      <c r="CE38" s="2">
        <f t="shared" si="169"/>
        <v>0</v>
      </c>
      <c r="CF38" s="6">
        <f t="shared" si="170"/>
        <v>0</v>
      </c>
      <c r="CG38" s="6">
        <f t="shared" si="171"/>
        <v>0</v>
      </c>
      <c r="CH38" s="6">
        <f t="shared" si="172"/>
        <v>0</v>
      </c>
      <c r="CI38" s="20">
        <f t="shared" si="173"/>
        <v>0</v>
      </c>
      <c r="CJ38" s="133">
        <f t="shared" si="174"/>
        <v>2521</v>
      </c>
      <c r="CK38" s="5">
        <f t="shared" si="175"/>
        <v>0</v>
      </c>
      <c r="CL38" s="300" t="s">
        <v>19</v>
      </c>
      <c r="CM38" s="296" t="s">
        <v>13</v>
      </c>
      <c r="CN38" s="296" t="s">
        <v>1245</v>
      </c>
      <c r="CO38" s="296">
        <v>23</v>
      </c>
      <c r="CP38" s="296" t="s">
        <v>1248</v>
      </c>
      <c r="CQ38" s="296" t="s">
        <v>1131</v>
      </c>
      <c r="CR38" s="296" t="s">
        <v>645</v>
      </c>
      <c r="CS38" s="296" t="s">
        <v>1249</v>
      </c>
      <c r="CT38" s="296" t="s">
        <v>595</v>
      </c>
      <c r="CU38" s="297">
        <v>47118</v>
      </c>
      <c r="CV38" s="296">
        <v>0</v>
      </c>
      <c r="CW38" s="296">
        <v>0</v>
      </c>
      <c r="CX38" s="296">
        <v>0</v>
      </c>
      <c r="CY38" s="296">
        <v>0</v>
      </c>
      <c r="CZ38" s="296">
        <v>0</v>
      </c>
      <c r="DA38" s="296">
        <v>0</v>
      </c>
      <c r="DB38" s="296">
        <v>0</v>
      </c>
      <c r="DC38" s="296">
        <v>0</v>
      </c>
      <c r="DD38" s="296">
        <v>0</v>
      </c>
      <c r="DE38" s="296">
        <v>0</v>
      </c>
      <c r="DF38" s="296">
        <v>0</v>
      </c>
      <c r="DG38" s="296">
        <v>0</v>
      </c>
      <c r="DH38" s="296">
        <v>0</v>
      </c>
      <c r="DI38" s="296">
        <v>0</v>
      </c>
      <c r="DJ38" s="296">
        <v>0</v>
      </c>
      <c r="DK38" s="296">
        <v>0</v>
      </c>
      <c r="DL38" s="296">
        <v>0</v>
      </c>
      <c r="DM38" s="296">
        <v>0</v>
      </c>
      <c r="DN38" s="296">
        <v>0</v>
      </c>
      <c r="DO38" s="296">
        <v>0</v>
      </c>
      <c r="DP38" s="296">
        <v>0</v>
      </c>
      <c r="DQ38" s="296">
        <v>0</v>
      </c>
      <c r="DR38" s="296">
        <v>0</v>
      </c>
      <c r="DS38" s="296">
        <v>0</v>
      </c>
      <c r="DT38" s="296">
        <v>0</v>
      </c>
      <c r="DU38" s="296">
        <v>0</v>
      </c>
      <c r="DV38" s="301" t="s">
        <v>548</v>
      </c>
    </row>
    <row r="39" spans="1:126" ht="24.95" customHeight="1" thickBot="1" x14ac:dyDescent="0.3">
      <c r="A39" s="29" t="str">
        <f t="shared" si="0"/>
        <v>38º</v>
      </c>
      <c r="B39" s="69" t="str">
        <f t="shared" si="89"/>
        <v>Felipe Longo</v>
      </c>
      <c r="C39" s="269" t="str">
        <f t="shared" si="90"/>
        <v>BRA</v>
      </c>
      <c r="D39" s="99" t="str">
        <f t="shared" si="91"/>
        <v>Pé Direito</v>
      </c>
      <c r="E39" s="28" t="str">
        <f t="shared" si="92"/>
        <v>COR</v>
      </c>
      <c r="F39" s="169">
        <f t="shared" si="93"/>
        <v>23</v>
      </c>
      <c r="G39" s="2" t="str">
        <f t="shared" si="94"/>
        <v>12m € - 35m €</v>
      </c>
      <c r="H39" s="154">
        <f t="shared" si="95"/>
        <v>1.88</v>
      </c>
      <c r="I39" s="64">
        <f t="shared" si="96"/>
        <v>48213</v>
      </c>
      <c r="J39" s="304" t="str">
        <f t="shared" si="97"/>
        <v>11m € p/m</v>
      </c>
      <c r="K39" s="96">
        <f t="shared" si="10"/>
        <v>3.5222222222222221</v>
      </c>
      <c r="L39" s="146">
        <f t="shared" si="98"/>
        <v>0</v>
      </c>
      <c r="M39" s="6">
        <f t="shared" si="99"/>
        <v>0</v>
      </c>
      <c r="N39" s="5">
        <f t="shared" si="100"/>
        <v>5400</v>
      </c>
      <c r="O39" s="21">
        <f t="shared" si="101"/>
        <v>0</v>
      </c>
      <c r="P39" s="2">
        <f t="shared" si="102"/>
        <v>0</v>
      </c>
      <c r="Q39" s="2">
        <f t="shared" si="103"/>
        <v>0</v>
      </c>
      <c r="R39" s="5">
        <f t="shared" si="104"/>
        <v>0</v>
      </c>
      <c r="S39" s="2">
        <f t="shared" si="105"/>
        <v>0</v>
      </c>
      <c r="T39" s="2">
        <f t="shared" si="106"/>
        <v>0</v>
      </c>
      <c r="U39" s="102">
        <f t="shared" si="107"/>
        <v>0</v>
      </c>
      <c r="V39" s="102">
        <f t="shared" si="108"/>
        <v>0</v>
      </c>
      <c r="W39" s="6">
        <f t="shared" si="109"/>
        <v>0</v>
      </c>
      <c r="X39" s="5">
        <f t="shared" si="110"/>
        <v>0</v>
      </c>
      <c r="Y39" s="6">
        <f t="shared" si="111"/>
        <v>0</v>
      </c>
      <c r="Z39" s="5" t="e">
        <f t="shared" si="112"/>
        <v>#DIV/0!</v>
      </c>
      <c r="AA39" s="21">
        <f t="shared" si="113"/>
        <v>0</v>
      </c>
      <c r="AB39" s="6">
        <f t="shared" si="114"/>
        <v>0</v>
      </c>
      <c r="AC39" s="5" t="e">
        <f t="shared" si="115"/>
        <v>#DIV/0!</v>
      </c>
      <c r="AD39" s="6">
        <f t="shared" si="116"/>
        <v>0</v>
      </c>
      <c r="AE39" s="5">
        <f t="shared" si="117"/>
        <v>0</v>
      </c>
      <c r="AF39" s="21">
        <f t="shared" si="118"/>
        <v>0</v>
      </c>
      <c r="AG39" s="6">
        <f t="shared" si="119"/>
        <v>0</v>
      </c>
      <c r="AH39" s="5">
        <f t="shared" si="120"/>
        <v>0</v>
      </c>
      <c r="AI39" s="21">
        <f t="shared" si="121"/>
        <v>0</v>
      </c>
      <c r="AJ39" s="6">
        <f t="shared" si="122"/>
        <v>0</v>
      </c>
      <c r="AK39" s="5">
        <f t="shared" si="123"/>
        <v>0</v>
      </c>
      <c r="AL39" s="21">
        <f t="shared" si="124"/>
        <v>0</v>
      </c>
      <c r="AM39" s="21">
        <f t="shared" si="125"/>
        <v>0</v>
      </c>
      <c r="AN39" s="6">
        <f t="shared" si="126"/>
        <v>0</v>
      </c>
      <c r="AO39" s="5">
        <f t="shared" si="127"/>
        <v>0</v>
      </c>
      <c r="AP39" s="6">
        <f t="shared" si="128"/>
        <v>0</v>
      </c>
      <c r="AQ39" s="5">
        <f t="shared" si="129"/>
        <v>0</v>
      </c>
      <c r="AR39" s="2">
        <f t="shared" si="130"/>
        <v>0</v>
      </c>
      <c r="AS39" s="5">
        <f t="shared" si="131"/>
        <v>0</v>
      </c>
      <c r="AT39" s="21">
        <f t="shared" si="132"/>
        <v>0</v>
      </c>
      <c r="AU39" s="20">
        <f t="shared" si="133"/>
        <v>0</v>
      </c>
      <c r="AV39" s="20">
        <f t="shared" si="134"/>
        <v>1</v>
      </c>
      <c r="AW39" s="199">
        <f t="shared" si="135"/>
        <v>0</v>
      </c>
      <c r="AX39" s="24">
        <f t="shared" si="136"/>
        <v>0</v>
      </c>
      <c r="AY39" s="5">
        <f t="shared" si="137"/>
        <v>0</v>
      </c>
      <c r="AZ39" s="5">
        <f t="shared" si="138"/>
        <v>0</v>
      </c>
      <c r="BA39" s="5">
        <f t="shared" si="139"/>
        <v>0</v>
      </c>
      <c r="BB39" s="5">
        <f t="shared" si="140"/>
        <v>0</v>
      </c>
      <c r="BC39" s="5">
        <f t="shared" si="141"/>
        <v>0</v>
      </c>
      <c r="BD39" s="5">
        <f t="shared" si="142"/>
        <v>0</v>
      </c>
      <c r="BE39" s="199">
        <f t="shared" si="143"/>
        <v>0</v>
      </c>
      <c r="BF39" s="21">
        <f t="shared" si="144"/>
        <v>0</v>
      </c>
      <c r="BG39" s="6">
        <f t="shared" si="145"/>
        <v>0</v>
      </c>
      <c r="BH39" s="5" t="e">
        <f t="shared" si="146"/>
        <v>#DIV/0!</v>
      </c>
      <c r="BI39" s="6">
        <f t="shared" si="147"/>
        <v>0</v>
      </c>
      <c r="BJ39" s="5" t="e">
        <f t="shared" si="148"/>
        <v>#DIV/0!</v>
      </c>
      <c r="BK39" s="20">
        <f t="shared" si="149"/>
        <v>-9.9999999999999998E-13</v>
      </c>
      <c r="BL39" s="20">
        <f t="shared" si="150"/>
        <v>0</v>
      </c>
      <c r="BM39" s="6">
        <f t="shared" si="151"/>
        <v>0</v>
      </c>
      <c r="BN39" s="5">
        <f t="shared" si="152"/>
        <v>0</v>
      </c>
      <c r="BO39" s="333">
        <f t="shared" si="153"/>
        <v>0</v>
      </c>
      <c r="BP39" s="334">
        <f t="shared" si="154"/>
        <v>0</v>
      </c>
      <c r="BQ39" s="6">
        <f t="shared" si="155"/>
        <v>0</v>
      </c>
      <c r="BR39" s="5">
        <f t="shared" si="156"/>
        <v>0</v>
      </c>
      <c r="BS39" s="6">
        <f t="shared" si="157"/>
        <v>0</v>
      </c>
      <c r="BT39" s="5">
        <f t="shared" si="158"/>
        <v>0</v>
      </c>
      <c r="BU39" s="181">
        <f t="shared" si="159"/>
        <v>0</v>
      </c>
      <c r="BV39" s="154">
        <f t="shared" si="160"/>
        <v>0</v>
      </c>
      <c r="BW39" s="181">
        <f t="shared" si="161"/>
        <v>0</v>
      </c>
      <c r="BX39" s="180">
        <f t="shared" si="162"/>
        <v>0</v>
      </c>
      <c r="BY39" s="181">
        <f t="shared" si="163"/>
        <v>0</v>
      </c>
      <c r="BZ39" s="154">
        <f t="shared" si="164"/>
        <v>0</v>
      </c>
      <c r="CA39" s="182">
        <f t="shared" si="165"/>
        <v>0</v>
      </c>
      <c r="CB39" s="2">
        <f t="shared" si="166"/>
        <v>0</v>
      </c>
      <c r="CC39" s="2">
        <f t="shared" si="167"/>
        <v>0</v>
      </c>
      <c r="CD39" s="2">
        <f t="shared" si="168"/>
        <v>0</v>
      </c>
      <c r="CE39" s="2">
        <f t="shared" si="169"/>
        <v>0</v>
      </c>
      <c r="CF39" s="6">
        <f t="shared" si="170"/>
        <v>0</v>
      </c>
      <c r="CG39" s="6">
        <f t="shared" si="171"/>
        <v>0</v>
      </c>
      <c r="CH39" s="6">
        <f t="shared" si="172"/>
        <v>0</v>
      </c>
      <c r="CI39" s="20">
        <f t="shared" si="173"/>
        <v>0</v>
      </c>
      <c r="CJ39" s="133">
        <f t="shared" si="174"/>
        <v>2521</v>
      </c>
      <c r="CK39" s="5">
        <f t="shared" si="175"/>
        <v>0</v>
      </c>
      <c r="CL39" s="302" t="s">
        <v>19</v>
      </c>
      <c r="CM39" s="298" t="s">
        <v>13</v>
      </c>
      <c r="CN39" s="298" t="s">
        <v>1250</v>
      </c>
      <c r="CO39" s="298">
        <v>23</v>
      </c>
      <c r="CP39" s="298" t="s">
        <v>1251</v>
      </c>
      <c r="CQ39" s="298" t="s">
        <v>1252</v>
      </c>
      <c r="CR39" s="298" t="s">
        <v>644</v>
      </c>
      <c r="CS39" s="298" t="s">
        <v>1253</v>
      </c>
      <c r="CT39" s="298" t="s">
        <v>552</v>
      </c>
      <c r="CU39" s="299">
        <v>48213</v>
      </c>
      <c r="CV39" s="298">
        <v>0</v>
      </c>
      <c r="CW39" s="298">
        <v>0</v>
      </c>
      <c r="CX39" s="298">
        <v>0</v>
      </c>
      <c r="CY39" s="298">
        <v>0</v>
      </c>
      <c r="CZ39" s="298">
        <v>0</v>
      </c>
      <c r="DA39" s="298">
        <v>0</v>
      </c>
      <c r="DB39" s="298">
        <v>0</v>
      </c>
      <c r="DC39" s="298">
        <v>0</v>
      </c>
      <c r="DD39" s="298">
        <v>0</v>
      </c>
      <c r="DE39" s="298">
        <v>0</v>
      </c>
      <c r="DF39" s="298">
        <v>0</v>
      </c>
      <c r="DG39" s="298">
        <v>0</v>
      </c>
      <c r="DH39" s="298">
        <v>0</v>
      </c>
      <c r="DI39" s="298">
        <v>0</v>
      </c>
      <c r="DJ39" s="298">
        <v>0</v>
      </c>
      <c r="DK39" s="298">
        <v>0</v>
      </c>
      <c r="DL39" s="298">
        <v>0</v>
      </c>
      <c r="DM39" s="298">
        <v>0</v>
      </c>
      <c r="DN39" s="298">
        <v>0</v>
      </c>
      <c r="DO39" s="298">
        <v>0</v>
      </c>
      <c r="DP39" s="298">
        <v>0</v>
      </c>
      <c r="DQ39" s="298">
        <v>0</v>
      </c>
      <c r="DR39" s="298">
        <v>0</v>
      </c>
      <c r="DS39" s="298">
        <v>0</v>
      </c>
      <c r="DT39" s="298">
        <v>0</v>
      </c>
      <c r="DU39" s="298">
        <v>0</v>
      </c>
      <c r="DV39" s="303" t="s">
        <v>548</v>
      </c>
    </row>
    <row r="40" spans="1:126" ht="24.95" customHeight="1" thickBot="1" x14ac:dyDescent="0.3">
      <c r="A40" s="29" t="str">
        <f t="shared" si="0"/>
        <v>39º</v>
      </c>
      <c r="B40" s="69" t="str">
        <f t="shared" si="89"/>
        <v>Pedro Lecce</v>
      </c>
      <c r="C40" s="269" t="str">
        <f t="shared" si="90"/>
        <v>BRA</v>
      </c>
      <c r="D40" s="99" t="str">
        <f t="shared" si="91"/>
        <v>Pé Direito</v>
      </c>
      <c r="E40" s="28" t="str">
        <f t="shared" si="92"/>
        <v>AMG</v>
      </c>
      <c r="F40" s="169">
        <f t="shared" si="93"/>
        <v>23</v>
      </c>
      <c r="G40" s="2" t="str">
        <f t="shared" si="94"/>
        <v>500 € - 3m €</v>
      </c>
      <c r="H40" s="154">
        <f t="shared" si="95"/>
        <v>1.84</v>
      </c>
      <c r="I40" s="64">
        <f t="shared" si="96"/>
        <v>47118</v>
      </c>
      <c r="J40" s="304" t="str">
        <f t="shared" si="97"/>
        <v>975 € p/m</v>
      </c>
      <c r="K40" s="96">
        <f t="shared" si="10"/>
        <v>3.5222222222222221</v>
      </c>
      <c r="L40" s="146">
        <f t="shared" si="98"/>
        <v>2</v>
      </c>
      <c r="M40" s="6">
        <f t="shared" si="99"/>
        <v>0</v>
      </c>
      <c r="N40" s="5">
        <f t="shared" si="100"/>
        <v>5400</v>
      </c>
      <c r="O40" s="21">
        <f t="shared" si="101"/>
        <v>0</v>
      </c>
      <c r="P40" s="2">
        <f t="shared" si="102"/>
        <v>55</v>
      </c>
      <c r="Q40" s="2">
        <f t="shared" si="103"/>
        <v>38</v>
      </c>
      <c r="R40" s="5">
        <f t="shared" si="104"/>
        <v>19</v>
      </c>
      <c r="S40" s="2">
        <f t="shared" si="105"/>
        <v>17</v>
      </c>
      <c r="T40" s="2">
        <f t="shared" si="106"/>
        <v>21</v>
      </c>
      <c r="U40" s="102">
        <f t="shared" si="107"/>
        <v>0.30909090909090908</v>
      </c>
      <c r="V40" s="102">
        <f t="shared" si="108"/>
        <v>0.69090909090909092</v>
      </c>
      <c r="W40" s="6">
        <f t="shared" si="109"/>
        <v>55</v>
      </c>
      <c r="X40" s="5">
        <f t="shared" si="110"/>
        <v>27.5</v>
      </c>
      <c r="Y40" s="6">
        <f t="shared" si="111"/>
        <v>0</v>
      </c>
      <c r="Z40" s="5">
        <f t="shared" si="112"/>
        <v>0</v>
      </c>
      <c r="AA40" s="21">
        <f t="shared" si="113"/>
        <v>0</v>
      </c>
      <c r="AB40" s="6">
        <f t="shared" si="114"/>
        <v>0</v>
      </c>
      <c r="AC40" s="5">
        <f t="shared" si="115"/>
        <v>0</v>
      </c>
      <c r="AD40" s="6">
        <f t="shared" si="116"/>
        <v>1</v>
      </c>
      <c r="AE40" s="5">
        <f t="shared" si="117"/>
        <v>0.5</v>
      </c>
      <c r="AF40" s="21">
        <f t="shared" si="118"/>
        <v>0.2</v>
      </c>
      <c r="AG40" s="6">
        <f t="shared" si="119"/>
        <v>1</v>
      </c>
      <c r="AH40" s="5">
        <f t="shared" si="120"/>
        <v>0.5</v>
      </c>
      <c r="AI40" s="21">
        <f t="shared" si="121"/>
        <v>0.2</v>
      </c>
      <c r="AJ40" s="6">
        <f t="shared" si="122"/>
        <v>3</v>
      </c>
      <c r="AK40" s="5">
        <f t="shared" si="123"/>
        <v>0.15789473684210525</v>
      </c>
      <c r="AL40" s="21">
        <f t="shared" si="124"/>
        <v>0.6</v>
      </c>
      <c r="AM40" s="21">
        <f t="shared" si="125"/>
        <v>0.5</v>
      </c>
      <c r="AN40" s="6">
        <f t="shared" si="126"/>
        <v>1</v>
      </c>
      <c r="AO40" s="5">
        <f t="shared" si="127"/>
        <v>0.5</v>
      </c>
      <c r="AP40" s="6">
        <f t="shared" si="128"/>
        <v>5</v>
      </c>
      <c r="AQ40" s="5">
        <f t="shared" si="129"/>
        <v>2.5</v>
      </c>
      <c r="AR40" s="2">
        <f t="shared" si="130"/>
        <v>6</v>
      </c>
      <c r="AS40" s="5">
        <f t="shared" si="131"/>
        <v>3</v>
      </c>
      <c r="AT40" s="21">
        <f t="shared" si="132"/>
        <v>0.83333333333333337</v>
      </c>
      <c r="AU40" s="20">
        <f t="shared" si="133"/>
        <v>0.8</v>
      </c>
      <c r="AV40" s="20">
        <f t="shared" si="134"/>
        <v>0.16666666666666666</v>
      </c>
      <c r="AW40" s="199">
        <f t="shared" si="135"/>
        <v>1.25</v>
      </c>
      <c r="AX40" s="24">
        <f t="shared" si="136"/>
        <v>180</v>
      </c>
      <c r="AY40" s="5">
        <f t="shared" si="137"/>
        <v>6</v>
      </c>
      <c r="AZ40" s="5">
        <f t="shared" si="138"/>
        <v>5</v>
      </c>
      <c r="BA40" s="5">
        <f t="shared" si="139"/>
        <v>0.68</v>
      </c>
      <c r="BB40" s="5">
        <f t="shared" si="140"/>
        <v>0.34</v>
      </c>
      <c r="BC40" s="5">
        <f t="shared" si="141"/>
        <v>0.68</v>
      </c>
      <c r="BD40" s="5">
        <f t="shared" si="142"/>
        <v>0.34</v>
      </c>
      <c r="BE40" s="199">
        <f t="shared" si="143"/>
        <v>0.68</v>
      </c>
      <c r="BF40" s="21">
        <f t="shared" si="144"/>
        <v>0.40476190476190477</v>
      </c>
      <c r="BG40" s="6">
        <f t="shared" si="145"/>
        <v>0</v>
      </c>
      <c r="BH40" s="5">
        <f t="shared" si="146"/>
        <v>0</v>
      </c>
      <c r="BI40" s="6">
        <f t="shared" si="147"/>
        <v>0</v>
      </c>
      <c r="BJ40" s="5">
        <f t="shared" si="148"/>
        <v>0</v>
      </c>
      <c r="BK40" s="20">
        <f t="shared" si="149"/>
        <v>-9.9999999999999998E-13</v>
      </c>
      <c r="BL40" s="20">
        <f t="shared" si="150"/>
        <v>6.7430883344571813E-4</v>
      </c>
      <c r="BM40" s="6">
        <f t="shared" si="151"/>
        <v>1</v>
      </c>
      <c r="BN40" s="5">
        <f t="shared" si="152"/>
        <v>0.5</v>
      </c>
      <c r="BO40" s="333">
        <f t="shared" si="153"/>
        <v>0</v>
      </c>
      <c r="BP40" s="334">
        <f t="shared" si="154"/>
        <v>0</v>
      </c>
      <c r="BQ40" s="6">
        <f t="shared" si="155"/>
        <v>3</v>
      </c>
      <c r="BR40" s="5">
        <f t="shared" si="156"/>
        <v>1.5</v>
      </c>
      <c r="BS40" s="6">
        <f t="shared" si="157"/>
        <v>23</v>
      </c>
      <c r="BT40" s="5">
        <f t="shared" si="158"/>
        <v>11.5</v>
      </c>
      <c r="BU40" s="181">
        <f t="shared" si="159"/>
        <v>0</v>
      </c>
      <c r="BV40" s="154">
        <f t="shared" si="160"/>
        <v>0</v>
      </c>
      <c r="BW40" s="181">
        <f t="shared" si="161"/>
        <v>0</v>
      </c>
      <c r="BX40" s="180">
        <f t="shared" si="162"/>
        <v>0</v>
      </c>
      <c r="BY40" s="181">
        <f t="shared" si="163"/>
        <v>0</v>
      </c>
      <c r="BZ40" s="154">
        <f t="shared" si="164"/>
        <v>0</v>
      </c>
      <c r="CA40" s="182">
        <f t="shared" si="165"/>
        <v>0</v>
      </c>
      <c r="CB40" s="2">
        <f t="shared" si="166"/>
        <v>0</v>
      </c>
      <c r="CC40" s="2">
        <f t="shared" si="167"/>
        <v>0</v>
      </c>
      <c r="CD40" s="2">
        <f t="shared" si="168"/>
        <v>0</v>
      </c>
      <c r="CE40" s="2">
        <f t="shared" si="169"/>
        <v>2</v>
      </c>
      <c r="CF40" s="6">
        <f t="shared" si="170"/>
        <v>0</v>
      </c>
      <c r="CG40" s="6">
        <f t="shared" si="171"/>
        <v>78.295000000000002</v>
      </c>
      <c r="CH40" s="6">
        <f t="shared" si="172"/>
        <v>43</v>
      </c>
      <c r="CI40" s="20">
        <f t="shared" si="173"/>
        <v>0.54920493007216298</v>
      </c>
      <c r="CJ40" s="133">
        <f t="shared" si="174"/>
        <v>2521</v>
      </c>
      <c r="CK40" s="5">
        <f t="shared" si="175"/>
        <v>7.3</v>
      </c>
      <c r="CL40" s="300" t="s">
        <v>1235</v>
      </c>
      <c r="CM40" s="296" t="s">
        <v>13</v>
      </c>
      <c r="CN40" s="296" t="s">
        <v>1254</v>
      </c>
      <c r="CO40" s="296">
        <v>23</v>
      </c>
      <c r="CP40" s="296" t="s">
        <v>1255</v>
      </c>
      <c r="CQ40" s="296" t="s">
        <v>1256</v>
      </c>
      <c r="CR40" s="296" t="s">
        <v>644</v>
      </c>
      <c r="CS40" s="296" t="s">
        <v>1257</v>
      </c>
      <c r="CT40" s="296" t="s">
        <v>574</v>
      </c>
      <c r="CU40" s="297">
        <v>47118</v>
      </c>
      <c r="CV40" s="296">
        <v>0</v>
      </c>
      <c r="CW40" s="296">
        <v>180</v>
      </c>
      <c r="CX40" s="296">
        <v>1</v>
      </c>
      <c r="CY40" s="296">
        <v>1</v>
      </c>
      <c r="CZ40" s="296">
        <v>1</v>
      </c>
      <c r="DA40" s="296">
        <v>3</v>
      </c>
      <c r="DB40" s="296">
        <v>0</v>
      </c>
      <c r="DC40" s="296">
        <v>1.5</v>
      </c>
      <c r="DD40" s="296">
        <v>11.5</v>
      </c>
      <c r="DE40" s="296">
        <v>1</v>
      </c>
      <c r="DF40" s="296">
        <v>0</v>
      </c>
      <c r="DG40" s="296">
        <v>0</v>
      </c>
      <c r="DH40" s="296">
        <v>0</v>
      </c>
      <c r="DI40" s="296">
        <v>2</v>
      </c>
      <c r="DJ40" s="296">
        <v>0</v>
      </c>
      <c r="DK40" s="296">
        <v>0</v>
      </c>
      <c r="DL40" s="296">
        <v>55</v>
      </c>
      <c r="DM40" s="296">
        <v>38</v>
      </c>
      <c r="DN40" s="296" t="s">
        <v>1258</v>
      </c>
      <c r="DO40" s="296">
        <v>0</v>
      </c>
      <c r="DP40" s="296">
        <v>0</v>
      </c>
      <c r="DQ40" s="296">
        <v>0</v>
      </c>
      <c r="DR40" s="296">
        <v>0</v>
      </c>
      <c r="DS40" s="296">
        <v>0</v>
      </c>
      <c r="DT40" s="296">
        <v>0</v>
      </c>
      <c r="DU40" s="296">
        <v>0</v>
      </c>
      <c r="DV40" s="301">
        <v>7.3</v>
      </c>
    </row>
    <row r="41" spans="1:126" ht="24.95" customHeight="1" thickBot="1" x14ac:dyDescent="0.3">
      <c r="A41" s="29" t="str">
        <f t="shared" si="0"/>
        <v>40º</v>
      </c>
      <c r="B41" s="69" t="str">
        <f t="shared" si="89"/>
        <v>Cristiano Junior</v>
      </c>
      <c r="C41" s="269" t="str">
        <f t="shared" si="90"/>
        <v>BRA</v>
      </c>
      <c r="D41" s="99" t="str">
        <f t="shared" si="91"/>
        <v>Pé Direito</v>
      </c>
      <c r="E41" s="28" t="str">
        <f t="shared" si="92"/>
        <v>BOT</v>
      </c>
      <c r="F41" s="169">
        <f t="shared" si="93"/>
        <v>23</v>
      </c>
      <c r="G41" s="2" t="str">
        <f t="shared" si="94"/>
        <v>0 €</v>
      </c>
      <c r="H41" s="154">
        <f t="shared" si="95"/>
        <v>1.83</v>
      </c>
      <c r="I41" s="64">
        <f t="shared" si="96"/>
        <v>47118</v>
      </c>
      <c r="J41" s="304" t="str">
        <f t="shared" si="97"/>
        <v>1,6m € p/m</v>
      </c>
      <c r="K41" s="96">
        <f t="shared" si="10"/>
        <v>3.5222222222222221</v>
      </c>
      <c r="L41" s="146">
        <f t="shared" si="98"/>
        <v>0</v>
      </c>
      <c r="M41" s="6">
        <f t="shared" si="99"/>
        <v>0</v>
      </c>
      <c r="N41" s="5">
        <f t="shared" si="100"/>
        <v>5400</v>
      </c>
      <c r="O41" s="21">
        <f t="shared" si="101"/>
        <v>0</v>
      </c>
      <c r="P41" s="2">
        <f t="shared" si="102"/>
        <v>0</v>
      </c>
      <c r="Q41" s="2">
        <f t="shared" si="103"/>
        <v>0</v>
      </c>
      <c r="R41" s="5">
        <f t="shared" si="104"/>
        <v>0</v>
      </c>
      <c r="S41" s="2">
        <f t="shared" si="105"/>
        <v>0</v>
      </c>
      <c r="T41" s="2">
        <f t="shared" si="106"/>
        <v>0</v>
      </c>
      <c r="U41" s="102">
        <f t="shared" si="107"/>
        <v>0</v>
      </c>
      <c r="V41" s="102">
        <f t="shared" si="108"/>
        <v>0</v>
      </c>
      <c r="W41" s="6">
        <f t="shared" si="109"/>
        <v>0</v>
      </c>
      <c r="X41" s="5">
        <f t="shared" si="110"/>
        <v>0</v>
      </c>
      <c r="Y41" s="6">
        <f t="shared" si="111"/>
        <v>0</v>
      </c>
      <c r="Z41" s="5" t="e">
        <f t="shared" si="112"/>
        <v>#DIV/0!</v>
      </c>
      <c r="AA41" s="21">
        <f t="shared" si="113"/>
        <v>0</v>
      </c>
      <c r="AB41" s="6">
        <f t="shared" si="114"/>
        <v>0</v>
      </c>
      <c r="AC41" s="5" t="e">
        <f t="shared" si="115"/>
        <v>#DIV/0!</v>
      </c>
      <c r="AD41" s="6">
        <f t="shared" si="116"/>
        <v>0</v>
      </c>
      <c r="AE41" s="5">
        <f t="shared" si="117"/>
        <v>0</v>
      </c>
      <c r="AF41" s="21">
        <f t="shared" si="118"/>
        <v>0</v>
      </c>
      <c r="AG41" s="6">
        <f t="shared" si="119"/>
        <v>0</v>
      </c>
      <c r="AH41" s="5">
        <f t="shared" si="120"/>
        <v>0</v>
      </c>
      <c r="AI41" s="21">
        <f t="shared" si="121"/>
        <v>0</v>
      </c>
      <c r="AJ41" s="6">
        <f t="shared" si="122"/>
        <v>0</v>
      </c>
      <c r="AK41" s="5">
        <f t="shared" si="123"/>
        <v>0</v>
      </c>
      <c r="AL41" s="21">
        <f t="shared" si="124"/>
        <v>0</v>
      </c>
      <c r="AM41" s="21">
        <f t="shared" si="125"/>
        <v>0</v>
      </c>
      <c r="AN41" s="6">
        <f t="shared" si="126"/>
        <v>0</v>
      </c>
      <c r="AO41" s="5">
        <f t="shared" si="127"/>
        <v>0</v>
      </c>
      <c r="AP41" s="6">
        <f t="shared" si="128"/>
        <v>0</v>
      </c>
      <c r="AQ41" s="5">
        <f t="shared" si="129"/>
        <v>0</v>
      </c>
      <c r="AR41" s="2">
        <f t="shared" si="130"/>
        <v>0</v>
      </c>
      <c r="AS41" s="5">
        <f t="shared" si="131"/>
        <v>0</v>
      </c>
      <c r="AT41" s="21">
        <f t="shared" si="132"/>
        <v>0</v>
      </c>
      <c r="AU41" s="20">
        <f t="shared" si="133"/>
        <v>0</v>
      </c>
      <c r="AV41" s="20">
        <f t="shared" si="134"/>
        <v>1</v>
      </c>
      <c r="AW41" s="199">
        <f t="shared" si="135"/>
        <v>0</v>
      </c>
      <c r="AX41" s="24">
        <f t="shared" si="136"/>
        <v>0</v>
      </c>
      <c r="AY41" s="5">
        <f t="shared" si="137"/>
        <v>0</v>
      </c>
      <c r="AZ41" s="5">
        <f t="shared" si="138"/>
        <v>0</v>
      </c>
      <c r="BA41" s="5">
        <f t="shared" si="139"/>
        <v>0</v>
      </c>
      <c r="BB41" s="5">
        <f t="shared" si="140"/>
        <v>0</v>
      </c>
      <c r="BC41" s="5">
        <f t="shared" si="141"/>
        <v>0</v>
      </c>
      <c r="BD41" s="5">
        <f t="shared" si="142"/>
        <v>0</v>
      </c>
      <c r="BE41" s="199">
        <f t="shared" si="143"/>
        <v>0</v>
      </c>
      <c r="BF41" s="21">
        <f t="shared" si="144"/>
        <v>0</v>
      </c>
      <c r="BG41" s="6">
        <f t="shared" si="145"/>
        <v>0</v>
      </c>
      <c r="BH41" s="5" t="e">
        <f t="shared" si="146"/>
        <v>#DIV/0!</v>
      </c>
      <c r="BI41" s="6">
        <f t="shared" si="147"/>
        <v>0</v>
      </c>
      <c r="BJ41" s="5" t="e">
        <f t="shared" si="148"/>
        <v>#DIV/0!</v>
      </c>
      <c r="BK41" s="20">
        <f t="shared" si="149"/>
        <v>-9.9999999999999998E-13</v>
      </c>
      <c r="BL41" s="20">
        <f t="shared" si="150"/>
        <v>0</v>
      </c>
      <c r="BM41" s="6">
        <f t="shared" si="151"/>
        <v>0</v>
      </c>
      <c r="BN41" s="5">
        <f t="shared" si="152"/>
        <v>0</v>
      </c>
      <c r="BO41" s="333">
        <f t="shared" si="153"/>
        <v>0</v>
      </c>
      <c r="BP41" s="334">
        <f t="shared" si="154"/>
        <v>0</v>
      </c>
      <c r="BQ41" s="6">
        <f t="shared" si="155"/>
        <v>0</v>
      </c>
      <c r="BR41" s="5">
        <f t="shared" si="156"/>
        <v>0</v>
      </c>
      <c r="BS41" s="6">
        <f t="shared" si="157"/>
        <v>0</v>
      </c>
      <c r="BT41" s="5">
        <f t="shared" si="158"/>
        <v>0</v>
      </c>
      <c r="BU41" s="181">
        <f t="shared" si="159"/>
        <v>0</v>
      </c>
      <c r="BV41" s="154">
        <f t="shared" si="160"/>
        <v>0</v>
      </c>
      <c r="BW41" s="181">
        <f t="shared" si="161"/>
        <v>0</v>
      </c>
      <c r="BX41" s="180">
        <f t="shared" si="162"/>
        <v>0</v>
      </c>
      <c r="BY41" s="181">
        <f t="shared" si="163"/>
        <v>0</v>
      </c>
      <c r="BZ41" s="154">
        <f t="shared" si="164"/>
        <v>0</v>
      </c>
      <c r="CA41" s="182">
        <f t="shared" si="165"/>
        <v>0</v>
      </c>
      <c r="CB41" s="2">
        <f t="shared" si="166"/>
        <v>0</v>
      </c>
      <c r="CC41" s="2">
        <f t="shared" si="167"/>
        <v>0</v>
      </c>
      <c r="CD41" s="2">
        <f t="shared" si="168"/>
        <v>0</v>
      </c>
      <c r="CE41" s="2">
        <f t="shared" si="169"/>
        <v>0</v>
      </c>
      <c r="CF41" s="6">
        <f t="shared" si="170"/>
        <v>0</v>
      </c>
      <c r="CG41" s="6">
        <f t="shared" si="171"/>
        <v>0</v>
      </c>
      <c r="CH41" s="6">
        <f t="shared" si="172"/>
        <v>0</v>
      </c>
      <c r="CI41" s="20">
        <f t="shared" si="173"/>
        <v>0</v>
      </c>
      <c r="CJ41" s="133">
        <f t="shared" si="174"/>
        <v>2521</v>
      </c>
      <c r="CK41" s="5">
        <f t="shared" si="175"/>
        <v>0</v>
      </c>
      <c r="CL41" s="302" t="s">
        <v>19</v>
      </c>
      <c r="CM41" s="298" t="s">
        <v>13</v>
      </c>
      <c r="CN41" s="298" t="s">
        <v>1259</v>
      </c>
      <c r="CO41" s="298">
        <v>23</v>
      </c>
      <c r="CP41" s="298" t="s">
        <v>1260</v>
      </c>
      <c r="CQ41" s="298" t="s">
        <v>1131</v>
      </c>
      <c r="CR41" s="298" t="s">
        <v>644</v>
      </c>
      <c r="CS41" s="298" t="s">
        <v>884</v>
      </c>
      <c r="CT41" s="298" t="s">
        <v>586</v>
      </c>
      <c r="CU41" s="299">
        <v>47118</v>
      </c>
      <c r="CV41" s="298">
        <v>0</v>
      </c>
      <c r="CW41" s="298">
        <v>0</v>
      </c>
      <c r="CX41" s="298">
        <v>0</v>
      </c>
      <c r="CY41" s="298">
        <v>0</v>
      </c>
      <c r="CZ41" s="298">
        <v>0</v>
      </c>
      <c r="DA41" s="298">
        <v>0</v>
      </c>
      <c r="DB41" s="298">
        <v>0</v>
      </c>
      <c r="DC41" s="298">
        <v>0</v>
      </c>
      <c r="DD41" s="298">
        <v>0</v>
      </c>
      <c r="DE41" s="298">
        <v>0</v>
      </c>
      <c r="DF41" s="298">
        <v>0</v>
      </c>
      <c r="DG41" s="298">
        <v>0</v>
      </c>
      <c r="DH41" s="298">
        <v>0</v>
      </c>
      <c r="DI41" s="298">
        <v>0</v>
      </c>
      <c r="DJ41" s="298">
        <v>0</v>
      </c>
      <c r="DK41" s="298">
        <v>0</v>
      </c>
      <c r="DL41" s="298">
        <v>0</v>
      </c>
      <c r="DM41" s="298">
        <v>0</v>
      </c>
      <c r="DN41" s="298">
        <v>0</v>
      </c>
      <c r="DO41" s="298">
        <v>0</v>
      </c>
      <c r="DP41" s="298">
        <v>0</v>
      </c>
      <c r="DQ41" s="298">
        <v>0</v>
      </c>
      <c r="DR41" s="298">
        <v>0</v>
      </c>
      <c r="DS41" s="298">
        <v>0</v>
      </c>
      <c r="DT41" s="298">
        <v>0</v>
      </c>
      <c r="DU41" s="298">
        <v>0</v>
      </c>
      <c r="DV41" s="303" t="s">
        <v>548</v>
      </c>
    </row>
    <row r="42" spans="1:126" ht="24.95" customHeight="1" thickBot="1" x14ac:dyDescent="0.3">
      <c r="A42" s="29" t="str">
        <f t="shared" si="0"/>
        <v>41º</v>
      </c>
      <c r="B42" s="69" t="str">
        <f t="shared" si="89"/>
        <v>Kevyn Vinícius</v>
      </c>
      <c r="C42" s="269" t="str">
        <f t="shared" si="90"/>
        <v>BRA</v>
      </c>
      <c r="D42" s="99" t="str">
        <f t="shared" si="91"/>
        <v>Somente Pé Direito</v>
      </c>
      <c r="E42" s="28" t="str">
        <f t="shared" si="92"/>
        <v>Nacional</v>
      </c>
      <c r="F42" s="169">
        <f t="shared" si="93"/>
        <v>23</v>
      </c>
      <c r="G42" s="2" t="str">
        <f t="shared" si="94"/>
        <v>2m € - 18m €</v>
      </c>
      <c r="H42" s="154">
        <f t="shared" si="95"/>
        <v>1.92</v>
      </c>
      <c r="I42" s="64">
        <f t="shared" si="96"/>
        <v>47664</v>
      </c>
      <c r="J42" s="304" t="str">
        <f t="shared" si="97"/>
        <v>5m € p/m</v>
      </c>
      <c r="K42" s="96">
        <f t="shared" si="10"/>
        <v>3.5222222222222221</v>
      </c>
      <c r="L42" s="146">
        <f t="shared" si="98"/>
        <v>0</v>
      </c>
      <c r="M42" s="6">
        <f t="shared" si="99"/>
        <v>0</v>
      </c>
      <c r="N42" s="5">
        <f t="shared" si="100"/>
        <v>5400</v>
      </c>
      <c r="O42" s="21">
        <f t="shared" si="101"/>
        <v>0</v>
      </c>
      <c r="P42" s="2">
        <f t="shared" si="102"/>
        <v>0</v>
      </c>
      <c r="Q42" s="2">
        <f t="shared" si="103"/>
        <v>0</v>
      </c>
      <c r="R42" s="5">
        <f t="shared" si="104"/>
        <v>0</v>
      </c>
      <c r="S42" s="2">
        <f t="shared" si="105"/>
        <v>0</v>
      </c>
      <c r="T42" s="2">
        <f t="shared" si="106"/>
        <v>0</v>
      </c>
      <c r="U42" s="102">
        <f t="shared" si="107"/>
        <v>0</v>
      </c>
      <c r="V42" s="102">
        <f t="shared" si="108"/>
        <v>0</v>
      </c>
      <c r="W42" s="6">
        <f t="shared" si="109"/>
        <v>0</v>
      </c>
      <c r="X42" s="5">
        <f t="shared" si="110"/>
        <v>0</v>
      </c>
      <c r="Y42" s="6">
        <f t="shared" si="111"/>
        <v>0</v>
      </c>
      <c r="Z42" s="5" t="e">
        <f t="shared" si="112"/>
        <v>#DIV/0!</v>
      </c>
      <c r="AA42" s="21">
        <f t="shared" si="113"/>
        <v>0</v>
      </c>
      <c r="AB42" s="6">
        <f t="shared" si="114"/>
        <v>0</v>
      </c>
      <c r="AC42" s="5" t="e">
        <f t="shared" si="115"/>
        <v>#DIV/0!</v>
      </c>
      <c r="AD42" s="6">
        <f t="shared" si="116"/>
        <v>0</v>
      </c>
      <c r="AE42" s="5">
        <f t="shared" si="117"/>
        <v>0</v>
      </c>
      <c r="AF42" s="21">
        <f t="shared" si="118"/>
        <v>0</v>
      </c>
      <c r="AG42" s="6">
        <f t="shared" si="119"/>
        <v>0</v>
      </c>
      <c r="AH42" s="5">
        <f t="shared" si="120"/>
        <v>0</v>
      </c>
      <c r="AI42" s="21">
        <f t="shared" si="121"/>
        <v>0</v>
      </c>
      <c r="AJ42" s="6">
        <f t="shared" si="122"/>
        <v>0</v>
      </c>
      <c r="AK42" s="5">
        <f t="shared" si="123"/>
        <v>0</v>
      </c>
      <c r="AL42" s="21">
        <f t="shared" si="124"/>
        <v>0</v>
      </c>
      <c r="AM42" s="21">
        <f t="shared" si="125"/>
        <v>0</v>
      </c>
      <c r="AN42" s="6">
        <f t="shared" si="126"/>
        <v>0</v>
      </c>
      <c r="AO42" s="5">
        <f t="shared" si="127"/>
        <v>0</v>
      </c>
      <c r="AP42" s="6">
        <f t="shared" si="128"/>
        <v>0</v>
      </c>
      <c r="AQ42" s="5">
        <f t="shared" si="129"/>
        <v>0</v>
      </c>
      <c r="AR42" s="2">
        <f t="shared" si="130"/>
        <v>0</v>
      </c>
      <c r="AS42" s="5">
        <f t="shared" si="131"/>
        <v>0</v>
      </c>
      <c r="AT42" s="21">
        <f t="shared" si="132"/>
        <v>0</v>
      </c>
      <c r="AU42" s="20">
        <f t="shared" si="133"/>
        <v>0</v>
      </c>
      <c r="AV42" s="20">
        <f t="shared" si="134"/>
        <v>1</v>
      </c>
      <c r="AW42" s="199">
        <f t="shared" si="135"/>
        <v>0</v>
      </c>
      <c r="AX42" s="24">
        <f t="shared" si="136"/>
        <v>0</v>
      </c>
      <c r="AY42" s="5">
        <f t="shared" si="137"/>
        <v>0</v>
      </c>
      <c r="AZ42" s="5">
        <f t="shared" si="138"/>
        <v>0</v>
      </c>
      <c r="BA42" s="5">
        <f t="shared" si="139"/>
        <v>0</v>
      </c>
      <c r="BB42" s="5">
        <f t="shared" si="140"/>
        <v>0</v>
      </c>
      <c r="BC42" s="5">
        <f t="shared" si="141"/>
        <v>0</v>
      </c>
      <c r="BD42" s="5">
        <f t="shared" si="142"/>
        <v>0</v>
      </c>
      <c r="BE42" s="199">
        <f t="shared" si="143"/>
        <v>0</v>
      </c>
      <c r="BF42" s="21">
        <f t="shared" si="144"/>
        <v>0</v>
      </c>
      <c r="BG42" s="6">
        <f t="shared" si="145"/>
        <v>0</v>
      </c>
      <c r="BH42" s="5" t="e">
        <f t="shared" si="146"/>
        <v>#DIV/0!</v>
      </c>
      <c r="BI42" s="6">
        <f t="shared" si="147"/>
        <v>0</v>
      </c>
      <c r="BJ42" s="5" t="e">
        <f t="shared" si="148"/>
        <v>#DIV/0!</v>
      </c>
      <c r="BK42" s="20">
        <f t="shared" si="149"/>
        <v>-9.9999999999999998E-13</v>
      </c>
      <c r="BL42" s="20">
        <f t="shared" si="150"/>
        <v>0</v>
      </c>
      <c r="BM42" s="6">
        <f t="shared" si="151"/>
        <v>0</v>
      </c>
      <c r="BN42" s="5">
        <f t="shared" si="152"/>
        <v>0</v>
      </c>
      <c r="BO42" s="333">
        <f t="shared" si="153"/>
        <v>0</v>
      </c>
      <c r="BP42" s="334">
        <f t="shared" si="154"/>
        <v>0</v>
      </c>
      <c r="BQ42" s="6">
        <f t="shared" si="155"/>
        <v>0</v>
      </c>
      <c r="BR42" s="5">
        <f t="shared" si="156"/>
        <v>0</v>
      </c>
      <c r="BS42" s="6">
        <f t="shared" si="157"/>
        <v>0</v>
      </c>
      <c r="BT42" s="5">
        <f t="shared" si="158"/>
        <v>0</v>
      </c>
      <c r="BU42" s="181">
        <f t="shared" si="159"/>
        <v>0</v>
      </c>
      <c r="BV42" s="154">
        <f t="shared" si="160"/>
        <v>0</v>
      </c>
      <c r="BW42" s="181">
        <f t="shared" si="161"/>
        <v>0</v>
      </c>
      <c r="BX42" s="180">
        <f t="shared" si="162"/>
        <v>0</v>
      </c>
      <c r="BY42" s="181">
        <f t="shared" si="163"/>
        <v>0</v>
      </c>
      <c r="BZ42" s="154">
        <f t="shared" si="164"/>
        <v>0</v>
      </c>
      <c r="CA42" s="182">
        <f t="shared" si="165"/>
        <v>0</v>
      </c>
      <c r="CB42" s="2">
        <f t="shared" si="166"/>
        <v>0</v>
      </c>
      <c r="CC42" s="2">
        <f t="shared" si="167"/>
        <v>0</v>
      </c>
      <c r="CD42" s="2">
        <f t="shared" si="168"/>
        <v>0</v>
      </c>
      <c r="CE42" s="2">
        <f t="shared" si="169"/>
        <v>0</v>
      </c>
      <c r="CF42" s="6">
        <f t="shared" si="170"/>
        <v>0</v>
      </c>
      <c r="CG42" s="6">
        <f t="shared" si="171"/>
        <v>0</v>
      </c>
      <c r="CH42" s="6">
        <f t="shared" si="172"/>
        <v>0</v>
      </c>
      <c r="CI42" s="20">
        <f t="shared" si="173"/>
        <v>0</v>
      </c>
      <c r="CJ42" s="133">
        <f t="shared" si="174"/>
        <v>2521</v>
      </c>
      <c r="CK42" s="5">
        <f t="shared" si="175"/>
        <v>0</v>
      </c>
      <c r="CL42" s="300" t="s">
        <v>19</v>
      </c>
      <c r="CM42" s="296" t="s">
        <v>13</v>
      </c>
      <c r="CN42" s="296" t="s">
        <v>1261</v>
      </c>
      <c r="CO42" s="296">
        <v>23</v>
      </c>
      <c r="CP42" s="296" t="s">
        <v>1262</v>
      </c>
      <c r="CQ42" s="296" t="s">
        <v>1263</v>
      </c>
      <c r="CR42" s="296" t="s">
        <v>645</v>
      </c>
      <c r="CS42" s="296" t="s">
        <v>1213</v>
      </c>
      <c r="CT42" s="296" t="s">
        <v>549</v>
      </c>
      <c r="CU42" s="297">
        <v>47664</v>
      </c>
      <c r="CV42" s="296">
        <v>0</v>
      </c>
      <c r="CW42" s="296">
        <v>0</v>
      </c>
      <c r="CX42" s="296">
        <v>0</v>
      </c>
      <c r="CY42" s="296">
        <v>0</v>
      </c>
      <c r="CZ42" s="296">
        <v>0</v>
      </c>
      <c r="DA42" s="296">
        <v>0</v>
      </c>
      <c r="DB42" s="296">
        <v>0</v>
      </c>
      <c r="DC42" s="296">
        <v>0</v>
      </c>
      <c r="DD42" s="296">
        <v>0</v>
      </c>
      <c r="DE42" s="296">
        <v>0</v>
      </c>
      <c r="DF42" s="296">
        <v>0</v>
      </c>
      <c r="DG42" s="296">
        <v>0</v>
      </c>
      <c r="DH42" s="296">
        <v>0</v>
      </c>
      <c r="DI42" s="296">
        <v>0</v>
      </c>
      <c r="DJ42" s="296">
        <v>0</v>
      </c>
      <c r="DK42" s="296">
        <v>0</v>
      </c>
      <c r="DL42" s="296">
        <v>0</v>
      </c>
      <c r="DM42" s="296">
        <v>0</v>
      </c>
      <c r="DN42" s="296">
        <v>0</v>
      </c>
      <c r="DO42" s="296">
        <v>0</v>
      </c>
      <c r="DP42" s="296">
        <v>0</v>
      </c>
      <c r="DQ42" s="296">
        <v>0</v>
      </c>
      <c r="DR42" s="296">
        <v>0</v>
      </c>
      <c r="DS42" s="296">
        <v>0</v>
      </c>
      <c r="DT42" s="296">
        <v>0</v>
      </c>
      <c r="DU42" s="296">
        <v>0</v>
      </c>
      <c r="DV42" s="301" t="s">
        <v>548</v>
      </c>
    </row>
    <row r="43" spans="1:126" ht="24.95" customHeight="1" thickBot="1" x14ac:dyDescent="0.3">
      <c r="A43" s="29" t="str">
        <f t="shared" si="0"/>
        <v>42º</v>
      </c>
      <c r="B43" s="69" t="str">
        <f t="shared" si="89"/>
        <v>Luís Felipe</v>
      </c>
      <c r="C43" s="269" t="str">
        <f t="shared" si="90"/>
        <v>BRA</v>
      </c>
      <c r="D43" s="99" t="str">
        <f t="shared" si="91"/>
        <v>Pé Esquerdo</v>
      </c>
      <c r="E43" s="28" t="str">
        <f t="shared" si="92"/>
        <v>Bangu</v>
      </c>
      <c r="F43" s="169">
        <f t="shared" si="93"/>
        <v>23</v>
      </c>
      <c r="G43" s="2" t="str">
        <f t="shared" si="94"/>
        <v>0 €</v>
      </c>
      <c r="H43" s="154">
        <f t="shared" si="95"/>
        <v>1.81</v>
      </c>
      <c r="I43" s="64">
        <f t="shared" si="96"/>
        <v>47118</v>
      </c>
      <c r="J43" s="304" t="str">
        <f t="shared" si="97"/>
        <v>1,7m € p/m</v>
      </c>
      <c r="K43" s="96">
        <f t="shared" si="10"/>
        <v>3.5222222222222221</v>
      </c>
      <c r="L43" s="146">
        <f t="shared" si="98"/>
        <v>1.1888888888888889</v>
      </c>
      <c r="M43" s="6">
        <f t="shared" si="99"/>
        <v>0</v>
      </c>
      <c r="N43" s="5">
        <f t="shared" si="100"/>
        <v>5400</v>
      </c>
      <c r="O43" s="21">
        <f t="shared" si="101"/>
        <v>0</v>
      </c>
      <c r="P43" s="2">
        <f t="shared" si="102"/>
        <v>40</v>
      </c>
      <c r="Q43" s="2">
        <f t="shared" si="103"/>
        <v>28</v>
      </c>
      <c r="R43" s="5">
        <f t="shared" si="104"/>
        <v>23.55140186915888</v>
      </c>
      <c r="S43" s="2">
        <f t="shared" si="105"/>
        <v>12</v>
      </c>
      <c r="T43" s="2">
        <f t="shared" si="106"/>
        <v>16</v>
      </c>
      <c r="U43" s="102">
        <f t="shared" si="107"/>
        <v>0.3</v>
      </c>
      <c r="V43" s="102">
        <f t="shared" si="108"/>
        <v>0.7</v>
      </c>
      <c r="W43" s="6">
        <f t="shared" si="109"/>
        <v>40</v>
      </c>
      <c r="X43" s="5">
        <f t="shared" si="110"/>
        <v>33.644859813084111</v>
      </c>
      <c r="Y43" s="6">
        <f t="shared" si="111"/>
        <v>0</v>
      </c>
      <c r="Z43" s="5">
        <f t="shared" si="112"/>
        <v>0</v>
      </c>
      <c r="AA43" s="21">
        <f t="shared" si="113"/>
        <v>0</v>
      </c>
      <c r="AB43" s="6">
        <f t="shared" si="114"/>
        <v>0</v>
      </c>
      <c r="AC43" s="5">
        <f t="shared" si="115"/>
        <v>0</v>
      </c>
      <c r="AD43" s="6">
        <f t="shared" si="116"/>
        <v>0</v>
      </c>
      <c r="AE43" s="5">
        <f t="shared" si="117"/>
        <v>0</v>
      </c>
      <c r="AF43" s="21">
        <f t="shared" si="118"/>
        <v>0</v>
      </c>
      <c r="AG43" s="6">
        <f t="shared" si="119"/>
        <v>0</v>
      </c>
      <c r="AH43" s="5">
        <f t="shared" si="120"/>
        <v>0</v>
      </c>
      <c r="AI43" s="21">
        <f t="shared" si="121"/>
        <v>0</v>
      </c>
      <c r="AJ43" s="6">
        <f t="shared" si="122"/>
        <v>0</v>
      </c>
      <c r="AK43" s="5">
        <f t="shared" si="123"/>
        <v>0</v>
      </c>
      <c r="AL43" s="21">
        <f t="shared" si="124"/>
        <v>0</v>
      </c>
      <c r="AM43" s="21">
        <f t="shared" si="125"/>
        <v>0.84112149532710279</v>
      </c>
      <c r="AN43" s="6">
        <f t="shared" si="126"/>
        <v>1</v>
      </c>
      <c r="AO43" s="5">
        <f t="shared" si="127"/>
        <v>0.84112149532710279</v>
      </c>
      <c r="AP43" s="6">
        <f t="shared" si="128"/>
        <v>0</v>
      </c>
      <c r="AQ43" s="5">
        <f t="shared" si="129"/>
        <v>0</v>
      </c>
      <c r="AR43" s="2">
        <f t="shared" si="130"/>
        <v>2</v>
      </c>
      <c r="AS43" s="5">
        <f t="shared" si="131"/>
        <v>1.6822429906542056</v>
      </c>
      <c r="AT43" s="21">
        <f t="shared" si="132"/>
        <v>0</v>
      </c>
      <c r="AU43" s="20">
        <f t="shared" si="133"/>
        <v>0</v>
      </c>
      <c r="AV43" s="20">
        <f t="shared" si="134"/>
        <v>1</v>
      </c>
      <c r="AW43" s="199">
        <f t="shared" si="135"/>
        <v>0</v>
      </c>
      <c r="AX43" s="24">
        <f t="shared" si="136"/>
        <v>53.5</v>
      </c>
      <c r="AY43" s="5">
        <f t="shared" si="137"/>
        <v>1</v>
      </c>
      <c r="AZ43" s="5">
        <f t="shared" si="138"/>
        <v>1</v>
      </c>
      <c r="BA43" s="5">
        <f t="shared" si="139"/>
        <v>0</v>
      </c>
      <c r="BB43" s="5">
        <f t="shared" si="140"/>
        <v>0</v>
      </c>
      <c r="BC43" s="5">
        <f t="shared" si="141"/>
        <v>0</v>
      </c>
      <c r="BD43" s="5">
        <f t="shared" si="142"/>
        <v>0</v>
      </c>
      <c r="BE43" s="199">
        <f t="shared" si="143"/>
        <v>0</v>
      </c>
      <c r="BF43" s="21">
        <f t="shared" si="144"/>
        <v>0</v>
      </c>
      <c r="BG43" s="6">
        <f t="shared" si="145"/>
        <v>0</v>
      </c>
      <c r="BH43" s="5">
        <f t="shared" si="146"/>
        <v>0</v>
      </c>
      <c r="BI43" s="6">
        <f t="shared" si="147"/>
        <v>0</v>
      </c>
      <c r="BJ43" s="5">
        <f t="shared" si="148"/>
        <v>0</v>
      </c>
      <c r="BK43" s="20">
        <f t="shared" si="149"/>
        <v>-9.9999999999999998E-13</v>
      </c>
      <c r="BL43" s="20">
        <f t="shared" si="150"/>
        <v>1.3486176668914363E-3</v>
      </c>
      <c r="BM43" s="6">
        <f t="shared" si="151"/>
        <v>2</v>
      </c>
      <c r="BN43" s="5">
        <f t="shared" si="152"/>
        <v>1.6822429906542056</v>
      </c>
      <c r="BO43" s="333">
        <f t="shared" si="153"/>
        <v>0</v>
      </c>
      <c r="BP43" s="334">
        <f t="shared" si="154"/>
        <v>0</v>
      </c>
      <c r="BQ43" s="6">
        <f t="shared" si="155"/>
        <v>0</v>
      </c>
      <c r="BR43" s="5">
        <f t="shared" si="156"/>
        <v>0</v>
      </c>
      <c r="BS43" s="6">
        <f t="shared" si="157"/>
        <v>0</v>
      </c>
      <c r="BT43" s="5">
        <f t="shared" si="158"/>
        <v>0</v>
      </c>
      <c r="BU43" s="181">
        <f t="shared" si="159"/>
        <v>0</v>
      </c>
      <c r="BV43" s="154">
        <f t="shared" si="160"/>
        <v>0</v>
      </c>
      <c r="BW43" s="181">
        <f t="shared" si="161"/>
        <v>0</v>
      </c>
      <c r="BX43" s="180">
        <f t="shared" si="162"/>
        <v>0</v>
      </c>
      <c r="BY43" s="181">
        <f t="shared" si="163"/>
        <v>0</v>
      </c>
      <c r="BZ43" s="154">
        <f t="shared" si="164"/>
        <v>0</v>
      </c>
      <c r="CA43" s="182">
        <f t="shared" si="165"/>
        <v>0</v>
      </c>
      <c r="CB43" s="2">
        <f t="shared" si="166"/>
        <v>0</v>
      </c>
      <c r="CC43" s="2">
        <f t="shared" si="167"/>
        <v>0</v>
      </c>
      <c r="CD43" s="2">
        <f t="shared" si="168"/>
        <v>0</v>
      </c>
      <c r="CE43" s="2">
        <f t="shared" si="169"/>
        <v>0</v>
      </c>
      <c r="CF43" s="6">
        <f t="shared" si="170"/>
        <v>0</v>
      </c>
      <c r="CG43" s="6">
        <f t="shared" si="171"/>
        <v>44</v>
      </c>
      <c r="CH43" s="6">
        <f t="shared" si="172"/>
        <v>28</v>
      </c>
      <c r="CI43" s="20">
        <f t="shared" si="173"/>
        <v>0.63636363636363635</v>
      </c>
      <c r="CJ43" s="133">
        <f t="shared" si="174"/>
        <v>2521</v>
      </c>
      <c r="CK43" s="5">
        <f t="shared" si="175"/>
        <v>8</v>
      </c>
      <c r="CL43" s="302"/>
      <c r="CM43" s="298" t="s">
        <v>13</v>
      </c>
      <c r="CN43" s="298" t="s">
        <v>1186</v>
      </c>
      <c r="CO43" s="298">
        <v>23</v>
      </c>
      <c r="CP43" s="298" t="s">
        <v>1264</v>
      </c>
      <c r="CQ43" s="298" t="s">
        <v>1131</v>
      </c>
      <c r="CR43" s="298" t="s">
        <v>652</v>
      </c>
      <c r="CS43" s="298" t="s">
        <v>1188</v>
      </c>
      <c r="CT43" s="298" t="s">
        <v>607</v>
      </c>
      <c r="CU43" s="299">
        <v>47118</v>
      </c>
      <c r="CV43" s="298">
        <v>0</v>
      </c>
      <c r="CW43" s="298">
        <v>107</v>
      </c>
      <c r="CX43" s="298">
        <v>2</v>
      </c>
      <c r="CY43" s="298">
        <v>0</v>
      </c>
      <c r="CZ43" s="298">
        <v>0</v>
      </c>
      <c r="DA43" s="298">
        <v>0</v>
      </c>
      <c r="DB43" s="298">
        <v>0</v>
      </c>
      <c r="DC43" s="298">
        <v>0</v>
      </c>
      <c r="DD43" s="298">
        <v>0</v>
      </c>
      <c r="DE43" s="298">
        <v>1</v>
      </c>
      <c r="DF43" s="298">
        <v>0</v>
      </c>
      <c r="DG43" s="298">
        <v>0</v>
      </c>
      <c r="DH43" s="298">
        <v>0</v>
      </c>
      <c r="DI43" s="298">
        <v>0</v>
      </c>
      <c r="DJ43" s="298">
        <v>0</v>
      </c>
      <c r="DK43" s="298">
        <v>0</v>
      </c>
      <c r="DL43" s="298">
        <v>40</v>
      </c>
      <c r="DM43" s="298">
        <v>28</v>
      </c>
      <c r="DN43" s="298">
        <v>0</v>
      </c>
      <c r="DO43" s="298">
        <v>0</v>
      </c>
      <c r="DP43" s="298">
        <v>0</v>
      </c>
      <c r="DQ43" s="298">
        <v>0</v>
      </c>
      <c r="DR43" s="298">
        <v>0</v>
      </c>
      <c r="DS43" s="298">
        <v>0</v>
      </c>
      <c r="DT43" s="298">
        <v>0</v>
      </c>
      <c r="DU43" s="298">
        <v>0</v>
      </c>
      <c r="DV43" s="303">
        <v>8</v>
      </c>
    </row>
    <row r="44" spans="1:126" ht="24.95" customHeight="1" thickBot="1" x14ac:dyDescent="0.3">
      <c r="A44" s="29" t="str">
        <f t="shared" si="0"/>
        <v>43º</v>
      </c>
      <c r="B44" s="69" t="str">
        <f t="shared" si="89"/>
        <v>Luiz Turatto</v>
      </c>
      <c r="C44" s="269" t="str">
        <f t="shared" si="90"/>
        <v>BRA</v>
      </c>
      <c r="D44" s="99" t="str">
        <f t="shared" si="91"/>
        <v>Pé Direito</v>
      </c>
      <c r="E44" s="28" t="str">
        <f t="shared" si="92"/>
        <v>Baniyas</v>
      </c>
      <c r="F44" s="169">
        <f t="shared" si="93"/>
        <v>22</v>
      </c>
      <c r="G44" s="2" t="str">
        <f t="shared" si="94"/>
        <v>160m € - 1,6M €</v>
      </c>
      <c r="H44" s="154">
        <f t="shared" si="95"/>
        <v>1.91</v>
      </c>
      <c r="I44" s="64">
        <f t="shared" si="96"/>
        <v>47664</v>
      </c>
      <c r="J44" s="304" t="str">
        <f t="shared" si="97"/>
        <v>49,5m € p/m</v>
      </c>
      <c r="K44" s="96">
        <f t="shared" si="10"/>
        <v>3.5222222222222221</v>
      </c>
      <c r="L44" s="146">
        <f t="shared" si="98"/>
        <v>0</v>
      </c>
      <c r="M44" s="6">
        <f t="shared" si="99"/>
        <v>0</v>
      </c>
      <c r="N44" s="5">
        <f t="shared" si="100"/>
        <v>5400</v>
      </c>
      <c r="O44" s="21">
        <f t="shared" si="101"/>
        <v>0</v>
      </c>
      <c r="P44" s="2">
        <f t="shared" si="102"/>
        <v>0</v>
      </c>
      <c r="Q44" s="2">
        <f t="shared" si="103"/>
        <v>0</v>
      </c>
      <c r="R44" s="5">
        <f t="shared" si="104"/>
        <v>0</v>
      </c>
      <c r="S44" s="2">
        <f t="shared" si="105"/>
        <v>0</v>
      </c>
      <c r="T44" s="2">
        <f t="shared" si="106"/>
        <v>0</v>
      </c>
      <c r="U44" s="102">
        <f t="shared" si="107"/>
        <v>0</v>
      </c>
      <c r="V44" s="102">
        <f t="shared" si="108"/>
        <v>0</v>
      </c>
      <c r="W44" s="6">
        <f t="shared" si="109"/>
        <v>0</v>
      </c>
      <c r="X44" s="5">
        <f t="shared" si="110"/>
        <v>0</v>
      </c>
      <c r="Y44" s="6">
        <f t="shared" si="111"/>
        <v>0</v>
      </c>
      <c r="Z44" s="5" t="e">
        <f t="shared" si="112"/>
        <v>#DIV/0!</v>
      </c>
      <c r="AA44" s="21">
        <f t="shared" si="113"/>
        <v>0</v>
      </c>
      <c r="AB44" s="6">
        <f t="shared" si="114"/>
        <v>0</v>
      </c>
      <c r="AC44" s="5" t="e">
        <f t="shared" si="115"/>
        <v>#DIV/0!</v>
      </c>
      <c r="AD44" s="6">
        <f t="shared" si="116"/>
        <v>0</v>
      </c>
      <c r="AE44" s="5">
        <f t="shared" si="117"/>
        <v>0</v>
      </c>
      <c r="AF44" s="21">
        <f t="shared" si="118"/>
        <v>0</v>
      </c>
      <c r="AG44" s="6">
        <f t="shared" si="119"/>
        <v>0</v>
      </c>
      <c r="AH44" s="5">
        <f t="shared" si="120"/>
        <v>0</v>
      </c>
      <c r="AI44" s="21">
        <f t="shared" si="121"/>
        <v>0</v>
      </c>
      <c r="AJ44" s="6">
        <f t="shared" si="122"/>
        <v>0</v>
      </c>
      <c r="AK44" s="5">
        <f t="shared" si="123"/>
        <v>0</v>
      </c>
      <c r="AL44" s="21">
        <f t="shared" si="124"/>
        <v>0</v>
      </c>
      <c r="AM44" s="21">
        <f t="shared" si="125"/>
        <v>0</v>
      </c>
      <c r="AN44" s="6">
        <f t="shared" si="126"/>
        <v>0</v>
      </c>
      <c r="AO44" s="5">
        <f t="shared" si="127"/>
        <v>0</v>
      </c>
      <c r="AP44" s="6">
        <f t="shared" si="128"/>
        <v>0</v>
      </c>
      <c r="AQ44" s="5">
        <f t="shared" si="129"/>
        <v>0</v>
      </c>
      <c r="AR44" s="2">
        <f t="shared" si="130"/>
        <v>0</v>
      </c>
      <c r="AS44" s="5">
        <f t="shared" si="131"/>
        <v>0</v>
      </c>
      <c r="AT44" s="21">
        <f t="shared" si="132"/>
        <v>0</v>
      </c>
      <c r="AU44" s="20">
        <f t="shared" si="133"/>
        <v>0</v>
      </c>
      <c r="AV44" s="20">
        <f t="shared" si="134"/>
        <v>1</v>
      </c>
      <c r="AW44" s="199">
        <f t="shared" si="135"/>
        <v>0</v>
      </c>
      <c r="AX44" s="24">
        <f t="shared" si="136"/>
        <v>0</v>
      </c>
      <c r="AY44" s="5">
        <f t="shared" si="137"/>
        <v>0</v>
      </c>
      <c r="AZ44" s="5">
        <f t="shared" si="138"/>
        <v>0</v>
      </c>
      <c r="BA44" s="5">
        <f t="shared" si="139"/>
        <v>0</v>
      </c>
      <c r="BB44" s="5">
        <f t="shared" si="140"/>
        <v>0</v>
      </c>
      <c r="BC44" s="5">
        <f t="shared" si="141"/>
        <v>0</v>
      </c>
      <c r="BD44" s="5">
        <f t="shared" si="142"/>
        <v>0</v>
      </c>
      <c r="BE44" s="199">
        <f t="shared" si="143"/>
        <v>0</v>
      </c>
      <c r="BF44" s="21">
        <f t="shared" si="144"/>
        <v>0</v>
      </c>
      <c r="BG44" s="6">
        <f t="shared" si="145"/>
        <v>0</v>
      </c>
      <c r="BH44" s="5" t="e">
        <f t="shared" si="146"/>
        <v>#DIV/0!</v>
      </c>
      <c r="BI44" s="6">
        <f t="shared" si="147"/>
        <v>0</v>
      </c>
      <c r="BJ44" s="5" t="e">
        <f t="shared" si="148"/>
        <v>#DIV/0!</v>
      </c>
      <c r="BK44" s="20">
        <f t="shared" si="149"/>
        <v>-9.9999999999999998E-13</v>
      </c>
      <c r="BL44" s="20">
        <f t="shared" si="150"/>
        <v>0</v>
      </c>
      <c r="BM44" s="6">
        <f t="shared" si="151"/>
        <v>0</v>
      </c>
      <c r="BN44" s="5">
        <f t="shared" si="152"/>
        <v>0</v>
      </c>
      <c r="BO44" s="333">
        <f t="shared" si="153"/>
        <v>0</v>
      </c>
      <c r="BP44" s="334">
        <f t="shared" si="154"/>
        <v>0</v>
      </c>
      <c r="BQ44" s="6">
        <f t="shared" si="155"/>
        <v>0</v>
      </c>
      <c r="BR44" s="5">
        <f t="shared" si="156"/>
        <v>0</v>
      </c>
      <c r="BS44" s="6">
        <f t="shared" si="157"/>
        <v>0</v>
      </c>
      <c r="BT44" s="5">
        <f t="shared" si="158"/>
        <v>0</v>
      </c>
      <c r="BU44" s="181">
        <f t="shared" si="159"/>
        <v>0</v>
      </c>
      <c r="BV44" s="154">
        <f t="shared" si="160"/>
        <v>0</v>
      </c>
      <c r="BW44" s="181">
        <f t="shared" si="161"/>
        <v>0</v>
      </c>
      <c r="BX44" s="180">
        <f t="shared" si="162"/>
        <v>0</v>
      </c>
      <c r="BY44" s="181">
        <f t="shared" si="163"/>
        <v>0</v>
      </c>
      <c r="BZ44" s="154">
        <f t="shared" si="164"/>
        <v>0</v>
      </c>
      <c r="CA44" s="182">
        <f t="shared" si="165"/>
        <v>0</v>
      </c>
      <c r="CB44" s="2">
        <f t="shared" si="166"/>
        <v>0</v>
      </c>
      <c r="CC44" s="2">
        <f t="shared" si="167"/>
        <v>0</v>
      </c>
      <c r="CD44" s="2">
        <f t="shared" si="168"/>
        <v>0</v>
      </c>
      <c r="CE44" s="2">
        <f t="shared" si="169"/>
        <v>0</v>
      </c>
      <c r="CF44" s="6">
        <f t="shared" si="170"/>
        <v>0</v>
      </c>
      <c r="CG44" s="6">
        <f t="shared" si="171"/>
        <v>0</v>
      </c>
      <c r="CH44" s="6">
        <f t="shared" si="172"/>
        <v>0</v>
      </c>
      <c r="CI44" s="20">
        <f t="shared" si="173"/>
        <v>0</v>
      </c>
      <c r="CJ44" s="133">
        <f t="shared" si="174"/>
        <v>2521</v>
      </c>
      <c r="CK44" s="5">
        <f t="shared" si="175"/>
        <v>0</v>
      </c>
      <c r="CL44" s="300"/>
      <c r="CM44" s="296" t="s">
        <v>13</v>
      </c>
      <c r="CN44" s="296" t="s">
        <v>1265</v>
      </c>
      <c r="CO44" s="296">
        <v>22</v>
      </c>
      <c r="CP44" s="296" t="s">
        <v>1266</v>
      </c>
      <c r="CQ44" s="296" t="s">
        <v>620</v>
      </c>
      <c r="CR44" s="296" t="s">
        <v>644</v>
      </c>
      <c r="CS44" s="296" t="s">
        <v>1267</v>
      </c>
      <c r="CT44" s="296" t="s">
        <v>595</v>
      </c>
      <c r="CU44" s="297">
        <v>47664</v>
      </c>
      <c r="CV44" s="296">
        <v>0</v>
      </c>
      <c r="CW44" s="296">
        <v>0</v>
      </c>
      <c r="CX44" s="296">
        <v>0</v>
      </c>
      <c r="CY44" s="296">
        <v>0</v>
      </c>
      <c r="CZ44" s="296">
        <v>0</v>
      </c>
      <c r="DA44" s="296">
        <v>0</v>
      </c>
      <c r="DB44" s="296">
        <v>0</v>
      </c>
      <c r="DC44" s="296">
        <v>0</v>
      </c>
      <c r="DD44" s="296">
        <v>0</v>
      </c>
      <c r="DE44" s="296">
        <v>0</v>
      </c>
      <c r="DF44" s="296">
        <v>0</v>
      </c>
      <c r="DG44" s="296">
        <v>0</v>
      </c>
      <c r="DH44" s="296">
        <v>0</v>
      </c>
      <c r="DI44" s="296">
        <v>0</v>
      </c>
      <c r="DJ44" s="296">
        <v>0</v>
      </c>
      <c r="DK44" s="296">
        <v>0</v>
      </c>
      <c r="DL44" s="296">
        <v>0</v>
      </c>
      <c r="DM44" s="296">
        <v>0</v>
      </c>
      <c r="DN44" s="296">
        <v>0</v>
      </c>
      <c r="DO44" s="296">
        <v>0</v>
      </c>
      <c r="DP44" s="296">
        <v>0</v>
      </c>
      <c r="DQ44" s="296">
        <v>0</v>
      </c>
      <c r="DR44" s="296">
        <v>0</v>
      </c>
      <c r="DS44" s="296">
        <v>0</v>
      </c>
      <c r="DT44" s="296">
        <v>0</v>
      </c>
      <c r="DU44" s="296">
        <v>0</v>
      </c>
      <c r="DV44" s="301" t="s">
        <v>548</v>
      </c>
    </row>
    <row r="45" spans="1:126" ht="24.95" customHeight="1" thickBot="1" x14ac:dyDescent="0.3">
      <c r="A45" s="29" t="str">
        <f t="shared" si="0"/>
        <v>44º</v>
      </c>
      <c r="B45" s="69" t="str">
        <f t="shared" si="89"/>
        <v>Caio Barone</v>
      </c>
      <c r="C45" s="269" t="str">
        <f t="shared" si="90"/>
        <v>BRA</v>
      </c>
      <c r="D45" s="99" t="str">
        <f t="shared" si="91"/>
        <v>Pé Direito</v>
      </c>
      <c r="E45" s="28" t="str">
        <f t="shared" si="92"/>
        <v>Calahorra</v>
      </c>
      <c r="F45" s="169">
        <f t="shared" si="93"/>
        <v>22</v>
      </c>
      <c r="G45" s="2" t="str">
        <f t="shared" si="94"/>
        <v>6m € - 60m €</v>
      </c>
      <c r="H45" s="154">
        <f t="shared" si="95"/>
        <v>1.96</v>
      </c>
      <c r="I45" s="64">
        <f t="shared" si="96"/>
        <v>47664</v>
      </c>
      <c r="J45" s="304" t="str">
        <f t="shared" si="97"/>
        <v>3,4m € p/m</v>
      </c>
      <c r="K45" s="96">
        <f t="shared" si="10"/>
        <v>3.5222222222222221</v>
      </c>
      <c r="L45" s="146">
        <f t="shared" si="98"/>
        <v>0</v>
      </c>
      <c r="M45" s="6">
        <f t="shared" si="99"/>
        <v>0</v>
      </c>
      <c r="N45" s="5">
        <f t="shared" si="100"/>
        <v>5400</v>
      </c>
      <c r="O45" s="21">
        <f t="shared" si="101"/>
        <v>0</v>
      </c>
      <c r="P45" s="2">
        <f t="shared" si="102"/>
        <v>0</v>
      </c>
      <c r="Q45" s="2">
        <f t="shared" si="103"/>
        <v>0</v>
      </c>
      <c r="R45" s="5">
        <f t="shared" si="104"/>
        <v>0</v>
      </c>
      <c r="S45" s="2">
        <f t="shared" si="105"/>
        <v>0</v>
      </c>
      <c r="T45" s="2">
        <f t="shared" si="106"/>
        <v>0</v>
      </c>
      <c r="U45" s="102">
        <f t="shared" si="107"/>
        <v>0</v>
      </c>
      <c r="V45" s="102">
        <f t="shared" si="108"/>
        <v>0</v>
      </c>
      <c r="W45" s="6">
        <f t="shared" si="109"/>
        <v>0</v>
      </c>
      <c r="X45" s="5">
        <f t="shared" si="110"/>
        <v>0</v>
      </c>
      <c r="Y45" s="6">
        <f t="shared" si="111"/>
        <v>0</v>
      </c>
      <c r="Z45" s="5" t="e">
        <f t="shared" si="112"/>
        <v>#DIV/0!</v>
      </c>
      <c r="AA45" s="21">
        <f t="shared" si="113"/>
        <v>0</v>
      </c>
      <c r="AB45" s="6">
        <f t="shared" si="114"/>
        <v>0</v>
      </c>
      <c r="AC45" s="5" t="e">
        <f t="shared" si="115"/>
        <v>#DIV/0!</v>
      </c>
      <c r="AD45" s="6">
        <f t="shared" si="116"/>
        <v>0</v>
      </c>
      <c r="AE45" s="5">
        <f t="shared" si="117"/>
        <v>0</v>
      </c>
      <c r="AF45" s="21">
        <f t="shared" si="118"/>
        <v>0</v>
      </c>
      <c r="AG45" s="6">
        <f t="shared" si="119"/>
        <v>0</v>
      </c>
      <c r="AH45" s="5">
        <f t="shared" si="120"/>
        <v>0</v>
      </c>
      <c r="AI45" s="21">
        <f t="shared" si="121"/>
        <v>0</v>
      </c>
      <c r="AJ45" s="6">
        <f t="shared" si="122"/>
        <v>0</v>
      </c>
      <c r="AK45" s="5">
        <f t="shared" si="123"/>
        <v>0</v>
      </c>
      <c r="AL45" s="21">
        <f t="shared" si="124"/>
        <v>0</v>
      </c>
      <c r="AM45" s="21">
        <f t="shared" si="125"/>
        <v>0</v>
      </c>
      <c r="AN45" s="6">
        <f t="shared" si="126"/>
        <v>0</v>
      </c>
      <c r="AO45" s="5">
        <f t="shared" si="127"/>
        <v>0</v>
      </c>
      <c r="AP45" s="6">
        <f t="shared" si="128"/>
        <v>0</v>
      </c>
      <c r="AQ45" s="5">
        <f t="shared" si="129"/>
        <v>0</v>
      </c>
      <c r="AR45" s="2">
        <f t="shared" si="130"/>
        <v>0</v>
      </c>
      <c r="AS45" s="5">
        <f t="shared" si="131"/>
        <v>0</v>
      </c>
      <c r="AT45" s="21">
        <f t="shared" si="132"/>
        <v>0</v>
      </c>
      <c r="AU45" s="20">
        <f t="shared" si="133"/>
        <v>0</v>
      </c>
      <c r="AV45" s="20">
        <f t="shared" si="134"/>
        <v>1</v>
      </c>
      <c r="AW45" s="199">
        <f t="shared" si="135"/>
        <v>0</v>
      </c>
      <c r="AX45" s="24">
        <f t="shared" si="136"/>
        <v>0</v>
      </c>
      <c r="AY45" s="5">
        <f t="shared" si="137"/>
        <v>0</v>
      </c>
      <c r="AZ45" s="5">
        <f t="shared" si="138"/>
        <v>0</v>
      </c>
      <c r="BA45" s="5">
        <f t="shared" si="139"/>
        <v>0</v>
      </c>
      <c r="BB45" s="5">
        <f t="shared" si="140"/>
        <v>0</v>
      </c>
      <c r="BC45" s="5">
        <f t="shared" si="141"/>
        <v>0</v>
      </c>
      <c r="BD45" s="5">
        <f t="shared" si="142"/>
        <v>0</v>
      </c>
      <c r="BE45" s="199">
        <f t="shared" si="143"/>
        <v>0</v>
      </c>
      <c r="BF45" s="21">
        <f t="shared" si="144"/>
        <v>0</v>
      </c>
      <c r="BG45" s="6">
        <f t="shared" si="145"/>
        <v>0</v>
      </c>
      <c r="BH45" s="5" t="e">
        <f t="shared" si="146"/>
        <v>#DIV/0!</v>
      </c>
      <c r="BI45" s="6">
        <f t="shared" si="147"/>
        <v>0</v>
      </c>
      <c r="BJ45" s="5" t="e">
        <f t="shared" si="148"/>
        <v>#DIV/0!</v>
      </c>
      <c r="BK45" s="20">
        <f t="shared" si="149"/>
        <v>-9.9999999999999998E-13</v>
      </c>
      <c r="BL45" s="20">
        <f t="shared" si="150"/>
        <v>0</v>
      </c>
      <c r="BM45" s="6">
        <f t="shared" si="151"/>
        <v>0</v>
      </c>
      <c r="BN45" s="5">
        <f t="shared" si="152"/>
        <v>0</v>
      </c>
      <c r="BO45" s="333">
        <f t="shared" si="153"/>
        <v>0</v>
      </c>
      <c r="BP45" s="334">
        <f t="shared" si="154"/>
        <v>0</v>
      </c>
      <c r="BQ45" s="6">
        <f t="shared" si="155"/>
        <v>0</v>
      </c>
      <c r="BR45" s="5">
        <f t="shared" si="156"/>
        <v>0</v>
      </c>
      <c r="BS45" s="6">
        <f t="shared" si="157"/>
        <v>0</v>
      </c>
      <c r="BT45" s="5">
        <f t="shared" si="158"/>
        <v>0</v>
      </c>
      <c r="BU45" s="181">
        <f t="shared" si="159"/>
        <v>0</v>
      </c>
      <c r="BV45" s="154">
        <f t="shared" si="160"/>
        <v>0</v>
      </c>
      <c r="BW45" s="181">
        <f t="shared" si="161"/>
        <v>0</v>
      </c>
      <c r="BX45" s="180">
        <f t="shared" si="162"/>
        <v>0</v>
      </c>
      <c r="BY45" s="181">
        <f t="shared" si="163"/>
        <v>0</v>
      </c>
      <c r="BZ45" s="154">
        <f t="shared" si="164"/>
        <v>0</v>
      </c>
      <c r="CA45" s="182">
        <f t="shared" si="165"/>
        <v>0</v>
      </c>
      <c r="CB45" s="2">
        <f t="shared" si="166"/>
        <v>0</v>
      </c>
      <c r="CC45" s="2">
        <f t="shared" si="167"/>
        <v>0</v>
      </c>
      <c r="CD45" s="2">
        <f t="shared" si="168"/>
        <v>0</v>
      </c>
      <c r="CE45" s="2">
        <f t="shared" si="169"/>
        <v>0</v>
      </c>
      <c r="CF45" s="6">
        <f t="shared" si="170"/>
        <v>0</v>
      </c>
      <c r="CG45" s="6">
        <f t="shared" si="171"/>
        <v>0</v>
      </c>
      <c r="CH45" s="6">
        <f t="shared" si="172"/>
        <v>0</v>
      </c>
      <c r="CI45" s="20">
        <f t="shared" si="173"/>
        <v>0</v>
      </c>
      <c r="CJ45" s="133">
        <f t="shared" si="174"/>
        <v>2521</v>
      </c>
      <c r="CK45" s="5">
        <f t="shared" si="175"/>
        <v>0</v>
      </c>
      <c r="CL45" s="302"/>
      <c r="CM45" s="298" t="s">
        <v>13</v>
      </c>
      <c r="CN45" s="298" t="s">
        <v>1268</v>
      </c>
      <c r="CO45" s="298">
        <v>22</v>
      </c>
      <c r="CP45" s="298" t="s">
        <v>1269</v>
      </c>
      <c r="CQ45" s="298" t="s">
        <v>1270</v>
      </c>
      <c r="CR45" s="298" t="s">
        <v>644</v>
      </c>
      <c r="CS45" s="298" t="s">
        <v>907</v>
      </c>
      <c r="CT45" s="298" t="s">
        <v>833</v>
      </c>
      <c r="CU45" s="299">
        <v>47664</v>
      </c>
      <c r="CV45" s="298">
        <v>0</v>
      </c>
      <c r="CW45" s="298">
        <v>0</v>
      </c>
      <c r="CX45" s="298">
        <v>0</v>
      </c>
      <c r="CY45" s="298">
        <v>0</v>
      </c>
      <c r="CZ45" s="298">
        <v>0</v>
      </c>
      <c r="DA45" s="298">
        <v>0</v>
      </c>
      <c r="DB45" s="298">
        <v>0</v>
      </c>
      <c r="DC45" s="298">
        <v>0</v>
      </c>
      <c r="DD45" s="298">
        <v>0</v>
      </c>
      <c r="DE45" s="298">
        <v>0</v>
      </c>
      <c r="DF45" s="298">
        <v>0</v>
      </c>
      <c r="DG45" s="298">
        <v>0</v>
      </c>
      <c r="DH45" s="298">
        <v>0</v>
      </c>
      <c r="DI45" s="298">
        <v>0</v>
      </c>
      <c r="DJ45" s="298">
        <v>0</v>
      </c>
      <c r="DK45" s="298">
        <v>0</v>
      </c>
      <c r="DL45" s="298">
        <v>0</v>
      </c>
      <c r="DM45" s="298">
        <v>0</v>
      </c>
      <c r="DN45" s="298">
        <v>0</v>
      </c>
      <c r="DO45" s="298">
        <v>0</v>
      </c>
      <c r="DP45" s="298">
        <v>0</v>
      </c>
      <c r="DQ45" s="298">
        <v>0</v>
      </c>
      <c r="DR45" s="298">
        <v>0</v>
      </c>
      <c r="DS45" s="298">
        <v>0</v>
      </c>
      <c r="DT45" s="298">
        <v>0</v>
      </c>
      <c r="DU45" s="298">
        <v>0</v>
      </c>
      <c r="DV45" s="303" t="s">
        <v>548</v>
      </c>
    </row>
    <row r="46" spans="1:126" ht="24.95" customHeight="1" thickBot="1" x14ac:dyDescent="0.3">
      <c r="A46" s="29" t="str">
        <f t="shared" si="0"/>
        <v>45º</v>
      </c>
      <c r="B46" s="69" t="str">
        <f t="shared" si="89"/>
        <v>Otávio</v>
      </c>
      <c r="C46" s="269" t="str">
        <f t="shared" si="90"/>
        <v>BRA</v>
      </c>
      <c r="D46" s="99" t="str">
        <f t="shared" si="91"/>
        <v>Pé Direito</v>
      </c>
      <c r="E46" s="28" t="str">
        <f t="shared" si="92"/>
        <v>CEC</v>
      </c>
      <c r="F46" s="169">
        <f t="shared" si="93"/>
        <v>22</v>
      </c>
      <c r="G46" s="2" t="str">
        <f t="shared" si="94"/>
        <v>1,5m € - 4m €</v>
      </c>
      <c r="H46" s="154">
        <f t="shared" si="95"/>
        <v>1.92</v>
      </c>
      <c r="I46" s="64">
        <f t="shared" si="96"/>
        <v>47118</v>
      </c>
      <c r="J46" s="304" t="str">
        <f t="shared" si="97"/>
        <v>1,7m € p/m</v>
      </c>
      <c r="K46" s="96">
        <f t="shared" si="10"/>
        <v>3.5222222222222221</v>
      </c>
      <c r="L46" s="146">
        <f t="shared" si="98"/>
        <v>0</v>
      </c>
      <c r="M46" s="6">
        <f t="shared" si="99"/>
        <v>0</v>
      </c>
      <c r="N46" s="5">
        <f t="shared" si="100"/>
        <v>5400</v>
      </c>
      <c r="O46" s="21">
        <f t="shared" si="101"/>
        <v>0</v>
      </c>
      <c r="P46" s="2">
        <f t="shared" si="102"/>
        <v>0</v>
      </c>
      <c r="Q46" s="2">
        <f t="shared" si="103"/>
        <v>0</v>
      </c>
      <c r="R46" s="5">
        <f t="shared" si="104"/>
        <v>0</v>
      </c>
      <c r="S46" s="2">
        <f t="shared" si="105"/>
        <v>0</v>
      </c>
      <c r="T46" s="2">
        <f t="shared" si="106"/>
        <v>0</v>
      </c>
      <c r="U46" s="102">
        <f t="shared" si="107"/>
        <v>0</v>
      </c>
      <c r="V46" s="102">
        <f t="shared" si="108"/>
        <v>0</v>
      </c>
      <c r="W46" s="6">
        <f t="shared" si="109"/>
        <v>0</v>
      </c>
      <c r="X46" s="5">
        <f t="shared" si="110"/>
        <v>0</v>
      </c>
      <c r="Y46" s="6">
        <f t="shared" si="111"/>
        <v>0</v>
      </c>
      <c r="Z46" s="5" t="e">
        <f t="shared" si="112"/>
        <v>#DIV/0!</v>
      </c>
      <c r="AA46" s="21">
        <f t="shared" si="113"/>
        <v>0</v>
      </c>
      <c r="AB46" s="6">
        <f t="shared" si="114"/>
        <v>0</v>
      </c>
      <c r="AC46" s="5" t="e">
        <f t="shared" si="115"/>
        <v>#DIV/0!</v>
      </c>
      <c r="AD46" s="6">
        <f t="shared" si="116"/>
        <v>0</v>
      </c>
      <c r="AE46" s="5">
        <f t="shared" si="117"/>
        <v>0</v>
      </c>
      <c r="AF46" s="21">
        <f t="shared" si="118"/>
        <v>0</v>
      </c>
      <c r="AG46" s="6">
        <f t="shared" si="119"/>
        <v>0</v>
      </c>
      <c r="AH46" s="5">
        <f t="shared" si="120"/>
        <v>0</v>
      </c>
      <c r="AI46" s="21">
        <f t="shared" si="121"/>
        <v>0</v>
      </c>
      <c r="AJ46" s="6">
        <f t="shared" si="122"/>
        <v>0</v>
      </c>
      <c r="AK46" s="5">
        <f t="shared" si="123"/>
        <v>0</v>
      </c>
      <c r="AL46" s="21">
        <f t="shared" si="124"/>
        <v>0</v>
      </c>
      <c r="AM46" s="21">
        <f t="shared" si="125"/>
        <v>0</v>
      </c>
      <c r="AN46" s="6">
        <f t="shared" si="126"/>
        <v>0</v>
      </c>
      <c r="AO46" s="5">
        <f t="shared" si="127"/>
        <v>0</v>
      </c>
      <c r="AP46" s="6">
        <f t="shared" si="128"/>
        <v>0</v>
      </c>
      <c r="AQ46" s="5">
        <f t="shared" si="129"/>
        <v>0</v>
      </c>
      <c r="AR46" s="2">
        <f t="shared" si="130"/>
        <v>0</v>
      </c>
      <c r="AS46" s="5">
        <f t="shared" si="131"/>
        <v>0</v>
      </c>
      <c r="AT46" s="21">
        <f t="shared" si="132"/>
        <v>0</v>
      </c>
      <c r="AU46" s="20">
        <f t="shared" si="133"/>
        <v>0</v>
      </c>
      <c r="AV46" s="20">
        <f t="shared" si="134"/>
        <v>1</v>
      </c>
      <c r="AW46" s="199">
        <f t="shared" si="135"/>
        <v>0</v>
      </c>
      <c r="AX46" s="24">
        <f t="shared" si="136"/>
        <v>0</v>
      </c>
      <c r="AY46" s="5">
        <f t="shared" si="137"/>
        <v>0</v>
      </c>
      <c r="AZ46" s="5">
        <f t="shared" si="138"/>
        <v>0</v>
      </c>
      <c r="BA46" s="5">
        <f t="shared" si="139"/>
        <v>0</v>
      </c>
      <c r="BB46" s="5">
        <f t="shared" si="140"/>
        <v>0</v>
      </c>
      <c r="BC46" s="5">
        <f t="shared" si="141"/>
        <v>0</v>
      </c>
      <c r="BD46" s="5">
        <f t="shared" si="142"/>
        <v>0</v>
      </c>
      <c r="BE46" s="199">
        <f t="shared" si="143"/>
        <v>0</v>
      </c>
      <c r="BF46" s="21">
        <f t="shared" si="144"/>
        <v>0</v>
      </c>
      <c r="BG46" s="6">
        <f t="shared" si="145"/>
        <v>0</v>
      </c>
      <c r="BH46" s="5" t="e">
        <f t="shared" si="146"/>
        <v>#DIV/0!</v>
      </c>
      <c r="BI46" s="6">
        <f t="shared" si="147"/>
        <v>0</v>
      </c>
      <c r="BJ46" s="5" t="e">
        <f t="shared" si="148"/>
        <v>#DIV/0!</v>
      </c>
      <c r="BK46" s="20">
        <f t="shared" si="149"/>
        <v>-9.9999999999999998E-13</v>
      </c>
      <c r="BL46" s="20">
        <f t="shared" si="150"/>
        <v>0</v>
      </c>
      <c r="BM46" s="6">
        <f t="shared" si="151"/>
        <v>0</v>
      </c>
      <c r="BN46" s="5">
        <f t="shared" si="152"/>
        <v>0</v>
      </c>
      <c r="BO46" s="333">
        <f t="shared" si="153"/>
        <v>0</v>
      </c>
      <c r="BP46" s="334">
        <f t="shared" si="154"/>
        <v>0</v>
      </c>
      <c r="BQ46" s="6">
        <f t="shared" si="155"/>
        <v>0</v>
      </c>
      <c r="BR46" s="5">
        <f t="shared" si="156"/>
        <v>0</v>
      </c>
      <c r="BS46" s="6">
        <f t="shared" si="157"/>
        <v>0</v>
      </c>
      <c r="BT46" s="5">
        <f t="shared" si="158"/>
        <v>0</v>
      </c>
      <c r="BU46" s="181">
        <f t="shared" si="159"/>
        <v>0</v>
      </c>
      <c r="BV46" s="154">
        <f t="shared" si="160"/>
        <v>0</v>
      </c>
      <c r="BW46" s="181">
        <f t="shared" si="161"/>
        <v>0</v>
      </c>
      <c r="BX46" s="180">
        <f t="shared" si="162"/>
        <v>0</v>
      </c>
      <c r="BY46" s="181">
        <f t="shared" si="163"/>
        <v>0</v>
      </c>
      <c r="BZ46" s="154">
        <f t="shared" si="164"/>
        <v>0</v>
      </c>
      <c r="CA46" s="182">
        <f t="shared" si="165"/>
        <v>0</v>
      </c>
      <c r="CB46" s="2">
        <f t="shared" si="166"/>
        <v>0</v>
      </c>
      <c r="CC46" s="2">
        <f t="shared" si="167"/>
        <v>0</v>
      </c>
      <c r="CD46" s="2">
        <f t="shared" si="168"/>
        <v>0</v>
      </c>
      <c r="CE46" s="2">
        <f t="shared" si="169"/>
        <v>0</v>
      </c>
      <c r="CF46" s="6">
        <f t="shared" si="170"/>
        <v>0</v>
      </c>
      <c r="CG46" s="6">
        <f t="shared" si="171"/>
        <v>0</v>
      </c>
      <c r="CH46" s="6">
        <f t="shared" si="172"/>
        <v>0</v>
      </c>
      <c r="CI46" s="20">
        <f t="shared" si="173"/>
        <v>0</v>
      </c>
      <c r="CJ46" s="133">
        <f t="shared" si="174"/>
        <v>2521</v>
      </c>
      <c r="CK46" s="5">
        <f t="shared" si="175"/>
        <v>0</v>
      </c>
      <c r="CL46" s="300" t="s">
        <v>19</v>
      </c>
      <c r="CM46" s="296" t="s">
        <v>13</v>
      </c>
      <c r="CN46" s="296" t="s">
        <v>1271</v>
      </c>
      <c r="CO46" s="296">
        <v>22</v>
      </c>
      <c r="CP46" s="296" t="s">
        <v>1272</v>
      </c>
      <c r="CQ46" s="296" t="s">
        <v>1273</v>
      </c>
      <c r="CR46" s="296" t="s">
        <v>644</v>
      </c>
      <c r="CS46" s="296" t="s">
        <v>1188</v>
      </c>
      <c r="CT46" s="296" t="s">
        <v>549</v>
      </c>
      <c r="CU46" s="297">
        <v>47118</v>
      </c>
      <c r="CV46" s="296">
        <v>0</v>
      </c>
      <c r="CW46" s="296">
        <v>0</v>
      </c>
      <c r="CX46" s="296">
        <v>0</v>
      </c>
      <c r="CY46" s="296">
        <v>0</v>
      </c>
      <c r="CZ46" s="296">
        <v>0</v>
      </c>
      <c r="DA46" s="296">
        <v>0</v>
      </c>
      <c r="DB46" s="296">
        <v>0</v>
      </c>
      <c r="DC46" s="296">
        <v>0</v>
      </c>
      <c r="DD46" s="296">
        <v>0</v>
      </c>
      <c r="DE46" s="296">
        <v>0</v>
      </c>
      <c r="DF46" s="296">
        <v>0</v>
      </c>
      <c r="DG46" s="296">
        <v>0</v>
      </c>
      <c r="DH46" s="296">
        <v>0</v>
      </c>
      <c r="DI46" s="296">
        <v>0</v>
      </c>
      <c r="DJ46" s="296">
        <v>0</v>
      </c>
      <c r="DK46" s="296">
        <v>0</v>
      </c>
      <c r="DL46" s="296">
        <v>0</v>
      </c>
      <c r="DM46" s="296">
        <v>0</v>
      </c>
      <c r="DN46" s="296">
        <v>0</v>
      </c>
      <c r="DO46" s="296">
        <v>0</v>
      </c>
      <c r="DP46" s="296">
        <v>0</v>
      </c>
      <c r="DQ46" s="296">
        <v>0</v>
      </c>
      <c r="DR46" s="296">
        <v>0</v>
      </c>
      <c r="DS46" s="296">
        <v>0</v>
      </c>
      <c r="DT46" s="296">
        <v>0</v>
      </c>
      <c r="DU46" s="296">
        <v>0</v>
      </c>
      <c r="DV46" s="301" t="s">
        <v>548</v>
      </c>
    </row>
    <row r="47" spans="1:126" ht="24.95" customHeight="1" thickBot="1" x14ac:dyDescent="0.3">
      <c r="A47" s="29" t="str">
        <f t="shared" si="0"/>
        <v>46º</v>
      </c>
      <c r="B47" s="69" t="str">
        <f t="shared" si="89"/>
        <v>José Catula</v>
      </c>
      <c r="C47" s="269" t="str">
        <f t="shared" si="90"/>
        <v>BRA</v>
      </c>
      <c r="D47" s="99" t="str">
        <f t="shared" si="91"/>
        <v>Somente Pé Direito</v>
      </c>
      <c r="E47" s="28" t="str">
        <f t="shared" si="92"/>
        <v>GOI</v>
      </c>
      <c r="F47" s="169">
        <f t="shared" si="93"/>
        <v>24</v>
      </c>
      <c r="G47" s="2" t="str">
        <f t="shared" si="94"/>
        <v>0 €</v>
      </c>
      <c r="H47" s="154">
        <f t="shared" si="95"/>
        <v>1.86</v>
      </c>
      <c r="I47" s="64">
        <f t="shared" si="96"/>
        <v>47483</v>
      </c>
      <c r="J47" s="304" t="str">
        <f t="shared" si="97"/>
        <v>2,4m € p/m</v>
      </c>
      <c r="K47" s="96">
        <f t="shared" si="10"/>
        <v>3.5222222222222221</v>
      </c>
      <c r="L47" s="146">
        <f t="shared" si="98"/>
        <v>0</v>
      </c>
      <c r="M47" s="6">
        <f t="shared" si="99"/>
        <v>0</v>
      </c>
      <c r="N47" s="5">
        <f t="shared" si="100"/>
        <v>5400</v>
      </c>
      <c r="O47" s="21">
        <f t="shared" si="101"/>
        <v>0</v>
      </c>
      <c r="P47" s="2">
        <f t="shared" si="102"/>
        <v>0</v>
      </c>
      <c r="Q47" s="2">
        <f t="shared" si="103"/>
        <v>0</v>
      </c>
      <c r="R47" s="5">
        <f t="shared" si="104"/>
        <v>0</v>
      </c>
      <c r="S47" s="2">
        <f t="shared" si="105"/>
        <v>0</v>
      </c>
      <c r="T47" s="2">
        <f t="shared" si="106"/>
        <v>0</v>
      </c>
      <c r="U47" s="102">
        <f t="shared" si="107"/>
        <v>0</v>
      </c>
      <c r="V47" s="102">
        <f t="shared" si="108"/>
        <v>0</v>
      </c>
      <c r="W47" s="6">
        <f t="shared" si="109"/>
        <v>0</v>
      </c>
      <c r="X47" s="5">
        <f t="shared" si="110"/>
        <v>0</v>
      </c>
      <c r="Y47" s="6">
        <f t="shared" si="111"/>
        <v>0</v>
      </c>
      <c r="Z47" s="5" t="e">
        <f t="shared" si="112"/>
        <v>#DIV/0!</v>
      </c>
      <c r="AA47" s="21">
        <f t="shared" si="113"/>
        <v>0</v>
      </c>
      <c r="AB47" s="6">
        <f t="shared" si="114"/>
        <v>0</v>
      </c>
      <c r="AC47" s="5" t="e">
        <f t="shared" si="115"/>
        <v>#DIV/0!</v>
      </c>
      <c r="AD47" s="6">
        <f t="shared" si="116"/>
        <v>0</v>
      </c>
      <c r="AE47" s="5">
        <f t="shared" si="117"/>
        <v>0</v>
      </c>
      <c r="AF47" s="21">
        <f t="shared" si="118"/>
        <v>0</v>
      </c>
      <c r="AG47" s="6">
        <f t="shared" si="119"/>
        <v>0</v>
      </c>
      <c r="AH47" s="5">
        <f t="shared" si="120"/>
        <v>0</v>
      </c>
      <c r="AI47" s="21">
        <f t="shared" si="121"/>
        <v>0</v>
      </c>
      <c r="AJ47" s="6">
        <f t="shared" si="122"/>
        <v>0</v>
      </c>
      <c r="AK47" s="5">
        <f t="shared" si="123"/>
        <v>0</v>
      </c>
      <c r="AL47" s="21">
        <f t="shared" si="124"/>
        <v>0</v>
      </c>
      <c r="AM47" s="21">
        <f t="shared" si="125"/>
        <v>0</v>
      </c>
      <c r="AN47" s="6">
        <f t="shared" si="126"/>
        <v>0</v>
      </c>
      <c r="AO47" s="5">
        <f t="shared" si="127"/>
        <v>0</v>
      </c>
      <c r="AP47" s="6">
        <f t="shared" si="128"/>
        <v>0</v>
      </c>
      <c r="AQ47" s="5">
        <f t="shared" si="129"/>
        <v>0</v>
      </c>
      <c r="AR47" s="2">
        <f t="shared" si="130"/>
        <v>0</v>
      </c>
      <c r="AS47" s="5">
        <f t="shared" si="131"/>
        <v>0</v>
      </c>
      <c r="AT47" s="21">
        <f t="shared" si="132"/>
        <v>0</v>
      </c>
      <c r="AU47" s="20">
        <f t="shared" si="133"/>
        <v>0</v>
      </c>
      <c r="AV47" s="20">
        <f t="shared" si="134"/>
        <v>1</v>
      </c>
      <c r="AW47" s="199">
        <f t="shared" si="135"/>
        <v>0</v>
      </c>
      <c r="AX47" s="24">
        <f t="shared" si="136"/>
        <v>0</v>
      </c>
      <c r="AY47" s="5">
        <f t="shared" si="137"/>
        <v>0</v>
      </c>
      <c r="AZ47" s="5">
        <f t="shared" si="138"/>
        <v>0</v>
      </c>
      <c r="BA47" s="5">
        <f t="shared" si="139"/>
        <v>0</v>
      </c>
      <c r="BB47" s="5">
        <f t="shared" si="140"/>
        <v>0</v>
      </c>
      <c r="BC47" s="5">
        <f t="shared" si="141"/>
        <v>0</v>
      </c>
      <c r="BD47" s="5">
        <f t="shared" si="142"/>
        <v>0</v>
      </c>
      <c r="BE47" s="199">
        <f t="shared" si="143"/>
        <v>0</v>
      </c>
      <c r="BF47" s="21">
        <f t="shared" si="144"/>
        <v>0</v>
      </c>
      <c r="BG47" s="6">
        <f t="shared" si="145"/>
        <v>0</v>
      </c>
      <c r="BH47" s="5" t="e">
        <f t="shared" si="146"/>
        <v>#DIV/0!</v>
      </c>
      <c r="BI47" s="6">
        <f t="shared" si="147"/>
        <v>0</v>
      </c>
      <c r="BJ47" s="5" t="e">
        <f t="shared" si="148"/>
        <v>#DIV/0!</v>
      </c>
      <c r="BK47" s="20">
        <f t="shared" si="149"/>
        <v>-9.9999999999999998E-13</v>
      </c>
      <c r="BL47" s="20">
        <f t="shared" si="150"/>
        <v>0</v>
      </c>
      <c r="BM47" s="6">
        <f t="shared" si="151"/>
        <v>0</v>
      </c>
      <c r="BN47" s="5">
        <f t="shared" si="152"/>
        <v>0</v>
      </c>
      <c r="BO47" s="333">
        <f t="shared" si="153"/>
        <v>0</v>
      </c>
      <c r="BP47" s="334">
        <f t="shared" si="154"/>
        <v>0</v>
      </c>
      <c r="BQ47" s="6">
        <f t="shared" si="155"/>
        <v>0</v>
      </c>
      <c r="BR47" s="5">
        <f t="shared" si="156"/>
        <v>0</v>
      </c>
      <c r="BS47" s="6">
        <f t="shared" si="157"/>
        <v>0</v>
      </c>
      <c r="BT47" s="5">
        <f t="shared" si="158"/>
        <v>0</v>
      </c>
      <c r="BU47" s="181">
        <f t="shared" si="159"/>
        <v>0</v>
      </c>
      <c r="BV47" s="154">
        <f t="shared" si="160"/>
        <v>0</v>
      </c>
      <c r="BW47" s="181">
        <f t="shared" si="161"/>
        <v>0</v>
      </c>
      <c r="BX47" s="180">
        <f t="shared" si="162"/>
        <v>0</v>
      </c>
      <c r="BY47" s="181">
        <f t="shared" si="163"/>
        <v>0</v>
      </c>
      <c r="BZ47" s="154">
        <f t="shared" si="164"/>
        <v>0</v>
      </c>
      <c r="CA47" s="182">
        <f t="shared" si="165"/>
        <v>0</v>
      </c>
      <c r="CB47" s="2">
        <f t="shared" si="166"/>
        <v>0</v>
      </c>
      <c r="CC47" s="2">
        <f t="shared" si="167"/>
        <v>0</v>
      </c>
      <c r="CD47" s="2">
        <f t="shared" si="168"/>
        <v>0</v>
      </c>
      <c r="CE47" s="2">
        <f t="shared" si="169"/>
        <v>0</v>
      </c>
      <c r="CF47" s="6">
        <f t="shared" si="170"/>
        <v>0</v>
      </c>
      <c r="CG47" s="6">
        <f t="shared" si="171"/>
        <v>0</v>
      </c>
      <c r="CH47" s="6">
        <f t="shared" si="172"/>
        <v>0</v>
      </c>
      <c r="CI47" s="20">
        <f t="shared" si="173"/>
        <v>0</v>
      </c>
      <c r="CJ47" s="133">
        <f t="shared" si="174"/>
        <v>2521</v>
      </c>
      <c r="CK47" s="5">
        <f t="shared" si="175"/>
        <v>0</v>
      </c>
      <c r="CL47" s="302"/>
      <c r="CM47" s="298" t="s">
        <v>13</v>
      </c>
      <c r="CN47" s="298" t="s">
        <v>1274</v>
      </c>
      <c r="CO47" s="298">
        <v>24</v>
      </c>
      <c r="CP47" s="298" t="s">
        <v>1275</v>
      </c>
      <c r="CQ47" s="298" t="s">
        <v>1131</v>
      </c>
      <c r="CR47" s="298" t="s">
        <v>645</v>
      </c>
      <c r="CS47" s="298" t="s">
        <v>1166</v>
      </c>
      <c r="CT47" s="298" t="s">
        <v>575</v>
      </c>
      <c r="CU47" s="299">
        <v>47483</v>
      </c>
      <c r="CV47" s="298">
        <v>0</v>
      </c>
      <c r="CW47" s="298">
        <v>0</v>
      </c>
      <c r="CX47" s="298">
        <v>0</v>
      </c>
      <c r="CY47" s="298">
        <v>0</v>
      </c>
      <c r="CZ47" s="298">
        <v>0</v>
      </c>
      <c r="DA47" s="298">
        <v>0</v>
      </c>
      <c r="DB47" s="298">
        <v>0</v>
      </c>
      <c r="DC47" s="298">
        <v>0</v>
      </c>
      <c r="DD47" s="298">
        <v>0</v>
      </c>
      <c r="DE47" s="298">
        <v>0</v>
      </c>
      <c r="DF47" s="298">
        <v>0</v>
      </c>
      <c r="DG47" s="298">
        <v>0</v>
      </c>
      <c r="DH47" s="298">
        <v>0</v>
      </c>
      <c r="DI47" s="298">
        <v>0</v>
      </c>
      <c r="DJ47" s="298">
        <v>0</v>
      </c>
      <c r="DK47" s="298">
        <v>0</v>
      </c>
      <c r="DL47" s="298">
        <v>0</v>
      </c>
      <c r="DM47" s="298">
        <v>0</v>
      </c>
      <c r="DN47" s="298">
        <v>0</v>
      </c>
      <c r="DO47" s="298">
        <v>0</v>
      </c>
      <c r="DP47" s="298">
        <v>0</v>
      </c>
      <c r="DQ47" s="298">
        <v>0</v>
      </c>
      <c r="DR47" s="298">
        <v>0</v>
      </c>
      <c r="DS47" s="298">
        <v>0</v>
      </c>
      <c r="DT47" s="298">
        <v>0</v>
      </c>
      <c r="DU47" s="298">
        <v>0</v>
      </c>
      <c r="DV47" s="303" t="s">
        <v>548</v>
      </c>
    </row>
    <row r="48" spans="1:126" ht="24.95" customHeight="1" thickBot="1" x14ac:dyDescent="0.3">
      <c r="A48" s="29" t="str">
        <f t="shared" si="0"/>
        <v>47º</v>
      </c>
      <c r="B48" s="69" t="str">
        <f t="shared" si="89"/>
        <v>Italo</v>
      </c>
      <c r="C48" s="269" t="str">
        <f t="shared" si="90"/>
        <v>BRA</v>
      </c>
      <c r="D48" s="99" t="str">
        <f t="shared" si="91"/>
        <v>Pé Direito</v>
      </c>
      <c r="E48" s="28" t="str">
        <f t="shared" si="92"/>
        <v>AMG</v>
      </c>
      <c r="F48" s="169">
        <f t="shared" si="93"/>
        <v>22</v>
      </c>
      <c r="G48" s="2" t="str">
        <f t="shared" si="94"/>
        <v>0 €</v>
      </c>
      <c r="H48" s="154">
        <f t="shared" si="95"/>
        <v>1.87</v>
      </c>
      <c r="I48" s="64">
        <f t="shared" si="96"/>
        <v>47483</v>
      </c>
      <c r="J48" s="304" t="str">
        <f t="shared" si="97"/>
        <v>575 € p/m</v>
      </c>
      <c r="K48" s="96">
        <f t="shared" si="10"/>
        <v>3.5222222222222221</v>
      </c>
      <c r="L48" s="146">
        <f t="shared" si="98"/>
        <v>0</v>
      </c>
      <c r="M48" s="6">
        <f t="shared" si="99"/>
        <v>0</v>
      </c>
      <c r="N48" s="5">
        <f t="shared" si="100"/>
        <v>5400</v>
      </c>
      <c r="O48" s="21">
        <f t="shared" si="101"/>
        <v>0</v>
      </c>
      <c r="P48" s="2">
        <f t="shared" si="102"/>
        <v>0</v>
      </c>
      <c r="Q48" s="2">
        <f t="shared" si="103"/>
        <v>0</v>
      </c>
      <c r="R48" s="5">
        <f t="shared" si="104"/>
        <v>0</v>
      </c>
      <c r="S48" s="2">
        <f t="shared" si="105"/>
        <v>0</v>
      </c>
      <c r="T48" s="2">
        <f t="shared" si="106"/>
        <v>0</v>
      </c>
      <c r="U48" s="102">
        <f t="shared" si="107"/>
        <v>0</v>
      </c>
      <c r="V48" s="102">
        <f t="shared" si="108"/>
        <v>0</v>
      </c>
      <c r="W48" s="6">
        <f t="shared" si="109"/>
        <v>0</v>
      </c>
      <c r="X48" s="5">
        <f t="shared" si="110"/>
        <v>0</v>
      </c>
      <c r="Y48" s="6">
        <f t="shared" si="111"/>
        <v>0</v>
      </c>
      <c r="Z48" s="5" t="e">
        <f t="shared" si="112"/>
        <v>#DIV/0!</v>
      </c>
      <c r="AA48" s="21">
        <f t="shared" si="113"/>
        <v>0</v>
      </c>
      <c r="AB48" s="6">
        <f t="shared" si="114"/>
        <v>0</v>
      </c>
      <c r="AC48" s="5" t="e">
        <f t="shared" si="115"/>
        <v>#DIV/0!</v>
      </c>
      <c r="AD48" s="6">
        <f t="shared" si="116"/>
        <v>0</v>
      </c>
      <c r="AE48" s="5">
        <f t="shared" si="117"/>
        <v>0</v>
      </c>
      <c r="AF48" s="21">
        <f t="shared" si="118"/>
        <v>0</v>
      </c>
      <c r="AG48" s="6">
        <f t="shared" si="119"/>
        <v>0</v>
      </c>
      <c r="AH48" s="5">
        <f t="shared" si="120"/>
        <v>0</v>
      </c>
      <c r="AI48" s="21">
        <f t="shared" si="121"/>
        <v>0</v>
      </c>
      <c r="AJ48" s="6">
        <f t="shared" si="122"/>
        <v>0</v>
      </c>
      <c r="AK48" s="5">
        <f t="shared" si="123"/>
        <v>0</v>
      </c>
      <c r="AL48" s="21">
        <f t="shared" si="124"/>
        <v>0</v>
      </c>
      <c r="AM48" s="21">
        <f t="shared" si="125"/>
        <v>0</v>
      </c>
      <c r="AN48" s="6">
        <f t="shared" si="126"/>
        <v>0</v>
      </c>
      <c r="AO48" s="5">
        <f t="shared" si="127"/>
        <v>0</v>
      </c>
      <c r="AP48" s="6">
        <f t="shared" si="128"/>
        <v>0</v>
      </c>
      <c r="AQ48" s="5">
        <f t="shared" si="129"/>
        <v>0</v>
      </c>
      <c r="AR48" s="2">
        <f t="shared" si="130"/>
        <v>0</v>
      </c>
      <c r="AS48" s="5">
        <f t="shared" si="131"/>
        <v>0</v>
      </c>
      <c r="AT48" s="21">
        <f t="shared" si="132"/>
        <v>0</v>
      </c>
      <c r="AU48" s="20">
        <f t="shared" si="133"/>
        <v>0</v>
      </c>
      <c r="AV48" s="20">
        <f t="shared" si="134"/>
        <v>1</v>
      </c>
      <c r="AW48" s="199">
        <f t="shared" si="135"/>
        <v>0</v>
      </c>
      <c r="AX48" s="24">
        <f t="shared" si="136"/>
        <v>0</v>
      </c>
      <c r="AY48" s="5">
        <f t="shared" si="137"/>
        <v>0</v>
      </c>
      <c r="AZ48" s="5">
        <f t="shared" si="138"/>
        <v>0</v>
      </c>
      <c r="BA48" s="5">
        <f t="shared" si="139"/>
        <v>0</v>
      </c>
      <c r="BB48" s="5">
        <f t="shared" si="140"/>
        <v>0</v>
      </c>
      <c r="BC48" s="5">
        <f t="shared" si="141"/>
        <v>0</v>
      </c>
      <c r="BD48" s="5">
        <f t="shared" si="142"/>
        <v>0</v>
      </c>
      <c r="BE48" s="199">
        <f t="shared" si="143"/>
        <v>0</v>
      </c>
      <c r="BF48" s="21">
        <f t="shared" si="144"/>
        <v>0</v>
      </c>
      <c r="BG48" s="6">
        <f t="shared" si="145"/>
        <v>0</v>
      </c>
      <c r="BH48" s="5" t="e">
        <f t="shared" si="146"/>
        <v>#DIV/0!</v>
      </c>
      <c r="BI48" s="6">
        <f t="shared" si="147"/>
        <v>0</v>
      </c>
      <c r="BJ48" s="5" t="e">
        <f t="shared" si="148"/>
        <v>#DIV/0!</v>
      </c>
      <c r="BK48" s="20">
        <f t="shared" si="149"/>
        <v>-9.9999999999999998E-13</v>
      </c>
      <c r="BL48" s="20">
        <f t="shared" si="150"/>
        <v>0</v>
      </c>
      <c r="BM48" s="6">
        <f t="shared" si="151"/>
        <v>0</v>
      </c>
      <c r="BN48" s="5">
        <f t="shared" si="152"/>
        <v>0</v>
      </c>
      <c r="BO48" s="333">
        <f t="shared" si="153"/>
        <v>0</v>
      </c>
      <c r="BP48" s="334">
        <f t="shared" si="154"/>
        <v>0</v>
      </c>
      <c r="BQ48" s="6">
        <f t="shared" si="155"/>
        <v>0</v>
      </c>
      <c r="BR48" s="5">
        <f t="shared" si="156"/>
        <v>0</v>
      </c>
      <c r="BS48" s="6">
        <f t="shared" si="157"/>
        <v>0</v>
      </c>
      <c r="BT48" s="5">
        <f t="shared" si="158"/>
        <v>0</v>
      </c>
      <c r="BU48" s="181">
        <f t="shared" si="159"/>
        <v>0</v>
      </c>
      <c r="BV48" s="154">
        <f t="shared" si="160"/>
        <v>0</v>
      </c>
      <c r="BW48" s="181">
        <f t="shared" si="161"/>
        <v>0</v>
      </c>
      <c r="BX48" s="180">
        <f t="shared" si="162"/>
        <v>0</v>
      </c>
      <c r="BY48" s="181">
        <f t="shared" si="163"/>
        <v>0</v>
      </c>
      <c r="BZ48" s="154">
        <f t="shared" si="164"/>
        <v>0</v>
      </c>
      <c r="CA48" s="182">
        <f t="shared" si="165"/>
        <v>0</v>
      </c>
      <c r="CB48" s="2">
        <f t="shared" si="166"/>
        <v>0</v>
      </c>
      <c r="CC48" s="2">
        <f t="shared" si="167"/>
        <v>0</v>
      </c>
      <c r="CD48" s="2">
        <f t="shared" si="168"/>
        <v>0</v>
      </c>
      <c r="CE48" s="2">
        <f t="shared" si="169"/>
        <v>0</v>
      </c>
      <c r="CF48" s="6">
        <f t="shared" si="170"/>
        <v>0</v>
      </c>
      <c r="CG48" s="6">
        <f t="shared" si="171"/>
        <v>0</v>
      </c>
      <c r="CH48" s="6">
        <f t="shared" si="172"/>
        <v>0</v>
      </c>
      <c r="CI48" s="20">
        <f t="shared" si="173"/>
        <v>0</v>
      </c>
      <c r="CJ48" s="133">
        <f t="shared" si="174"/>
        <v>2521</v>
      </c>
      <c r="CK48" s="5">
        <f t="shared" si="175"/>
        <v>0</v>
      </c>
      <c r="CL48" s="300" t="s">
        <v>640</v>
      </c>
      <c r="CM48" s="296" t="s">
        <v>13</v>
      </c>
      <c r="CN48" s="296" t="s">
        <v>1254</v>
      </c>
      <c r="CO48" s="296">
        <v>22</v>
      </c>
      <c r="CP48" s="296" t="s">
        <v>1276</v>
      </c>
      <c r="CQ48" s="296" t="s">
        <v>1131</v>
      </c>
      <c r="CR48" s="296" t="s">
        <v>644</v>
      </c>
      <c r="CS48" s="296" t="s">
        <v>1277</v>
      </c>
      <c r="CT48" s="296" t="s">
        <v>911</v>
      </c>
      <c r="CU48" s="297">
        <v>47483</v>
      </c>
      <c r="CV48" s="296">
        <v>0</v>
      </c>
      <c r="CW48" s="296">
        <v>0</v>
      </c>
      <c r="CX48" s="296">
        <v>0</v>
      </c>
      <c r="CY48" s="296">
        <v>0</v>
      </c>
      <c r="CZ48" s="296">
        <v>0</v>
      </c>
      <c r="DA48" s="296">
        <v>0</v>
      </c>
      <c r="DB48" s="296">
        <v>0</v>
      </c>
      <c r="DC48" s="296">
        <v>0</v>
      </c>
      <c r="DD48" s="296">
        <v>0</v>
      </c>
      <c r="DE48" s="296">
        <v>0</v>
      </c>
      <c r="DF48" s="296">
        <v>0</v>
      </c>
      <c r="DG48" s="296">
        <v>0</v>
      </c>
      <c r="DH48" s="296">
        <v>0</v>
      </c>
      <c r="DI48" s="296">
        <v>0</v>
      </c>
      <c r="DJ48" s="296">
        <v>0</v>
      </c>
      <c r="DK48" s="296">
        <v>0</v>
      </c>
      <c r="DL48" s="296">
        <v>0</v>
      </c>
      <c r="DM48" s="296">
        <v>0</v>
      </c>
      <c r="DN48" s="296">
        <v>0</v>
      </c>
      <c r="DO48" s="296">
        <v>0</v>
      </c>
      <c r="DP48" s="296">
        <v>0</v>
      </c>
      <c r="DQ48" s="296">
        <v>0</v>
      </c>
      <c r="DR48" s="296">
        <v>0</v>
      </c>
      <c r="DS48" s="296">
        <v>0</v>
      </c>
      <c r="DT48" s="296">
        <v>0</v>
      </c>
      <c r="DU48" s="296">
        <v>0</v>
      </c>
      <c r="DV48" s="301" t="s">
        <v>548</v>
      </c>
    </row>
    <row r="49" spans="1:126" ht="24.95" customHeight="1" thickBot="1" x14ac:dyDescent="0.3">
      <c r="A49" s="29" t="str">
        <f t="shared" si="0"/>
        <v>48º</v>
      </c>
      <c r="B49" s="69" t="str">
        <f t="shared" si="89"/>
        <v>Lucas Furtado</v>
      </c>
      <c r="C49" s="269" t="str">
        <f t="shared" si="90"/>
        <v>BRA</v>
      </c>
      <c r="D49" s="99" t="str">
        <f t="shared" si="91"/>
        <v>Pé Direito</v>
      </c>
      <c r="E49" s="28" t="str">
        <f t="shared" si="92"/>
        <v>Vitória de Guimarães</v>
      </c>
      <c r="F49" s="169">
        <f t="shared" si="93"/>
        <v>23</v>
      </c>
      <c r="G49" s="2" t="str">
        <f t="shared" si="94"/>
        <v>0 € - 18m €</v>
      </c>
      <c r="H49" s="154">
        <f t="shared" si="95"/>
        <v>1.97</v>
      </c>
      <c r="I49" s="64">
        <f t="shared" si="96"/>
        <v>47299</v>
      </c>
      <c r="J49" s="304" t="str">
        <f t="shared" si="97"/>
        <v>2,9m € p/m</v>
      </c>
      <c r="K49" s="96">
        <f t="shared" si="10"/>
        <v>3.5222222222222221</v>
      </c>
      <c r="L49" s="146">
        <f t="shared" si="98"/>
        <v>0</v>
      </c>
      <c r="M49" s="6">
        <f t="shared" si="99"/>
        <v>0</v>
      </c>
      <c r="N49" s="5">
        <f t="shared" si="100"/>
        <v>5400</v>
      </c>
      <c r="O49" s="21">
        <f t="shared" si="101"/>
        <v>0</v>
      </c>
      <c r="P49" s="2">
        <f t="shared" si="102"/>
        <v>0</v>
      </c>
      <c r="Q49" s="2">
        <f t="shared" si="103"/>
        <v>0</v>
      </c>
      <c r="R49" s="5">
        <f t="shared" si="104"/>
        <v>0</v>
      </c>
      <c r="S49" s="2">
        <f t="shared" si="105"/>
        <v>0</v>
      </c>
      <c r="T49" s="2">
        <f t="shared" si="106"/>
        <v>0</v>
      </c>
      <c r="U49" s="102">
        <f t="shared" si="107"/>
        <v>0</v>
      </c>
      <c r="V49" s="102">
        <f t="shared" si="108"/>
        <v>0</v>
      </c>
      <c r="W49" s="6">
        <f t="shared" si="109"/>
        <v>0</v>
      </c>
      <c r="X49" s="5">
        <f t="shared" si="110"/>
        <v>0</v>
      </c>
      <c r="Y49" s="6">
        <f t="shared" si="111"/>
        <v>0</v>
      </c>
      <c r="Z49" s="5" t="e">
        <f t="shared" si="112"/>
        <v>#DIV/0!</v>
      </c>
      <c r="AA49" s="21">
        <f t="shared" si="113"/>
        <v>0</v>
      </c>
      <c r="AB49" s="6">
        <f t="shared" si="114"/>
        <v>0</v>
      </c>
      <c r="AC49" s="5" t="e">
        <f t="shared" si="115"/>
        <v>#DIV/0!</v>
      </c>
      <c r="AD49" s="6">
        <f t="shared" si="116"/>
        <v>0</v>
      </c>
      <c r="AE49" s="5">
        <f t="shared" si="117"/>
        <v>0</v>
      </c>
      <c r="AF49" s="21">
        <f t="shared" si="118"/>
        <v>0</v>
      </c>
      <c r="AG49" s="6">
        <f t="shared" si="119"/>
        <v>0</v>
      </c>
      <c r="AH49" s="5">
        <f t="shared" si="120"/>
        <v>0</v>
      </c>
      <c r="AI49" s="21">
        <f t="shared" si="121"/>
        <v>0</v>
      </c>
      <c r="AJ49" s="6">
        <f t="shared" si="122"/>
        <v>0</v>
      </c>
      <c r="AK49" s="5">
        <f t="shared" si="123"/>
        <v>0</v>
      </c>
      <c r="AL49" s="21">
        <f t="shared" si="124"/>
        <v>0</v>
      </c>
      <c r="AM49" s="21">
        <f t="shared" si="125"/>
        <v>0</v>
      </c>
      <c r="AN49" s="6">
        <f t="shared" si="126"/>
        <v>0</v>
      </c>
      <c r="AO49" s="5">
        <f t="shared" si="127"/>
        <v>0</v>
      </c>
      <c r="AP49" s="6">
        <f t="shared" si="128"/>
        <v>0</v>
      </c>
      <c r="AQ49" s="5">
        <f t="shared" si="129"/>
        <v>0</v>
      </c>
      <c r="AR49" s="2">
        <f t="shared" si="130"/>
        <v>0</v>
      </c>
      <c r="AS49" s="5">
        <f t="shared" si="131"/>
        <v>0</v>
      </c>
      <c r="AT49" s="21">
        <f t="shared" si="132"/>
        <v>0</v>
      </c>
      <c r="AU49" s="20">
        <f t="shared" si="133"/>
        <v>0</v>
      </c>
      <c r="AV49" s="20">
        <f t="shared" si="134"/>
        <v>1</v>
      </c>
      <c r="AW49" s="199">
        <f t="shared" si="135"/>
        <v>0</v>
      </c>
      <c r="AX49" s="24">
        <f t="shared" si="136"/>
        <v>0</v>
      </c>
      <c r="AY49" s="5">
        <f t="shared" si="137"/>
        <v>0</v>
      </c>
      <c r="AZ49" s="5">
        <f t="shared" si="138"/>
        <v>0</v>
      </c>
      <c r="BA49" s="5">
        <f t="shared" si="139"/>
        <v>0</v>
      </c>
      <c r="BB49" s="5">
        <f t="shared" si="140"/>
        <v>0</v>
      </c>
      <c r="BC49" s="5">
        <f t="shared" si="141"/>
        <v>0</v>
      </c>
      <c r="BD49" s="5">
        <f t="shared" si="142"/>
        <v>0</v>
      </c>
      <c r="BE49" s="199">
        <f t="shared" si="143"/>
        <v>0</v>
      </c>
      <c r="BF49" s="21">
        <f t="shared" si="144"/>
        <v>0</v>
      </c>
      <c r="BG49" s="6">
        <f t="shared" si="145"/>
        <v>0</v>
      </c>
      <c r="BH49" s="5" t="e">
        <f t="shared" si="146"/>
        <v>#DIV/0!</v>
      </c>
      <c r="BI49" s="6">
        <f t="shared" si="147"/>
        <v>0</v>
      </c>
      <c r="BJ49" s="5" t="e">
        <f t="shared" si="148"/>
        <v>#DIV/0!</v>
      </c>
      <c r="BK49" s="20">
        <f t="shared" si="149"/>
        <v>-9.9999999999999998E-13</v>
      </c>
      <c r="BL49" s="20">
        <f t="shared" si="150"/>
        <v>0</v>
      </c>
      <c r="BM49" s="6">
        <f t="shared" si="151"/>
        <v>0</v>
      </c>
      <c r="BN49" s="5">
        <f t="shared" si="152"/>
        <v>0</v>
      </c>
      <c r="BO49" s="333">
        <f t="shared" si="153"/>
        <v>0</v>
      </c>
      <c r="BP49" s="334">
        <f t="shared" si="154"/>
        <v>0</v>
      </c>
      <c r="BQ49" s="6">
        <f t="shared" si="155"/>
        <v>0</v>
      </c>
      <c r="BR49" s="5">
        <f t="shared" si="156"/>
        <v>0</v>
      </c>
      <c r="BS49" s="6">
        <f t="shared" si="157"/>
        <v>0</v>
      </c>
      <c r="BT49" s="5">
        <f t="shared" si="158"/>
        <v>0</v>
      </c>
      <c r="BU49" s="181">
        <f t="shared" si="159"/>
        <v>0</v>
      </c>
      <c r="BV49" s="154">
        <f t="shared" si="160"/>
        <v>0</v>
      </c>
      <c r="BW49" s="181">
        <f t="shared" si="161"/>
        <v>0</v>
      </c>
      <c r="BX49" s="180">
        <f t="shared" si="162"/>
        <v>0</v>
      </c>
      <c r="BY49" s="181">
        <f t="shared" si="163"/>
        <v>0</v>
      </c>
      <c r="BZ49" s="154">
        <f t="shared" si="164"/>
        <v>0</v>
      </c>
      <c r="CA49" s="182">
        <f t="shared" si="165"/>
        <v>0</v>
      </c>
      <c r="CB49" s="2">
        <f t="shared" si="166"/>
        <v>0</v>
      </c>
      <c r="CC49" s="2">
        <f t="shared" si="167"/>
        <v>0</v>
      </c>
      <c r="CD49" s="2">
        <f t="shared" si="168"/>
        <v>0</v>
      </c>
      <c r="CE49" s="2">
        <f t="shared" si="169"/>
        <v>0</v>
      </c>
      <c r="CF49" s="6">
        <f t="shared" si="170"/>
        <v>0</v>
      </c>
      <c r="CG49" s="6">
        <f t="shared" si="171"/>
        <v>0</v>
      </c>
      <c r="CH49" s="6">
        <f t="shared" si="172"/>
        <v>0</v>
      </c>
      <c r="CI49" s="20">
        <f t="shared" si="173"/>
        <v>0</v>
      </c>
      <c r="CJ49" s="133">
        <f t="shared" si="174"/>
        <v>2521</v>
      </c>
      <c r="CK49" s="5">
        <f t="shared" si="175"/>
        <v>0</v>
      </c>
      <c r="CL49" s="302" t="s">
        <v>1235</v>
      </c>
      <c r="CM49" s="298" t="s">
        <v>13</v>
      </c>
      <c r="CN49" s="298" t="s">
        <v>1278</v>
      </c>
      <c r="CO49" s="298">
        <v>23</v>
      </c>
      <c r="CP49" s="298" t="s">
        <v>1279</v>
      </c>
      <c r="CQ49" s="298" t="s">
        <v>1173</v>
      </c>
      <c r="CR49" s="298" t="s">
        <v>644</v>
      </c>
      <c r="CS49" s="298" t="s">
        <v>1280</v>
      </c>
      <c r="CT49" s="298" t="s">
        <v>1281</v>
      </c>
      <c r="CU49" s="299">
        <v>47299</v>
      </c>
      <c r="CV49" s="298">
        <v>0</v>
      </c>
      <c r="CW49" s="298">
        <v>0</v>
      </c>
      <c r="CX49" s="298">
        <v>0</v>
      </c>
      <c r="CY49" s="298">
        <v>0</v>
      </c>
      <c r="CZ49" s="298">
        <v>0</v>
      </c>
      <c r="DA49" s="298">
        <v>0</v>
      </c>
      <c r="DB49" s="298">
        <v>0</v>
      </c>
      <c r="DC49" s="298">
        <v>0</v>
      </c>
      <c r="DD49" s="298">
        <v>0</v>
      </c>
      <c r="DE49" s="298">
        <v>0</v>
      </c>
      <c r="DF49" s="298">
        <v>0</v>
      </c>
      <c r="DG49" s="298">
        <v>0</v>
      </c>
      <c r="DH49" s="298">
        <v>0</v>
      </c>
      <c r="DI49" s="298">
        <v>0</v>
      </c>
      <c r="DJ49" s="298">
        <v>0</v>
      </c>
      <c r="DK49" s="298">
        <v>0</v>
      </c>
      <c r="DL49" s="298">
        <v>0</v>
      </c>
      <c r="DM49" s="298">
        <v>0</v>
      </c>
      <c r="DN49" s="298">
        <v>0</v>
      </c>
      <c r="DO49" s="298">
        <v>0</v>
      </c>
      <c r="DP49" s="298">
        <v>0</v>
      </c>
      <c r="DQ49" s="298">
        <v>0</v>
      </c>
      <c r="DR49" s="298">
        <v>0</v>
      </c>
      <c r="DS49" s="298">
        <v>0</v>
      </c>
      <c r="DT49" s="298">
        <v>0</v>
      </c>
      <c r="DU49" s="298">
        <v>0</v>
      </c>
      <c r="DV49" s="303" t="s">
        <v>548</v>
      </c>
    </row>
    <row r="50" spans="1:126" ht="24.95" customHeight="1" thickBot="1" x14ac:dyDescent="0.3">
      <c r="A50" s="29" t="str">
        <f t="shared" si="0"/>
        <v>49º</v>
      </c>
      <c r="B50" s="69" t="str">
        <f t="shared" si="89"/>
        <v>Aranha</v>
      </c>
      <c r="C50" s="269" t="str">
        <f t="shared" si="90"/>
        <v>BRA</v>
      </c>
      <c r="D50" s="99" t="str">
        <f t="shared" si="91"/>
        <v>Pé Direito</v>
      </c>
      <c r="E50" s="28" t="str">
        <f t="shared" si="92"/>
        <v>SEP</v>
      </c>
      <c r="F50" s="169">
        <f t="shared" si="93"/>
        <v>23</v>
      </c>
      <c r="G50" s="2" t="str">
        <f t="shared" si="94"/>
        <v>0 € - 7m €</v>
      </c>
      <c r="H50" s="154">
        <f t="shared" si="95"/>
        <v>1.9</v>
      </c>
      <c r="I50" s="64">
        <f t="shared" si="96"/>
        <v>48213</v>
      </c>
      <c r="J50" s="304" t="str">
        <f t="shared" si="97"/>
        <v>5,75m € p/m</v>
      </c>
      <c r="K50" s="96">
        <f t="shared" si="10"/>
        <v>3.5222222222222221</v>
      </c>
      <c r="L50" s="146">
        <f t="shared" si="98"/>
        <v>0</v>
      </c>
      <c r="M50" s="6">
        <f t="shared" si="99"/>
        <v>0</v>
      </c>
      <c r="N50" s="5">
        <f t="shared" si="100"/>
        <v>5400</v>
      </c>
      <c r="O50" s="21">
        <f t="shared" si="101"/>
        <v>0</v>
      </c>
      <c r="P50" s="2">
        <f t="shared" si="102"/>
        <v>0</v>
      </c>
      <c r="Q50" s="2">
        <f t="shared" si="103"/>
        <v>0</v>
      </c>
      <c r="R50" s="5">
        <f t="shared" si="104"/>
        <v>0</v>
      </c>
      <c r="S50" s="2">
        <f t="shared" si="105"/>
        <v>0</v>
      </c>
      <c r="T50" s="2">
        <f t="shared" si="106"/>
        <v>0</v>
      </c>
      <c r="U50" s="102">
        <f t="shared" si="107"/>
        <v>0</v>
      </c>
      <c r="V50" s="102">
        <f t="shared" si="108"/>
        <v>0</v>
      </c>
      <c r="W50" s="6">
        <f t="shared" si="109"/>
        <v>0</v>
      </c>
      <c r="X50" s="5">
        <f t="shared" si="110"/>
        <v>0</v>
      </c>
      <c r="Y50" s="6">
        <f t="shared" si="111"/>
        <v>0</v>
      </c>
      <c r="Z50" s="5" t="e">
        <f t="shared" si="112"/>
        <v>#DIV/0!</v>
      </c>
      <c r="AA50" s="21">
        <f t="shared" si="113"/>
        <v>0</v>
      </c>
      <c r="AB50" s="6">
        <f t="shared" si="114"/>
        <v>0</v>
      </c>
      <c r="AC50" s="5" t="e">
        <f t="shared" si="115"/>
        <v>#DIV/0!</v>
      </c>
      <c r="AD50" s="6">
        <f t="shared" si="116"/>
        <v>0</v>
      </c>
      <c r="AE50" s="5">
        <f t="shared" si="117"/>
        <v>0</v>
      </c>
      <c r="AF50" s="21">
        <f t="shared" si="118"/>
        <v>0</v>
      </c>
      <c r="AG50" s="6">
        <f t="shared" si="119"/>
        <v>0</v>
      </c>
      <c r="AH50" s="5">
        <f t="shared" si="120"/>
        <v>0</v>
      </c>
      <c r="AI50" s="21">
        <f t="shared" si="121"/>
        <v>0</v>
      </c>
      <c r="AJ50" s="6">
        <f t="shared" si="122"/>
        <v>0</v>
      </c>
      <c r="AK50" s="5">
        <f t="shared" si="123"/>
        <v>0</v>
      </c>
      <c r="AL50" s="21">
        <f t="shared" si="124"/>
        <v>0</v>
      </c>
      <c r="AM50" s="21">
        <f t="shared" si="125"/>
        <v>0</v>
      </c>
      <c r="AN50" s="6">
        <f t="shared" si="126"/>
        <v>0</v>
      </c>
      <c r="AO50" s="5">
        <f t="shared" si="127"/>
        <v>0</v>
      </c>
      <c r="AP50" s="6">
        <f t="shared" si="128"/>
        <v>0</v>
      </c>
      <c r="AQ50" s="5">
        <f t="shared" si="129"/>
        <v>0</v>
      </c>
      <c r="AR50" s="2">
        <f t="shared" si="130"/>
        <v>0</v>
      </c>
      <c r="AS50" s="5">
        <f t="shared" si="131"/>
        <v>0</v>
      </c>
      <c r="AT50" s="21">
        <f t="shared" si="132"/>
        <v>0</v>
      </c>
      <c r="AU50" s="20">
        <f t="shared" si="133"/>
        <v>0</v>
      </c>
      <c r="AV50" s="20">
        <f t="shared" si="134"/>
        <v>1</v>
      </c>
      <c r="AW50" s="199">
        <f t="shared" si="135"/>
        <v>0</v>
      </c>
      <c r="AX50" s="24">
        <f t="shared" si="136"/>
        <v>0</v>
      </c>
      <c r="AY50" s="5">
        <f t="shared" si="137"/>
        <v>0</v>
      </c>
      <c r="AZ50" s="5">
        <f t="shared" si="138"/>
        <v>0</v>
      </c>
      <c r="BA50" s="5">
        <f t="shared" si="139"/>
        <v>0</v>
      </c>
      <c r="BB50" s="5">
        <f t="shared" si="140"/>
        <v>0</v>
      </c>
      <c r="BC50" s="5">
        <f t="shared" si="141"/>
        <v>0</v>
      </c>
      <c r="BD50" s="5">
        <f t="shared" si="142"/>
        <v>0</v>
      </c>
      <c r="BE50" s="199">
        <f t="shared" si="143"/>
        <v>0</v>
      </c>
      <c r="BF50" s="21">
        <f t="shared" si="144"/>
        <v>0</v>
      </c>
      <c r="BG50" s="6">
        <f t="shared" si="145"/>
        <v>0</v>
      </c>
      <c r="BH50" s="5" t="e">
        <f t="shared" si="146"/>
        <v>#DIV/0!</v>
      </c>
      <c r="BI50" s="6">
        <f t="shared" si="147"/>
        <v>0</v>
      </c>
      <c r="BJ50" s="5" t="e">
        <f t="shared" si="148"/>
        <v>#DIV/0!</v>
      </c>
      <c r="BK50" s="20">
        <f t="shared" si="149"/>
        <v>-9.9999999999999998E-13</v>
      </c>
      <c r="BL50" s="20">
        <f t="shared" si="150"/>
        <v>0</v>
      </c>
      <c r="BM50" s="6">
        <f t="shared" si="151"/>
        <v>0</v>
      </c>
      <c r="BN50" s="5">
        <f t="shared" si="152"/>
        <v>0</v>
      </c>
      <c r="BO50" s="333">
        <f t="shared" si="153"/>
        <v>0</v>
      </c>
      <c r="BP50" s="334">
        <f t="shared" si="154"/>
        <v>0</v>
      </c>
      <c r="BQ50" s="6">
        <f t="shared" si="155"/>
        <v>0</v>
      </c>
      <c r="BR50" s="5">
        <f t="shared" si="156"/>
        <v>0</v>
      </c>
      <c r="BS50" s="6">
        <f t="shared" si="157"/>
        <v>0</v>
      </c>
      <c r="BT50" s="5">
        <f t="shared" si="158"/>
        <v>0</v>
      </c>
      <c r="BU50" s="181">
        <f t="shared" si="159"/>
        <v>0</v>
      </c>
      <c r="BV50" s="154">
        <f t="shared" si="160"/>
        <v>0</v>
      </c>
      <c r="BW50" s="181">
        <f t="shared" si="161"/>
        <v>0</v>
      </c>
      <c r="BX50" s="180">
        <f t="shared" si="162"/>
        <v>0</v>
      </c>
      <c r="BY50" s="181">
        <f t="shared" si="163"/>
        <v>0</v>
      </c>
      <c r="BZ50" s="154">
        <f t="shared" si="164"/>
        <v>0</v>
      </c>
      <c r="CA50" s="182">
        <f t="shared" si="165"/>
        <v>0</v>
      </c>
      <c r="CB50" s="2">
        <f t="shared" si="166"/>
        <v>0</v>
      </c>
      <c r="CC50" s="2">
        <f t="shared" si="167"/>
        <v>0</v>
      </c>
      <c r="CD50" s="2">
        <f t="shared" si="168"/>
        <v>0</v>
      </c>
      <c r="CE50" s="2">
        <f t="shared" si="169"/>
        <v>0</v>
      </c>
      <c r="CF50" s="6">
        <f t="shared" si="170"/>
        <v>0</v>
      </c>
      <c r="CG50" s="6">
        <f t="shared" si="171"/>
        <v>0</v>
      </c>
      <c r="CH50" s="6">
        <f t="shared" si="172"/>
        <v>0</v>
      </c>
      <c r="CI50" s="20">
        <f t="shared" si="173"/>
        <v>0</v>
      </c>
      <c r="CJ50" s="133">
        <f t="shared" si="174"/>
        <v>2521</v>
      </c>
      <c r="CK50" s="5">
        <f t="shared" si="175"/>
        <v>0</v>
      </c>
      <c r="CL50" s="300" t="s">
        <v>19</v>
      </c>
      <c r="CM50" s="296" t="s">
        <v>13</v>
      </c>
      <c r="CN50" s="296" t="s">
        <v>1282</v>
      </c>
      <c r="CO50" s="296">
        <v>23</v>
      </c>
      <c r="CP50" s="296" t="s">
        <v>1283</v>
      </c>
      <c r="CQ50" s="296" t="s">
        <v>1284</v>
      </c>
      <c r="CR50" s="296" t="s">
        <v>644</v>
      </c>
      <c r="CS50" s="296" t="s">
        <v>1234</v>
      </c>
      <c r="CT50" s="296" t="s">
        <v>682</v>
      </c>
      <c r="CU50" s="297">
        <v>48213</v>
      </c>
      <c r="CV50" s="296">
        <v>0</v>
      </c>
      <c r="CW50" s="296">
        <v>0</v>
      </c>
      <c r="CX50" s="296">
        <v>0</v>
      </c>
      <c r="CY50" s="296">
        <v>0</v>
      </c>
      <c r="CZ50" s="296">
        <v>0</v>
      </c>
      <c r="DA50" s="296">
        <v>0</v>
      </c>
      <c r="DB50" s="296">
        <v>0</v>
      </c>
      <c r="DC50" s="296">
        <v>0</v>
      </c>
      <c r="DD50" s="296">
        <v>0</v>
      </c>
      <c r="DE50" s="296">
        <v>0</v>
      </c>
      <c r="DF50" s="296">
        <v>0</v>
      </c>
      <c r="DG50" s="296">
        <v>0</v>
      </c>
      <c r="DH50" s="296">
        <v>0</v>
      </c>
      <c r="DI50" s="296">
        <v>0</v>
      </c>
      <c r="DJ50" s="296">
        <v>0</v>
      </c>
      <c r="DK50" s="296">
        <v>0</v>
      </c>
      <c r="DL50" s="296">
        <v>0</v>
      </c>
      <c r="DM50" s="296">
        <v>0</v>
      </c>
      <c r="DN50" s="296">
        <v>0</v>
      </c>
      <c r="DO50" s="296">
        <v>0</v>
      </c>
      <c r="DP50" s="296">
        <v>0</v>
      </c>
      <c r="DQ50" s="296">
        <v>0</v>
      </c>
      <c r="DR50" s="296">
        <v>0</v>
      </c>
      <c r="DS50" s="296">
        <v>0</v>
      </c>
      <c r="DT50" s="296">
        <v>0</v>
      </c>
      <c r="DU50" s="296">
        <v>0</v>
      </c>
      <c r="DV50" s="301" t="s">
        <v>548</v>
      </c>
    </row>
    <row r="51" spans="1:126" ht="24.95" customHeight="1" thickBot="1" x14ac:dyDescent="0.3">
      <c r="A51" s="29" t="str">
        <f t="shared" si="0"/>
        <v>50º</v>
      </c>
      <c r="B51" s="69" t="str">
        <f t="shared" si="89"/>
        <v>Igor Leonardo</v>
      </c>
      <c r="C51" s="269" t="str">
        <f t="shared" si="90"/>
        <v>BRA</v>
      </c>
      <c r="D51" s="99" t="str">
        <f t="shared" si="91"/>
        <v>Pé Direito</v>
      </c>
      <c r="E51" s="28" t="str">
        <f t="shared" si="92"/>
        <v>JUA</v>
      </c>
      <c r="F51" s="169">
        <f t="shared" si="93"/>
        <v>34</v>
      </c>
      <c r="G51" s="2" t="str">
        <f t="shared" si="94"/>
        <v>0 €</v>
      </c>
      <c r="H51" s="154">
        <f t="shared" si="95"/>
        <v>1.87</v>
      </c>
      <c r="I51" s="64">
        <f t="shared" si="96"/>
        <v>47118</v>
      </c>
      <c r="J51" s="304" t="str">
        <f t="shared" si="97"/>
        <v>3,2m € p/m</v>
      </c>
      <c r="K51" s="96">
        <f t="shared" si="10"/>
        <v>3.5222222222222221</v>
      </c>
      <c r="L51" s="146">
        <f t="shared" si="98"/>
        <v>0</v>
      </c>
      <c r="M51" s="6">
        <f t="shared" si="99"/>
        <v>0</v>
      </c>
      <c r="N51" s="5">
        <f t="shared" si="100"/>
        <v>5400</v>
      </c>
      <c r="O51" s="21">
        <f t="shared" si="101"/>
        <v>0</v>
      </c>
      <c r="P51" s="2">
        <f t="shared" si="102"/>
        <v>0</v>
      </c>
      <c r="Q51" s="2">
        <f t="shared" si="103"/>
        <v>0</v>
      </c>
      <c r="R51" s="5">
        <f t="shared" si="104"/>
        <v>0</v>
      </c>
      <c r="S51" s="2">
        <f t="shared" si="105"/>
        <v>0</v>
      </c>
      <c r="T51" s="2">
        <f t="shared" si="106"/>
        <v>0</v>
      </c>
      <c r="U51" s="102">
        <f t="shared" si="107"/>
        <v>0</v>
      </c>
      <c r="V51" s="102">
        <f t="shared" si="108"/>
        <v>0</v>
      </c>
      <c r="W51" s="6">
        <f t="shared" si="109"/>
        <v>0</v>
      </c>
      <c r="X51" s="5">
        <f t="shared" si="110"/>
        <v>0</v>
      </c>
      <c r="Y51" s="6">
        <f t="shared" si="111"/>
        <v>0</v>
      </c>
      <c r="Z51" s="5" t="e">
        <f t="shared" si="112"/>
        <v>#DIV/0!</v>
      </c>
      <c r="AA51" s="21">
        <f t="shared" si="113"/>
        <v>0</v>
      </c>
      <c r="AB51" s="6">
        <f t="shared" si="114"/>
        <v>0</v>
      </c>
      <c r="AC51" s="5" t="e">
        <f t="shared" si="115"/>
        <v>#DIV/0!</v>
      </c>
      <c r="AD51" s="6">
        <f t="shared" si="116"/>
        <v>0</v>
      </c>
      <c r="AE51" s="5">
        <f t="shared" si="117"/>
        <v>0</v>
      </c>
      <c r="AF51" s="21">
        <f t="shared" si="118"/>
        <v>0</v>
      </c>
      <c r="AG51" s="6">
        <f t="shared" si="119"/>
        <v>0</v>
      </c>
      <c r="AH51" s="5">
        <f t="shared" si="120"/>
        <v>0</v>
      </c>
      <c r="AI51" s="21">
        <f t="shared" si="121"/>
        <v>0</v>
      </c>
      <c r="AJ51" s="6">
        <f t="shared" si="122"/>
        <v>0</v>
      </c>
      <c r="AK51" s="5">
        <f t="shared" si="123"/>
        <v>0</v>
      </c>
      <c r="AL51" s="21">
        <f t="shared" si="124"/>
        <v>0</v>
      </c>
      <c r="AM51" s="21">
        <f t="shared" si="125"/>
        <v>0</v>
      </c>
      <c r="AN51" s="6">
        <f t="shared" si="126"/>
        <v>0</v>
      </c>
      <c r="AO51" s="5">
        <f t="shared" si="127"/>
        <v>0</v>
      </c>
      <c r="AP51" s="6">
        <f t="shared" si="128"/>
        <v>0</v>
      </c>
      <c r="AQ51" s="5">
        <f t="shared" si="129"/>
        <v>0</v>
      </c>
      <c r="AR51" s="2">
        <f t="shared" si="130"/>
        <v>0</v>
      </c>
      <c r="AS51" s="5">
        <f t="shared" si="131"/>
        <v>0</v>
      </c>
      <c r="AT51" s="21">
        <f t="shared" si="132"/>
        <v>0</v>
      </c>
      <c r="AU51" s="20">
        <f t="shared" si="133"/>
        <v>0</v>
      </c>
      <c r="AV51" s="20">
        <f t="shared" si="134"/>
        <v>1</v>
      </c>
      <c r="AW51" s="199">
        <f t="shared" si="135"/>
        <v>0</v>
      </c>
      <c r="AX51" s="24">
        <f t="shared" si="136"/>
        <v>0</v>
      </c>
      <c r="AY51" s="5">
        <f t="shared" si="137"/>
        <v>0</v>
      </c>
      <c r="AZ51" s="5">
        <f t="shared" si="138"/>
        <v>0</v>
      </c>
      <c r="BA51" s="5">
        <f t="shared" si="139"/>
        <v>0</v>
      </c>
      <c r="BB51" s="5">
        <f t="shared" si="140"/>
        <v>0</v>
      </c>
      <c r="BC51" s="5">
        <f t="shared" si="141"/>
        <v>0</v>
      </c>
      <c r="BD51" s="5">
        <f t="shared" si="142"/>
        <v>0</v>
      </c>
      <c r="BE51" s="199">
        <f t="shared" si="143"/>
        <v>0</v>
      </c>
      <c r="BF51" s="21">
        <f t="shared" si="144"/>
        <v>0</v>
      </c>
      <c r="BG51" s="6">
        <f t="shared" si="145"/>
        <v>0</v>
      </c>
      <c r="BH51" s="5" t="e">
        <f t="shared" si="146"/>
        <v>#DIV/0!</v>
      </c>
      <c r="BI51" s="6">
        <f t="shared" si="147"/>
        <v>0</v>
      </c>
      <c r="BJ51" s="5" t="e">
        <f t="shared" si="148"/>
        <v>#DIV/0!</v>
      </c>
      <c r="BK51" s="20">
        <f t="shared" si="149"/>
        <v>-9.9999999999999998E-13</v>
      </c>
      <c r="BL51" s="20">
        <f t="shared" si="150"/>
        <v>0</v>
      </c>
      <c r="BM51" s="6">
        <f t="shared" si="151"/>
        <v>0</v>
      </c>
      <c r="BN51" s="5">
        <f t="shared" si="152"/>
        <v>0</v>
      </c>
      <c r="BO51" s="333">
        <f t="shared" si="153"/>
        <v>0</v>
      </c>
      <c r="BP51" s="334">
        <f t="shared" si="154"/>
        <v>0</v>
      </c>
      <c r="BQ51" s="6">
        <f t="shared" si="155"/>
        <v>0</v>
      </c>
      <c r="BR51" s="5">
        <f t="shared" si="156"/>
        <v>0</v>
      </c>
      <c r="BS51" s="6">
        <f t="shared" si="157"/>
        <v>0</v>
      </c>
      <c r="BT51" s="5">
        <f t="shared" si="158"/>
        <v>0</v>
      </c>
      <c r="BU51" s="181">
        <f t="shared" si="159"/>
        <v>0</v>
      </c>
      <c r="BV51" s="154">
        <f t="shared" si="160"/>
        <v>0</v>
      </c>
      <c r="BW51" s="181">
        <f t="shared" si="161"/>
        <v>0</v>
      </c>
      <c r="BX51" s="180">
        <f t="shared" si="162"/>
        <v>0</v>
      </c>
      <c r="BY51" s="181">
        <f t="shared" si="163"/>
        <v>0</v>
      </c>
      <c r="BZ51" s="154">
        <f t="shared" si="164"/>
        <v>0</v>
      </c>
      <c r="CA51" s="182">
        <f t="shared" si="165"/>
        <v>0</v>
      </c>
      <c r="CB51" s="2">
        <f t="shared" si="166"/>
        <v>0</v>
      </c>
      <c r="CC51" s="2">
        <f t="shared" si="167"/>
        <v>0</v>
      </c>
      <c r="CD51" s="2">
        <f t="shared" si="168"/>
        <v>0</v>
      </c>
      <c r="CE51" s="2">
        <f t="shared" si="169"/>
        <v>0</v>
      </c>
      <c r="CF51" s="6">
        <f t="shared" si="170"/>
        <v>0</v>
      </c>
      <c r="CG51" s="6">
        <f t="shared" si="171"/>
        <v>0</v>
      </c>
      <c r="CH51" s="6">
        <f t="shared" si="172"/>
        <v>0</v>
      </c>
      <c r="CI51" s="20">
        <f t="shared" si="173"/>
        <v>0</v>
      </c>
      <c r="CJ51" s="133">
        <f t="shared" si="174"/>
        <v>2521</v>
      </c>
      <c r="CK51" s="5">
        <f t="shared" si="175"/>
        <v>0</v>
      </c>
      <c r="CL51" s="302"/>
      <c r="CM51" s="298" t="s">
        <v>13</v>
      </c>
      <c r="CN51" s="298" t="s">
        <v>1285</v>
      </c>
      <c r="CO51" s="298">
        <v>34</v>
      </c>
      <c r="CP51" s="298" t="s">
        <v>1286</v>
      </c>
      <c r="CQ51" s="298" t="s">
        <v>1131</v>
      </c>
      <c r="CR51" s="298" t="s">
        <v>644</v>
      </c>
      <c r="CS51" s="298" t="s">
        <v>1287</v>
      </c>
      <c r="CT51" s="298" t="s">
        <v>911</v>
      </c>
      <c r="CU51" s="299">
        <v>47118</v>
      </c>
      <c r="CV51" s="298">
        <v>0</v>
      </c>
      <c r="CW51" s="298">
        <v>0</v>
      </c>
      <c r="CX51" s="298">
        <v>0</v>
      </c>
      <c r="CY51" s="298">
        <v>0</v>
      </c>
      <c r="CZ51" s="298">
        <v>0</v>
      </c>
      <c r="DA51" s="298">
        <v>0</v>
      </c>
      <c r="DB51" s="298">
        <v>0</v>
      </c>
      <c r="DC51" s="298">
        <v>0</v>
      </c>
      <c r="DD51" s="298">
        <v>0</v>
      </c>
      <c r="DE51" s="298">
        <v>0</v>
      </c>
      <c r="DF51" s="298">
        <v>0</v>
      </c>
      <c r="DG51" s="298">
        <v>0</v>
      </c>
      <c r="DH51" s="298">
        <v>0</v>
      </c>
      <c r="DI51" s="298">
        <v>0</v>
      </c>
      <c r="DJ51" s="298">
        <v>0</v>
      </c>
      <c r="DK51" s="298">
        <v>0</v>
      </c>
      <c r="DL51" s="298">
        <v>0</v>
      </c>
      <c r="DM51" s="298">
        <v>0</v>
      </c>
      <c r="DN51" s="298">
        <v>0</v>
      </c>
      <c r="DO51" s="298">
        <v>0</v>
      </c>
      <c r="DP51" s="298">
        <v>0</v>
      </c>
      <c r="DQ51" s="298">
        <v>0</v>
      </c>
      <c r="DR51" s="298">
        <v>0</v>
      </c>
      <c r="DS51" s="298">
        <v>0</v>
      </c>
      <c r="DT51" s="298">
        <v>0</v>
      </c>
      <c r="DU51" s="298">
        <v>0</v>
      </c>
      <c r="DV51" s="303" t="s">
        <v>548</v>
      </c>
    </row>
    <row r="52" spans="1:126" ht="24.95" customHeight="1" thickBot="1" x14ac:dyDescent="0.3">
      <c r="A52" s="29" t="str">
        <f t="shared" si="0"/>
        <v>51º</v>
      </c>
      <c r="B52" s="69" t="str">
        <f t="shared" si="89"/>
        <v>Anderson Testa</v>
      </c>
      <c r="C52" s="269" t="str">
        <f t="shared" si="90"/>
        <v>BRA</v>
      </c>
      <c r="D52" s="99" t="str">
        <f t="shared" si="91"/>
        <v>Somente Pé Direito</v>
      </c>
      <c r="E52" s="28" t="str">
        <f t="shared" si="92"/>
        <v>America (RJ)</v>
      </c>
      <c r="F52" s="169">
        <f t="shared" si="93"/>
        <v>37</v>
      </c>
      <c r="G52" s="2" t="str">
        <f t="shared" si="94"/>
        <v>0 €</v>
      </c>
      <c r="H52" s="154">
        <f t="shared" si="95"/>
        <v>1.94</v>
      </c>
      <c r="I52" s="64">
        <f t="shared" si="96"/>
        <v>47118</v>
      </c>
      <c r="J52" s="304" t="str">
        <f t="shared" si="97"/>
        <v>1,5m € p/m</v>
      </c>
      <c r="K52" s="96">
        <f t="shared" si="10"/>
        <v>3.5222222222222221</v>
      </c>
      <c r="L52" s="146">
        <f t="shared" si="98"/>
        <v>3.2333333333333334</v>
      </c>
      <c r="M52" s="6">
        <f t="shared" si="99"/>
        <v>0</v>
      </c>
      <c r="N52" s="5">
        <f t="shared" si="100"/>
        <v>5400</v>
      </c>
      <c r="O52" s="21">
        <f t="shared" si="101"/>
        <v>0</v>
      </c>
      <c r="P52" s="2">
        <f t="shared" si="102"/>
        <v>87</v>
      </c>
      <c r="Q52" s="2">
        <f t="shared" si="103"/>
        <v>82</v>
      </c>
      <c r="R52" s="5">
        <f t="shared" si="104"/>
        <v>25.36082474226804</v>
      </c>
      <c r="S52" s="2">
        <f t="shared" si="105"/>
        <v>5</v>
      </c>
      <c r="T52" s="2">
        <f t="shared" si="106"/>
        <v>77</v>
      </c>
      <c r="U52" s="102">
        <f t="shared" si="107"/>
        <v>5.7471264367816091E-2</v>
      </c>
      <c r="V52" s="102">
        <f t="shared" si="108"/>
        <v>0.94252873563218387</v>
      </c>
      <c r="W52" s="6">
        <f t="shared" si="109"/>
        <v>87</v>
      </c>
      <c r="X52" s="5">
        <f t="shared" si="110"/>
        <v>26.907216494845361</v>
      </c>
      <c r="Y52" s="6">
        <f t="shared" si="111"/>
        <v>0</v>
      </c>
      <c r="Z52" s="5">
        <f t="shared" si="112"/>
        <v>0</v>
      </c>
      <c r="AA52" s="21">
        <f t="shared" si="113"/>
        <v>0</v>
      </c>
      <c r="AB52" s="6">
        <f t="shared" si="114"/>
        <v>0</v>
      </c>
      <c r="AC52" s="5">
        <f t="shared" si="115"/>
        <v>0</v>
      </c>
      <c r="AD52" s="6">
        <f t="shared" si="116"/>
        <v>3</v>
      </c>
      <c r="AE52" s="5">
        <f t="shared" si="117"/>
        <v>0.92783505154639179</v>
      </c>
      <c r="AF52" s="21">
        <f t="shared" si="118"/>
        <v>0.33333333333333331</v>
      </c>
      <c r="AG52" s="6">
        <f t="shared" si="119"/>
        <v>1</v>
      </c>
      <c r="AH52" s="5">
        <f t="shared" si="120"/>
        <v>0.30927835051546393</v>
      </c>
      <c r="AI52" s="21">
        <f t="shared" si="121"/>
        <v>0.1111111111111111</v>
      </c>
      <c r="AJ52" s="6">
        <f t="shared" si="122"/>
        <v>5</v>
      </c>
      <c r="AK52" s="5">
        <f t="shared" si="123"/>
        <v>0.19715447154471546</v>
      </c>
      <c r="AL52" s="21">
        <f t="shared" si="124"/>
        <v>0.55555555555555558</v>
      </c>
      <c r="AM52" s="21">
        <f t="shared" si="125"/>
        <v>0.30927835051546393</v>
      </c>
      <c r="AN52" s="6">
        <f t="shared" si="126"/>
        <v>1</v>
      </c>
      <c r="AO52" s="5">
        <f t="shared" si="127"/>
        <v>0.30927835051546393</v>
      </c>
      <c r="AP52" s="6">
        <f t="shared" si="128"/>
        <v>9</v>
      </c>
      <c r="AQ52" s="5">
        <f t="shared" si="129"/>
        <v>2.7835051546391751</v>
      </c>
      <c r="AR52" s="2">
        <f t="shared" si="130"/>
        <v>14</v>
      </c>
      <c r="AS52" s="5">
        <f t="shared" si="131"/>
        <v>4.3298969072164946</v>
      </c>
      <c r="AT52" s="21">
        <f t="shared" si="132"/>
        <v>0.6428571428571429</v>
      </c>
      <c r="AU52" s="20">
        <f t="shared" si="133"/>
        <v>0.54545454545454541</v>
      </c>
      <c r="AV52" s="20">
        <f t="shared" si="134"/>
        <v>0.35714285714285721</v>
      </c>
      <c r="AW52" s="199">
        <f t="shared" si="135"/>
        <v>0.8928571428571429</v>
      </c>
      <c r="AX52" s="24">
        <f t="shared" si="136"/>
        <v>58.2</v>
      </c>
      <c r="AY52" s="5">
        <f t="shared" si="137"/>
        <v>2.8</v>
      </c>
      <c r="AZ52" s="5">
        <f t="shared" si="138"/>
        <v>2.2000000000000002</v>
      </c>
      <c r="BA52" s="5">
        <f t="shared" si="139"/>
        <v>0.24</v>
      </c>
      <c r="BB52" s="5">
        <f t="shared" si="140"/>
        <v>7.422680412371134E-2</v>
      </c>
      <c r="BC52" s="5">
        <f t="shared" si="141"/>
        <v>0.24</v>
      </c>
      <c r="BD52" s="5">
        <f t="shared" si="142"/>
        <v>7.422680412371134E-2</v>
      </c>
      <c r="BE52" s="199">
        <f t="shared" si="143"/>
        <v>0.24</v>
      </c>
      <c r="BF52" s="21">
        <f t="shared" si="144"/>
        <v>4.5801526717557245E-2</v>
      </c>
      <c r="BG52" s="6">
        <f t="shared" si="145"/>
        <v>1</v>
      </c>
      <c r="BH52" s="5">
        <f t="shared" si="146"/>
        <v>0.30927835051546393</v>
      </c>
      <c r="BI52" s="6">
        <f t="shared" si="147"/>
        <v>0</v>
      </c>
      <c r="BJ52" s="5">
        <f t="shared" si="148"/>
        <v>0</v>
      </c>
      <c r="BK52" s="20">
        <f t="shared" si="149"/>
        <v>0</v>
      </c>
      <c r="BL52" s="20">
        <f t="shared" si="150"/>
        <v>3.3715441672285905E-3</v>
      </c>
      <c r="BM52" s="6">
        <f t="shared" si="151"/>
        <v>5</v>
      </c>
      <c r="BN52" s="5">
        <f t="shared" si="152"/>
        <v>1.5463917525773196</v>
      </c>
      <c r="BO52" s="333">
        <f t="shared" si="153"/>
        <v>1</v>
      </c>
      <c r="BP52" s="334">
        <f t="shared" si="154"/>
        <v>0.30927835051546393</v>
      </c>
      <c r="BQ52" s="6">
        <f t="shared" si="155"/>
        <v>1.94</v>
      </c>
      <c r="BR52" s="5">
        <f t="shared" si="156"/>
        <v>0.6</v>
      </c>
      <c r="BS52" s="6">
        <f t="shared" si="157"/>
        <v>29.1</v>
      </c>
      <c r="BT52" s="5">
        <f t="shared" si="158"/>
        <v>9</v>
      </c>
      <c r="BU52" s="181">
        <f t="shared" si="159"/>
        <v>2</v>
      </c>
      <c r="BV52" s="154">
        <f t="shared" si="160"/>
        <v>0.61855670103092786</v>
      </c>
      <c r="BW52" s="181">
        <f t="shared" si="161"/>
        <v>0</v>
      </c>
      <c r="BX52" s="180">
        <f t="shared" si="162"/>
        <v>0</v>
      </c>
      <c r="BY52" s="181">
        <f t="shared" si="163"/>
        <v>1</v>
      </c>
      <c r="BZ52" s="154">
        <f t="shared" si="164"/>
        <v>0.30927835051546393</v>
      </c>
      <c r="CA52" s="182">
        <f t="shared" si="165"/>
        <v>0</v>
      </c>
      <c r="CB52" s="2">
        <f t="shared" si="166"/>
        <v>0</v>
      </c>
      <c r="CC52" s="2">
        <f t="shared" si="167"/>
        <v>0</v>
      </c>
      <c r="CD52" s="2">
        <f t="shared" si="168"/>
        <v>0</v>
      </c>
      <c r="CE52" s="2">
        <f t="shared" si="169"/>
        <v>0</v>
      </c>
      <c r="CF52" s="6">
        <f t="shared" si="170"/>
        <v>0</v>
      </c>
      <c r="CG52" s="6">
        <f t="shared" si="171"/>
        <v>119.47</v>
      </c>
      <c r="CH52" s="6">
        <f t="shared" si="172"/>
        <v>91</v>
      </c>
      <c r="CI52" s="20">
        <f t="shared" si="173"/>
        <v>0.76169749727965175</v>
      </c>
      <c r="CJ52" s="133">
        <f t="shared" si="174"/>
        <v>2521</v>
      </c>
      <c r="CK52" s="5">
        <f t="shared" si="175"/>
        <v>6.3</v>
      </c>
      <c r="CL52" s="300" t="s">
        <v>1119</v>
      </c>
      <c r="CM52" s="296" t="s">
        <v>13</v>
      </c>
      <c r="CN52" s="296" t="s">
        <v>1288</v>
      </c>
      <c r="CO52" s="296">
        <v>37</v>
      </c>
      <c r="CP52" s="296" t="s">
        <v>1289</v>
      </c>
      <c r="CQ52" s="296" t="s">
        <v>1131</v>
      </c>
      <c r="CR52" s="296" t="s">
        <v>645</v>
      </c>
      <c r="CS52" s="296" t="s">
        <v>1182</v>
      </c>
      <c r="CT52" s="296" t="s">
        <v>910</v>
      </c>
      <c r="CU52" s="297">
        <v>47118</v>
      </c>
      <c r="CV52" s="296">
        <v>0</v>
      </c>
      <c r="CW52" s="296">
        <v>291</v>
      </c>
      <c r="CX52" s="296">
        <v>5</v>
      </c>
      <c r="CY52" s="296">
        <v>3</v>
      </c>
      <c r="CZ52" s="296">
        <v>1</v>
      </c>
      <c r="DA52" s="296">
        <v>5</v>
      </c>
      <c r="DB52" s="296">
        <v>0</v>
      </c>
      <c r="DC52" s="296">
        <v>0.6</v>
      </c>
      <c r="DD52" s="296">
        <v>9</v>
      </c>
      <c r="DE52" s="296">
        <v>1</v>
      </c>
      <c r="DF52" s="296">
        <v>0</v>
      </c>
      <c r="DG52" s="296">
        <v>0</v>
      </c>
      <c r="DH52" s="296">
        <v>0</v>
      </c>
      <c r="DI52" s="296">
        <v>0</v>
      </c>
      <c r="DJ52" s="296">
        <v>0</v>
      </c>
      <c r="DK52" s="296">
        <v>0</v>
      </c>
      <c r="DL52" s="296">
        <v>87</v>
      </c>
      <c r="DM52" s="296">
        <v>82</v>
      </c>
      <c r="DN52" s="296" t="s">
        <v>1290</v>
      </c>
      <c r="DO52" s="296">
        <v>0</v>
      </c>
      <c r="DP52" s="296">
        <v>1</v>
      </c>
      <c r="DQ52" s="296">
        <v>1</v>
      </c>
      <c r="DR52" s="296">
        <v>0</v>
      </c>
      <c r="DS52" s="296">
        <v>0</v>
      </c>
      <c r="DT52" s="296">
        <v>1</v>
      </c>
      <c r="DU52" s="296">
        <v>0</v>
      </c>
      <c r="DV52" s="301">
        <v>6.3</v>
      </c>
    </row>
    <row r="53" spans="1:126" ht="24.95" customHeight="1" thickBot="1" x14ac:dyDescent="0.3">
      <c r="A53" s="29" t="str">
        <f t="shared" si="0"/>
        <v>52º</v>
      </c>
      <c r="B53" s="69" t="str">
        <f t="shared" si="89"/>
        <v>Matheus Gonçalves</v>
      </c>
      <c r="C53" s="269" t="str">
        <f t="shared" si="90"/>
        <v>BRA</v>
      </c>
      <c r="D53" s="99" t="str">
        <f t="shared" si="91"/>
        <v>Pé Direito</v>
      </c>
      <c r="E53" s="28" t="str">
        <f t="shared" si="92"/>
        <v>Bangu</v>
      </c>
      <c r="F53" s="169">
        <f t="shared" si="93"/>
        <v>24</v>
      </c>
      <c r="G53" s="2" t="str">
        <f t="shared" si="94"/>
        <v>0 €</v>
      </c>
      <c r="H53" s="154">
        <f t="shared" si="95"/>
        <v>1.97</v>
      </c>
      <c r="I53" s="64">
        <f t="shared" si="96"/>
        <v>47118</v>
      </c>
      <c r="J53" s="304" t="str">
        <f t="shared" si="97"/>
        <v>1,4m € p/m</v>
      </c>
      <c r="K53" s="96">
        <f t="shared" si="10"/>
        <v>3.5222222222222221</v>
      </c>
      <c r="L53" s="146">
        <f t="shared" si="98"/>
        <v>2.2666666666666666</v>
      </c>
      <c r="M53" s="6">
        <f t="shared" si="99"/>
        <v>0</v>
      </c>
      <c r="N53" s="5">
        <f t="shared" si="100"/>
        <v>5400</v>
      </c>
      <c r="O53" s="21">
        <f t="shared" si="101"/>
        <v>0</v>
      </c>
      <c r="P53" s="2">
        <f t="shared" si="102"/>
        <v>60</v>
      </c>
      <c r="Q53" s="2">
        <f t="shared" si="103"/>
        <v>36</v>
      </c>
      <c r="R53" s="5">
        <f t="shared" si="104"/>
        <v>15.882352941176471</v>
      </c>
      <c r="S53" s="2">
        <f t="shared" si="105"/>
        <v>24</v>
      </c>
      <c r="T53" s="2">
        <f t="shared" si="106"/>
        <v>12</v>
      </c>
      <c r="U53" s="102">
        <f t="shared" si="107"/>
        <v>0.4</v>
      </c>
      <c r="V53" s="102">
        <f t="shared" si="108"/>
        <v>0.6</v>
      </c>
      <c r="W53" s="6">
        <f t="shared" si="109"/>
        <v>60</v>
      </c>
      <c r="X53" s="5">
        <f t="shared" si="110"/>
        <v>26.47058823529412</v>
      </c>
      <c r="Y53" s="6">
        <f t="shared" si="111"/>
        <v>0</v>
      </c>
      <c r="Z53" s="5">
        <f t="shared" si="112"/>
        <v>0</v>
      </c>
      <c r="AA53" s="21">
        <f t="shared" si="113"/>
        <v>0</v>
      </c>
      <c r="AB53" s="6">
        <f t="shared" si="114"/>
        <v>0</v>
      </c>
      <c r="AC53" s="5">
        <f t="shared" si="115"/>
        <v>0</v>
      </c>
      <c r="AD53" s="6">
        <f t="shared" si="116"/>
        <v>0</v>
      </c>
      <c r="AE53" s="5">
        <f t="shared" si="117"/>
        <v>0</v>
      </c>
      <c r="AF53" s="21">
        <f t="shared" si="118"/>
        <v>0</v>
      </c>
      <c r="AG53" s="6">
        <f t="shared" si="119"/>
        <v>0</v>
      </c>
      <c r="AH53" s="5">
        <f t="shared" si="120"/>
        <v>0</v>
      </c>
      <c r="AI53" s="21">
        <f t="shared" si="121"/>
        <v>0</v>
      </c>
      <c r="AJ53" s="6">
        <f t="shared" si="122"/>
        <v>0</v>
      </c>
      <c r="AK53" s="5">
        <f t="shared" si="123"/>
        <v>0</v>
      </c>
      <c r="AL53" s="21">
        <f t="shared" si="124"/>
        <v>0</v>
      </c>
      <c r="AM53" s="21">
        <f t="shared" si="125"/>
        <v>0.44117647058823528</v>
      </c>
      <c r="AN53" s="6">
        <f t="shared" si="126"/>
        <v>1</v>
      </c>
      <c r="AO53" s="5">
        <f t="shared" si="127"/>
        <v>0.44117647058823528</v>
      </c>
      <c r="AP53" s="6">
        <f t="shared" si="128"/>
        <v>0</v>
      </c>
      <c r="AQ53" s="5">
        <f t="shared" si="129"/>
        <v>0</v>
      </c>
      <c r="AR53" s="2">
        <f t="shared" si="130"/>
        <v>3</v>
      </c>
      <c r="AS53" s="5">
        <f t="shared" si="131"/>
        <v>1.3235294117647058</v>
      </c>
      <c r="AT53" s="21">
        <f t="shared" si="132"/>
        <v>0</v>
      </c>
      <c r="AU53" s="20">
        <f t="shared" si="133"/>
        <v>0</v>
      </c>
      <c r="AV53" s="20">
        <f t="shared" si="134"/>
        <v>1</v>
      </c>
      <c r="AW53" s="199">
        <f t="shared" si="135"/>
        <v>0</v>
      </c>
      <c r="AX53" s="24">
        <f t="shared" si="136"/>
        <v>68</v>
      </c>
      <c r="AY53" s="5">
        <f t="shared" si="137"/>
        <v>1</v>
      </c>
      <c r="AZ53" s="5">
        <f t="shared" si="138"/>
        <v>1</v>
      </c>
      <c r="BA53" s="5">
        <f t="shared" si="139"/>
        <v>0</v>
      </c>
      <c r="BB53" s="5">
        <f t="shared" si="140"/>
        <v>0</v>
      </c>
      <c r="BC53" s="5">
        <f t="shared" si="141"/>
        <v>0</v>
      </c>
      <c r="BD53" s="5">
        <f t="shared" si="142"/>
        <v>0</v>
      </c>
      <c r="BE53" s="199">
        <f t="shared" si="143"/>
        <v>0</v>
      </c>
      <c r="BF53" s="21">
        <f t="shared" si="144"/>
        <v>0</v>
      </c>
      <c r="BG53" s="6">
        <f t="shared" si="145"/>
        <v>0</v>
      </c>
      <c r="BH53" s="5">
        <f t="shared" si="146"/>
        <v>0</v>
      </c>
      <c r="BI53" s="6">
        <f t="shared" si="147"/>
        <v>0</v>
      </c>
      <c r="BJ53" s="5">
        <f t="shared" si="148"/>
        <v>0</v>
      </c>
      <c r="BK53" s="20">
        <f t="shared" si="149"/>
        <v>-9.9999999999999998E-13</v>
      </c>
      <c r="BL53" s="20">
        <f t="shared" si="150"/>
        <v>2.0229265003371545E-3</v>
      </c>
      <c r="BM53" s="6">
        <f t="shared" si="151"/>
        <v>3</v>
      </c>
      <c r="BN53" s="5">
        <f t="shared" si="152"/>
        <v>1.3235294117647058</v>
      </c>
      <c r="BO53" s="333">
        <f t="shared" si="153"/>
        <v>0</v>
      </c>
      <c r="BP53" s="334">
        <f t="shared" si="154"/>
        <v>0</v>
      </c>
      <c r="BQ53" s="6">
        <f t="shared" si="155"/>
        <v>0</v>
      </c>
      <c r="BR53" s="5">
        <f t="shared" si="156"/>
        <v>0</v>
      </c>
      <c r="BS53" s="6">
        <f t="shared" si="157"/>
        <v>0</v>
      </c>
      <c r="BT53" s="5">
        <f t="shared" si="158"/>
        <v>0</v>
      </c>
      <c r="BU53" s="181">
        <f t="shared" si="159"/>
        <v>0</v>
      </c>
      <c r="BV53" s="154">
        <f t="shared" si="160"/>
        <v>0</v>
      </c>
      <c r="BW53" s="181">
        <f t="shared" si="161"/>
        <v>0</v>
      </c>
      <c r="BX53" s="180">
        <f t="shared" si="162"/>
        <v>0</v>
      </c>
      <c r="BY53" s="181">
        <f t="shared" si="163"/>
        <v>0</v>
      </c>
      <c r="BZ53" s="154">
        <f t="shared" si="164"/>
        <v>0</v>
      </c>
      <c r="CA53" s="182">
        <f t="shared" si="165"/>
        <v>0</v>
      </c>
      <c r="CB53" s="2">
        <f t="shared" si="166"/>
        <v>0</v>
      </c>
      <c r="CC53" s="2">
        <f t="shared" si="167"/>
        <v>0</v>
      </c>
      <c r="CD53" s="2">
        <f t="shared" si="168"/>
        <v>0</v>
      </c>
      <c r="CE53" s="2">
        <f t="shared" si="169"/>
        <v>0</v>
      </c>
      <c r="CF53" s="6">
        <f t="shared" si="170"/>
        <v>0</v>
      </c>
      <c r="CG53" s="6">
        <f t="shared" si="171"/>
        <v>65</v>
      </c>
      <c r="CH53" s="6">
        <f t="shared" si="172"/>
        <v>36</v>
      </c>
      <c r="CI53" s="20">
        <f t="shared" si="173"/>
        <v>0.55384615384615388</v>
      </c>
      <c r="CJ53" s="133">
        <f t="shared" si="174"/>
        <v>2521</v>
      </c>
      <c r="CK53" s="5">
        <f t="shared" si="175"/>
        <v>6.5</v>
      </c>
      <c r="CL53" s="302"/>
      <c r="CM53" s="298" t="s">
        <v>13</v>
      </c>
      <c r="CN53" s="298" t="s">
        <v>1186</v>
      </c>
      <c r="CO53" s="298">
        <v>24</v>
      </c>
      <c r="CP53" s="298" t="s">
        <v>1291</v>
      </c>
      <c r="CQ53" s="298" t="s">
        <v>1131</v>
      </c>
      <c r="CR53" s="298" t="s">
        <v>644</v>
      </c>
      <c r="CS53" s="298" t="s">
        <v>1170</v>
      </c>
      <c r="CT53" s="298" t="s">
        <v>1281</v>
      </c>
      <c r="CU53" s="299">
        <v>47118</v>
      </c>
      <c r="CV53" s="298">
        <v>0</v>
      </c>
      <c r="CW53" s="298">
        <v>204</v>
      </c>
      <c r="CX53" s="298">
        <v>3</v>
      </c>
      <c r="CY53" s="298">
        <v>0</v>
      </c>
      <c r="CZ53" s="298">
        <v>0</v>
      </c>
      <c r="DA53" s="298">
        <v>0</v>
      </c>
      <c r="DB53" s="298">
        <v>0</v>
      </c>
      <c r="DC53" s="298">
        <v>0</v>
      </c>
      <c r="DD53" s="298">
        <v>0</v>
      </c>
      <c r="DE53" s="298">
        <v>1</v>
      </c>
      <c r="DF53" s="298">
        <v>0</v>
      </c>
      <c r="DG53" s="298">
        <v>0</v>
      </c>
      <c r="DH53" s="298">
        <v>0</v>
      </c>
      <c r="DI53" s="298">
        <v>0</v>
      </c>
      <c r="DJ53" s="298">
        <v>0</v>
      </c>
      <c r="DK53" s="298">
        <v>0</v>
      </c>
      <c r="DL53" s="298">
        <v>60</v>
      </c>
      <c r="DM53" s="298">
        <v>36</v>
      </c>
      <c r="DN53" s="298">
        <v>0</v>
      </c>
      <c r="DO53" s="298">
        <v>0</v>
      </c>
      <c r="DP53" s="298">
        <v>0</v>
      </c>
      <c r="DQ53" s="298">
        <v>0</v>
      </c>
      <c r="DR53" s="298">
        <v>0</v>
      </c>
      <c r="DS53" s="298">
        <v>0</v>
      </c>
      <c r="DT53" s="298">
        <v>0</v>
      </c>
      <c r="DU53" s="298">
        <v>0</v>
      </c>
      <c r="DV53" s="303">
        <v>6.5</v>
      </c>
    </row>
    <row r="54" spans="1:126" ht="24.95" customHeight="1" thickBot="1" x14ac:dyDescent="0.3">
      <c r="A54" s="29" t="str">
        <f t="shared" si="0"/>
        <v>53º</v>
      </c>
      <c r="B54" s="69" t="str">
        <f t="shared" si="89"/>
        <v>Murilo D'angelo</v>
      </c>
      <c r="C54" s="269" t="str">
        <f t="shared" si="90"/>
        <v>BRA</v>
      </c>
      <c r="D54" s="99" t="str">
        <f t="shared" si="91"/>
        <v>Somente Pé Direito</v>
      </c>
      <c r="E54" s="28" t="str">
        <f t="shared" si="92"/>
        <v>FOR</v>
      </c>
      <c r="F54" s="169">
        <f t="shared" si="93"/>
        <v>24</v>
      </c>
      <c r="G54" s="2" t="str">
        <f t="shared" si="94"/>
        <v>0 €</v>
      </c>
      <c r="H54" s="154">
        <f t="shared" si="95"/>
        <v>1.84</v>
      </c>
      <c r="I54" s="64">
        <f t="shared" si="96"/>
        <v>47483</v>
      </c>
      <c r="J54" s="304" t="str">
        <f t="shared" si="97"/>
        <v>4,2m € p/m</v>
      </c>
      <c r="K54" s="96">
        <f t="shared" si="10"/>
        <v>3.5222222222222221</v>
      </c>
      <c r="L54" s="146">
        <f t="shared" si="98"/>
        <v>0.87777777777777777</v>
      </c>
      <c r="M54" s="6">
        <f t="shared" si="99"/>
        <v>0</v>
      </c>
      <c r="N54" s="5">
        <f t="shared" si="100"/>
        <v>5400</v>
      </c>
      <c r="O54" s="21">
        <f t="shared" si="101"/>
        <v>0</v>
      </c>
      <c r="P54" s="2">
        <f t="shared" si="102"/>
        <v>23</v>
      </c>
      <c r="Q54" s="2">
        <f t="shared" si="103"/>
        <v>16</v>
      </c>
      <c r="R54" s="5">
        <f t="shared" si="104"/>
        <v>18.227848101265824</v>
      </c>
      <c r="S54" s="2">
        <f t="shared" si="105"/>
        <v>7</v>
      </c>
      <c r="T54" s="2">
        <f t="shared" si="106"/>
        <v>9</v>
      </c>
      <c r="U54" s="102">
        <f t="shared" si="107"/>
        <v>0.30434782608695654</v>
      </c>
      <c r="V54" s="102">
        <f t="shared" si="108"/>
        <v>0.69565217391304346</v>
      </c>
      <c r="W54" s="6">
        <f t="shared" si="109"/>
        <v>23</v>
      </c>
      <c r="X54" s="5">
        <f t="shared" si="110"/>
        <v>26.202531645569621</v>
      </c>
      <c r="Y54" s="6">
        <f t="shared" si="111"/>
        <v>0</v>
      </c>
      <c r="Z54" s="5">
        <f t="shared" si="112"/>
        <v>0</v>
      </c>
      <c r="AA54" s="21">
        <f t="shared" si="113"/>
        <v>0</v>
      </c>
      <c r="AB54" s="6">
        <f t="shared" si="114"/>
        <v>0</v>
      </c>
      <c r="AC54" s="5">
        <f t="shared" si="115"/>
        <v>0</v>
      </c>
      <c r="AD54" s="6">
        <f t="shared" si="116"/>
        <v>0</v>
      </c>
      <c r="AE54" s="5">
        <f t="shared" si="117"/>
        <v>0</v>
      </c>
      <c r="AF54" s="21">
        <f t="shared" si="118"/>
        <v>0</v>
      </c>
      <c r="AG54" s="6">
        <f t="shared" si="119"/>
        <v>0</v>
      </c>
      <c r="AH54" s="5">
        <f t="shared" si="120"/>
        <v>0</v>
      </c>
      <c r="AI54" s="21">
        <f t="shared" si="121"/>
        <v>0</v>
      </c>
      <c r="AJ54" s="6">
        <f t="shared" si="122"/>
        <v>0</v>
      </c>
      <c r="AK54" s="5">
        <f t="shared" si="123"/>
        <v>0</v>
      </c>
      <c r="AL54" s="21">
        <f t="shared" si="124"/>
        <v>0</v>
      </c>
      <c r="AM54" s="21">
        <f t="shared" si="125"/>
        <v>0</v>
      </c>
      <c r="AN54" s="6">
        <f t="shared" si="126"/>
        <v>0</v>
      </c>
      <c r="AO54" s="5">
        <f t="shared" si="127"/>
        <v>0</v>
      </c>
      <c r="AP54" s="6">
        <f t="shared" si="128"/>
        <v>0</v>
      </c>
      <c r="AQ54" s="5">
        <f t="shared" si="129"/>
        <v>0</v>
      </c>
      <c r="AR54" s="2">
        <f t="shared" si="130"/>
        <v>1</v>
      </c>
      <c r="AS54" s="5">
        <f t="shared" si="131"/>
        <v>1.139240506329114</v>
      </c>
      <c r="AT54" s="21">
        <f t="shared" si="132"/>
        <v>0</v>
      </c>
      <c r="AU54" s="20">
        <f t="shared" si="133"/>
        <v>0</v>
      </c>
      <c r="AV54" s="20">
        <f t="shared" si="134"/>
        <v>1</v>
      </c>
      <c r="AW54" s="199">
        <f t="shared" si="135"/>
        <v>0</v>
      </c>
      <c r="AX54" s="24">
        <f t="shared" si="136"/>
        <v>79</v>
      </c>
      <c r="AY54" s="5">
        <f t="shared" si="137"/>
        <v>1</v>
      </c>
      <c r="AZ54" s="5">
        <f t="shared" si="138"/>
        <v>1</v>
      </c>
      <c r="BA54" s="5">
        <f t="shared" si="139"/>
        <v>-0.27</v>
      </c>
      <c r="BB54" s="5">
        <f t="shared" si="140"/>
        <v>-0.30759493670886079</v>
      </c>
      <c r="BC54" s="5">
        <f t="shared" si="141"/>
        <v>-0.27</v>
      </c>
      <c r="BD54" s="5">
        <f t="shared" si="142"/>
        <v>-0.30759493670886079</v>
      </c>
      <c r="BE54" s="199">
        <f t="shared" si="143"/>
        <v>-0.30759493670886079</v>
      </c>
      <c r="BF54" s="21">
        <f t="shared" si="144"/>
        <v>-0.36986301369863017</v>
      </c>
      <c r="BG54" s="6">
        <f t="shared" si="145"/>
        <v>0</v>
      </c>
      <c r="BH54" s="5">
        <f t="shared" si="146"/>
        <v>0</v>
      </c>
      <c r="BI54" s="6">
        <f t="shared" si="147"/>
        <v>0</v>
      </c>
      <c r="BJ54" s="5">
        <f t="shared" si="148"/>
        <v>0</v>
      </c>
      <c r="BK54" s="20">
        <f t="shared" si="149"/>
        <v>-9.9999999999999998E-13</v>
      </c>
      <c r="BL54" s="20">
        <f t="shared" si="150"/>
        <v>6.7430883344571813E-4</v>
      </c>
      <c r="BM54" s="6">
        <f t="shared" si="151"/>
        <v>1</v>
      </c>
      <c r="BN54" s="5">
        <f t="shared" si="152"/>
        <v>1.139240506329114</v>
      </c>
      <c r="BO54" s="333">
        <f t="shared" si="153"/>
        <v>0</v>
      </c>
      <c r="BP54" s="334">
        <f t="shared" si="154"/>
        <v>0</v>
      </c>
      <c r="BQ54" s="6">
        <f t="shared" si="155"/>
        <v>0</v>
      </c>
      <c r="BR54" s="5">
        <f t="shared" si="156"/>
        <v>0</v>
      </c>
      <c r="BS54" s="6">
        <f t="shared" si="157"/>
        <v>10.006666666666668</v>
      </c>
      <c r="BT54" s="5">
        <f t="shared" si="158"/>
        <v>11.4</v>
      </c>
      <c r="BU54" s="181">
        <f t="shared" si="159"/>
        <v>0</v>
      </c>
      <c r="BV54" s="154">
        <f t="shared" si="160"/>
        <v>0</v>
      </c>
      <c r="BW54" s="181">
        <f t="shared" si="161"/>
        <v>0</v>
      </c>
      <c r="BX54" s="180">
        <f t="shared" si="162"/>
        <v>0</v>
      </c>
      <c r="BY54" s="181">
        <f t="shared" si="163"/>
        <v>0</v>
      </c>
      <c r="BZ54" s="154">
        <f t="shared" si="164"/>
        <v>0</v>
      </c>
      <c r="CA54" s="182">
        <f t="shared" si="165"/>
        <v>0</v>
      </c>
      <c r="CB54" s="2">
        <f t="shared" si="166"/>
        <v>0</v>
      </c>
      <c r="CC54" s="2">
        <f t="shared" si="167"/>
        <v>0</v>
      </c>
      <c r="CD54" s="2">
        <f t="shared" si="168"/>
        <v>0</v>
      </c>
      <c r="CE54" s="2">
        <f t="shared" si="169"/>
        <v>0</v>
      </c>
      <c r="CF54" s="6">
        <f t="shared" si="170"/>
        <v>0</v>
      </c>
      <c r="CG54" s="6">
        <f t="shared" si="171"/>
        <v>39.161999999999999</v>
      </c>
      <c r="CH54" s="6">
        <f t="shared" si="172"/>
        <v>16</v>
      </c>
      <c r="CI54" s="20">
        <f t="shared" si="173"/>
        <v>0.40855931770593945</v>
      </c>
      <c r="CJ54" s="133">
        <f t="shared" si="174"/>
        <v>2521</v>
      </c>
      <c r="CK54" s="5">
        <f t="shared" si="175"/>
        <v>6.6</v>
      </c>
      <c r="CL54" s="300"/>
      <c r="CM54" s="296" t="s">
        <v>13</v>
      </c>
      <c r="CN54" s="296" t="s">
        <v>1292</v>
      </c>
      <c r="CO54" s="296">
        <v>24</v>
      </c>
      <c r="CP54" s="296" t="s">
        <v>1293</v>
      </c>
      <c r="CQ54" s="296" t="s">
        <v>1131</v>
      </c>
      <c r="CR54" s="296" t="s">
        <v>645</v>
      </c>
      <c r="CS54" s="296" t="s">
        <v>1294</v>
      </c>
      <c r="CT54" s="296" t="s">
        <v>574</v>
      </c>
      <c r="CU54" s="297">
        <v>47483</v>
      </c>
      <c r="CV54" s="296">
        <v>0</v>
      </c>
      <c r="CW54" s="296">
        <v>79</v>
      </c>
      <c r="CX54" s="296">
        <v>1</v>
      </c>
      <c r="CY54" s="296">
        <v>0</v>
      </c>
      <c r="CZ54" s="296">
        <v>0</v>
      </c>
      <c r="DA54" s="296">
        <v>0</v>
      </c>
      <c r="DB54" s="296">
        <v>0</v>
      </c>
      <c r="DC54" s="296">
        <v>0</v>
      </c>
      <c r="DD54" s="296">
        <v>11.4</v>
      </c>
      <c r="DE54" s="296">
        <v>0</v>
      </c>
      <c r="DF54" s="296">
        <v>0</v>
      </c>
      <c r="DG54" s="296">
        <v>0</v>
      </c>
      <c r="DH54" s="296">
        <v>0</v>
      </c>
      <c r="DI54" s="296">
        <v>0</v>
      </c>
      <c r="DJ54" s="296">
        <v>0</v>
      </c>
      <c r="DK54" s="296">
        <v>0</v>
      </c>
      <c r="DL54" s="296">
        <v>23</v>
      </c>
      <c r="DM54" s="296">
        <v>16</v>
      </c>
      <c r="DN54" s="296" t="s">
        <v>1295</v>
      </c>
      <c r="DO54" s="296">
        <v>0</v>
      </c>
      <c r="DP54" s="296">
        <v>0</v>
      </c>
      <c r="DQ54" s="296">
        <v>0</v>
      </c>
      <c r="DR54" s="296">
        <v>0</v>
      </c>
      <c r="DS54" s="296">
        <v>0</v>
      </c>
      <c r="DT54" s="296">
        <v>0</v>
      </c>
      <c r="DU54" s="296">
        <v>0</v>
      </c>
      <c r="DV54" s="301">
        <v>6.6</v>
      </c>
    </row>
    <row r="55" spans="1:126" ht="24.95" customHeight="1" thickBot="1" x14ac:dyDescent="0.3">
      <c r="A55" s="29" t="str">
        <f t="shared" si="0"/>
        <v>54º</v>
      </c>
      <c r="B55" s="69" t="str">
        <f t="shared" si="89"/>
        <v>Márcio Adriano</v>
      </c>
      <c r="C55" s="269" t="str">
        <f t="shared" si="90"/>
        <v>BRA</v>
      </c>
      <c r="D55" s="99" t="str">
        <f t="shared" si="91"/>
        <v>Pé Esquerdo</v>
      </c>
      <c r="E55" s="28" t="str">
        <f t="shared" si="92"/>
        <v>Bangu</v>
      </c>
      <c r="F55" s="169">
        <f t="shared" si="93"/>
        <v>23</v>
      </c>
      <c r="G55" s="2" t="str">
        <f t="shared" si="94"/>
        <v>0 €</v>
      </c>
      <c r="H55" s="154">
        <f t="shared" si="95"/>
        <v>1.87</v>
      </c>
      <c r="I55" s="64">
        <f t="shared" si="96"/>
        <v>47118</v>
      </c>
      <c r="J55" s="304" t="str">
        <f t="shared" si="97"/>
        <v>2m € p/m</v>
      </c>
      <c r="K55" s="96">
        <f t="shared" si="10"/>
        <v>3.5222222222222221</v>
      </c>
      <c r="L55" s="146">
        <f t="shared" si="98"/>
        <v>2.5555555555555554</v>
      </c>
      <c r="M55" s="6">
        <f t="shared" si="99"/>
        <v>1</v>
      </c>
      <c r="N55" s="5">
        <f t="shared" si="100"/>
        <v>230</v>
      </c>
      <c r="O55" s="21">
        <f t="shared" si="101"/>
        <v>0.39130434782608697</v>
      </c>
      <c r="P55" s="2">
        <f t="shared" si="102"/>
        <v>80</v>
      </c>
      <c r="Q55" s="2">
        <f t="shared" si="103"/>
        <v>49</v>
      </c>
      <c r="R55" s="5">
        <f t="shared" si="104"/>
        <v>19.173913043478262</v>
      </c>
      <c r="S55" s="2">
        <f t="shared" si="105"/>
        <v>31</v>
      </c>
      <c r="T55" s="2">
        <f t="shared" si="106"/>
        <v>18</v>
      </c>
      <c r="U55" s="102">
        <f t="shared" si="107"/>
        <v>0.38750000000000001</v>
      </c>
      <c r="V55" s="102">
        <f t="shared" si="108"/>
        <v>0.61250000000000004</v>
      </c>
      <c r="W55" s="6">
        <f t="shared" si="109"/>
        <v>80</v>
      </c>
      <c r="X55" s="5">
        <f t="shared" si="110"/>
        <v>31.304347826086961</v>
      </c>
      <c r="Y55" s="6">
        <f t="shared" si="111"/>
        <v>0</v>
      </c>
      <c r="Z55" s="5">
        <f t="shared" si="112"/>
        <v>0</v>
      </c>
      <c r="AA55" s="21">
        <f t="shared" si="113"/>
        <v>0</v>
      </c>
      <c r="AB55" s="6">
        <f t="shared" si="114"/>
        <v>0</v>
      </c>
      <c r="AC55" s="5">
        <f t="shared" si="115"/>
        <v>0</v>
      </c>
      <c r="AD55" s="6">
        <f t="shared" si="116"/>
        <v>0</v>
      </c>
      <c r="AE55" s="5">
        <f t="shared" si="117"/>
        <v>0</v>
      </c>
      <c r="AF55" s="21">
        <f t="shared" si="118"/>
        <v>0</v>
      </c>
      <c r="AG55" s="6">
        <f t="shared" si="119"/>
        <v>0</v>
      </c>
      <c r="AH55" s="5">
        <f t="shared" si="120"/>
        <v>0</v>
      </c>
      <c r="AI55" s="21">
        <f t="shared" si="121"/>
        <v>0</v>
      </c>
      <c r="AJ55" s="6">
        <f t="shared" si="122"/>
        <v>0</v>
      </c>
      <c r="AK55" s="5">
        <f t="shared" si="123"/>
        <v>0</v>
      </c>
      <c r="AL55" s="21">
        <f t="shared" si="124"/>
        <v>0</v>
      </c>
      <c r="AM55" s="21">
        <f t="shared" si="125"/>
        <v>0.39130434782608697</v>
      </c>
      <c r="AN55" s="6">
        <f t="shared" si="126"/>
        <v>1</v>
      </c>
      <c r="AO55" s="5">
        <f t="shared" si="127"/>
        <v>0.39130434782608697</v>
      </c>
      <c r="AP55" s="6">
        <f t="shared" si="128"/>
        <v>0</v>
      </c>
      <c r="AQ55" s="5">
        <f t="shared" si="129"/>
        <v>0</v>
      </c>
      <c r="AR55" s="2">
        <f t="shared" si="130"/>
        <v>5</v>
      </c>
      <c r="AS55" s="5">
        <f t="shared" si="131"/>
        <v>1.956521739130435</v>
      </c>
      <c r="AT55" s="21">
        <f t="shared" si="132"/>
        <v>0</v>
      </c>
      <c r="AU55" s="20">
        <f t="shared" si="133"/>
        <v>0</v>
      </c>
      <c r="AV55" s="20">
        <f t="shared" si="134"/>
        <v>1</v>
      </c>
      <c r="AW55" s="199">
        <f t="shared" si="135"/>
        <v>0</v>
      </c>
      <c r="AX55" s="24">
        <f t="shared" si="136"/>
        <v>46</v>
      </c>
      <c r="AY55" s="5">
        <f t="shared" si="137"/>
        <v>1</v>
      </c>
      <c r="AZ55" s="5">
        <f t="shared" si="138"/>
        <v>1</v>
      </c>
      <c r="BA55" s="5">
        <f t="shared" si="139"/>
        <v>0</v>
      </c>
      <c r="BB55" s="5">
        <f t="shared" si="140"/>
        <v>0</v>
      </c>
      <c r="BC55" s="5">
        <f t="shared" si="141"/>
        <v>0</v>
      </c>
      <c r="BD55" s="5">
        <f t="shared" si="142"/>
        <v>0</v>
      </c>
      <c r="BE55" s="199">
        <f t="shared" si="143"/>
        <v>0</v>
      </c>
      <c r="BF55" s="21">
        <f t="shared" si="144"/>
        <v>0</v>
      </c>
      <c r="BG55" s="6">
        <f t="shared" si="145"/>
        <v>0</v>
      </c>
      <c r="BH55" s="5">
        <f t="shared" si="146"/>
        <v>0</v>
      </c>
      <c r="BI55" s="6">
        <f t="shared" si="147"/>
        <v>0</v>
      </c>
      <c r="BJ55" s="5">
        <f t="shared" si="148"/>
        <v>0</v>
      </c>
      <c r="BK55" s="20">
        <f t="shared" si="149"/>
        <v>-9.9999999999999998E-13</v>
      </c>
      <c r="BL55" s="20">
        <f t="shared" si="150"/>
        <v>3.3715441672285905E-3</v>
      </c>
      <c r="BM55" s="6">
        <f t="shared" si="151"/>
        <v>5</v>
      </c>
      <c r="BN55" s="5">
        <f t="shared" si="152"/>
        <v>1.956521739130435</v>
      </c>
      <c r="BO55" s="333">
        <f t="shared" si="153"/>
        <v>0</v>
      </c>
      <c r="BP55" s="334">
        <f t="shared" si="154"/>
        <v>0</v>
      </c>
      <c r="BQ55" s="6">
        <f t="shared" si="155"/>
        <v>0</v>
      </c>
      <c r="BR55" s="5">
        <f t="shared" si="156"/>
        <v>0</v>
      </c>
      <c r="BS55" s="6">
        <f t="shared" si="157"/>
        <v>0</v>
      </c>
      <c r="BT55" s="5">
        <f t="shared" si="158"/>
        <v>0</v>
      </c>
      <c r="BU55" s="181">
        <f t="shared" si="159"/>
        <v>0</v>
      </c>
      <c r="BV55" s="154">
        <f t="shared" si="160"/>
        <v>0</v>
      </c>
      <c r="BW55" s="181">
        <f t="shared" si="161"/>
        <v>0</v>
      </c>
      <c r="BX55" s="180">
        <f t="shared" si="162"/>
        <v>0</v>
      </c>
      <c r="BY55" s="181">
        <f t="shared" si="163"/>
        <v>0</v>
      </c>
      <c r="BZ55" s="154">
        <f t="shared" si="164"/>
        <v>0</v>
      </c>
      <c r="CA55" s="182">
        <f t="shared" si="165"/>
        <v>0</v>
      </c>
      <c r="CB55" s="2">
        <f t="shared" si="166"/>
        <v>0</v>
      </c>
      <c r="CC55" s="2">
        <f t="shared" si="167"/>
        <v>0</v>
      </c>
      <c r="CD55" s="2">
        <f t="shared" si="168"/>
        <v>0</v>
      </c>
      <c r="CE55" s="2">
        <f t="shared" si="169"/>
        <v>0</v>
      </c>
      <c r="CF55" s="6">
        <f t="shared" si="170"/>
        <v>0</v>
      </c>
      <c r="CG55" s="6">
        <f t="shared" si="171"/>
        <v>87</v>
      </c>
      <c r="CH55" s="6">
        <f t="shared" si="172"/>
        <v>49</v>
      </c>
      <c r="CI55" s="20">
        <f t="shared" si="173"/>
        <v>0.56321839080459768</v>
      </c>
      <c r="CJ55" s="133">
        <f t="shared" si="174"/>
        <v>2521</v>
      </c>
      <c r="CK55" s="5">
        <f t="shared" si="175"/>
        <v>7.68</v>
      </c>
      <c r="CL55" s="302"/>
      <c r="CM55" s="298" t="s">
        <v>13</v>
      </c>
      <c r="CN55" s="298" t="s">
        <v>1186</v>
      </c>
      <c r="CO55" s="298">
        <v>23</v>
      </c>
      <c r="CP55" s="298" t="s">
        <v>1296</v>
      </c>
      <c r="CQ55" s="298" t="s">
        <v>1131</v>
      </c>
      <c r="CR55" s="298" t="s">
        <v>652</v>
      </c>
      <c r="CS55" s="298" t="s">
        <v>693</v>
      </c>
      <c r="CT55" s="298" t="s">
        <v>911</v>
      </c>
      <c r="CU55" s="299">
        <v>47118</v>
      </c>
      <c r="CV55" s="298">
        <v>1</v>
      </c>
      <c r="CW55" s="298">
        <v>230</v>
      </c>
      <c r="CX55" s="298">
        <v>5</v>
      </c>
      <c r="CY55" s="298">
        <v>0</v>
      </c>
      <c r="CZ55" s="298">
        <v>0</v>
      </c>
      <c r="DA55" s="298">
        <v>0</v>
      </c>
      <c r="DB55" s="298">
        <v>0</v>
      </c>
      <c r="DC55" s="298">
        <v>0</v>
      </c>
      <c r="DD55" s="298">
        <v>0</v>
      </c>
      <c r="DE55" s="298">
        <v>1</v>
      </c>
      <c r="DF55" s="298">
        <v>0</v>
      </c>
      <c r="DG55" s="298">
        <v>0</v>
      </c>
      <c r="DH55" s="298">
        <v>0</v>
      </c>
      <c r="DI55" s="298">
        <v>0</v>
      </c>
      <c r="DJ55" s="298">
        <v>0</v>
      </c>
      <c r="DK55" s="298">
        <v>0</v>
      </c>
      <c r="DL55" s="298">
        <v>80</v>
      </c>
      <c r="DM55" s="298">
        <v>49</v>
      </c>
      <c r="DN55" s="298">
        <v>0</v>
      </c>
      <c r="DO55" s="298">
        <v>0</v>
      </c>
      <c r="DP55" s="298">
        <v>0</v>
      </c>
      <c r="DQ55" s="298">
        <v>0</v>
      </c>
      <c r="DR55" s="298">
        <v>0</v>
      </c>
      <c r="DS55" s="298">
        <v>0</v>
      </c>
      <c r="DT55" s="298">
        <v>0</v>
      </c>
      <c r="DU55" s="298">
        <v>0</v>
      </c>
      <c r="DV55" s="303">
        <v>7.68</v>
      </c>
    </row>
    <row r="56" spans="1:126" ht="24.95" customHeight="1" thickBot="1" x14ac:dyDescent="0.3">
      <c r="A56" s="29" t="str">
        <f t="shared" si="0"/>
        <v>55º</v>
      </c>
      <c r="B56" s="69" t="str">
        <f t="shared" si="89"/>
        <v>Pedro Cobra</v>
      </c>
      <c r="C56" s="269" t="str">
        <f t="shared" si="90"/>
        <v>BRA</v>
      </c>
      <c r="D56" s="99" t="str">
        <f t="shared" si="91"/>
        <v>Pé Esquerdo</v>
      </c>
      <c r="E56" s="28" t="str">
        <f t="shared" si="92"/>
        <v>ATM</v>
      </c>
      <c r="F56" s="169">
        <f t="shared" si="93"/>
        <v>22</v>
      </c>
      <c r="G56" s="2" t="str">
        <f t="shared" si="94"/>
        <v>28m € - 275m €</v>
      </c>
      <c r="H56" s="154">
        <f t="shared" si="95"/>
        <v>1.91</v>
      </c>
      <c r="I56" s="64">
        <f t="shared" si="96"/>
        <v>47848</v>
      </c>
      <c r="J56" s="304" t="str">
        <f t="shared" si="97"/>
        <v>1,8m € p/m</v>
      </c>
      <c r="K56" s="96">
        <f t="shared" si="10"/>
        <v>3.5222222222222221</v>
      </c>
      <c r="L56" s="146">
        <f t="shared" si="98"/>
        <v>0</v>
      </c>
      <c r="M56" s="6">
        <f t="shared" si="99"/>
        <v>0</v>
      </c>
      <c r="N56" s="5">
        <f t="shared" si="100"/>
        <v>5400</v>
      </c>
      <c r="O56" s="21">
        <f t="shared" si="101"/>
        <v>0</v>
      </c>
      <c r="P56" s="2">
        <f t="shared" si="102"/>
        <v>0</v>
      </c>
      <c r="Q56" s="2">
        <f t="shared" si="103"/>
        <v>0</v>
      </c>
      <c r="R56" s="5">
        <f t="shared" si="104"/>
        <v>0</v>
      </c>
      <c r="S56" s="2">
        <f t="shared" si="105"/>
        <v>0</v>
      </c>
      <c r="T56" s="2">
        <f t="shared" si="106"/>
        <v>0</v>
      </c>
      <c r="U56" s="102">
        <f t="shared" si="107"/>
        <v>0</v>
      </c>
      <c r="V56" s="102">
        <f t="shared" si="108"/>
        <v>0</v>
      </c>
      <c r="W56" s="6">
        <f t="shared" si="109"/>
        <v>0</v>
      </c>
      <c r="X56" s="5">
        <f t="shared" si="110"/>
        <v>0</v>
      </c>
      <c r="Y56" s="6">
        <f t="shared" si="111"/>
        <v>0</v>
      </c>
      <c r="Z56" s="5" t="e">
        <f t="shared" si="112"/>
        <v>#DIV/0!</v>
      </c>
      <c r="AA56" s="21">
        <f t="shared" si="113"/>
        <v>0</v>
      </c>
      <c r="AB56" s="6">
        <f t="shared" si="114"/>
        <v>0</v>
      </c>
      <c r="AC56" s="5" t="e">
        <f t="shared" si="115"/>
        <v>#DIV/0!</v>
      </c>
      <c r="AD56" s="6">
        <f t="shared" si="116"/>
        <v>0</v>
      </c>
      <c r="AE56" s="5">
        <f t="shared" si="117"/>
        <v>0</v>
      </c>
      <c r="AF56" s="21">
        <f t="shared" si="118"/>
        <v>0</v>
      </c>
      <c r="AG56" s="6">
        <f t="shared" si="119"/>
        <v>0</v>
      </c>
      <c r="AH56" s="5">
        <f t="shared" si="120"/>
        <v>0</v>
      </c>
      <c r="AI56" s="21">
        <f t="shared" si="121"/>
        <v>0</v>
      </c>
      <c r="AJ56" s="6">
        <f t="shared" si="122"/>
        <v>0</v>
      </c>
      <c r="AK56" s="5">
        <f t="shared" si="123"/>
        <v>0</v>
      </c>
      <c r="AL56" s="21">
        <f t="shared" si="124"/>
        <v>0</v>
      </c>
      <c r="AM56" s="21">
        <f t="shared" si="125"/>
        <v>0</v>
      </c>
      <c r="AN56" s="6">
        <f t="shared" si="126"/>
        <v>0</v>
      </c>
      <c r="AO56" s="5">
        <f t="shared" si="127"/>
        <v>0</v>
      </c>
      <c r="AP56" s="6">
        <f t="shared" si="128"/>
        <v>0</v>
      </c>
      <c r="AQ56" s="5">
        <f t="shared" si="129"/>
        <v>0</v>
      </c>
      <c r="AR56" s="2">
        <f t="shared" si="130"/>
        <v>0</v>
      </c>
      <c r="AS56" s="5">
        <f t="shared" si="131"/>
        <v>0</v>
      </c>
      <c r="AT56" s="21">
        <f t="shared" si="132"/>
        <v>0</v>
      </c>
      <c r="AU56" s="20">
        <f t="shared" si="133"/>
        <v>0</v>
      </c>
      <c r="AV56" s="20">
        <f t="shared" si="134"/>
        <v>1</v>
      </c>
      <c r="AW56" s="199">
        <f t="shared" si="135"/>
        <v>0</v>
      </c>
      <c r="AX56" s="24">
        <f t="shared" si="136"/>
        <v>0</v>
      </c>
      <c r="AY56" s="5">
        <f t="shared" si="137"/>
        <v>0</v>
      </c>
      <c r="AZ56" s="5">
        <f t="shared" si="138"/>
        <v>0</v>
      </c>
      <c r="BA56" s="5">
        <f t="shared" si="139"/>
        <v>0</v>
      </c>
      <c r="BB56" s="5">
        <f t="shared" si="140"/>
        <v>0</v>
      </c>
      <c r="BC56" s="5">
        <f t="shared" si="141"/>
        <v>0</v>
      </c>
      <c r="BD56" s="5">
        <f t="shared" si="142"/>
        <v>0</v>
      </c>
      <c r="BE56" s="199">
        <f t="shared" si="143"/>
        <v>0</v>
      </c>
      <c r="BF56" s="21">
        <f t="shared" si="144"/>
        <v>0</v>
      </c>
      <c r="BG56" s="6">
        <f t="shared" si="145"/>
        <v>0</v>
      </c>
      <c r="BH56" s="5" t="e">
        <f t="shared" si="146"/>
        <v>#DIV/0!</v>
      </c>
      <c r="BI56" s="6">
        <f t="shared" si="147"/>
        <v>0</v>
      </c>
      <c r="BJ56" s="5" t="e">
        <f t="shared" si="148"/>
        <v>#DIV/0!</v>
      </c>
      <c r="BK56" s="20">
        <f t="shared" si="149"/>
        <v>-9.9999999999999998E-13</v>
      </c>
      <c r="BL56" s="20">
        <f t="shared" si="150"/>
        <v>0</v>
      </c>
      <c r="BM56" s="6">
        <f t="shared" si="151"/>
        <v>0</v>
      </c>
      <c r="BN56" s="5">
        <f t="shared" si="152"/>
        <v>0</v>
      </c>
      <c r="BO56" s="333">
        <f t="shared" si="153"/>
        <v>0</v>
      </c>
      <c r="BP56" s="334">
        <f t="shared" si="154"/>
        <v>0</v>
      </c>
      <c r="BQ56" s="6">
        <f t="shared" si="155"/>
        <v>0</v>
      </c>
      <c r="BR56" s="5">
        <f t="shared" si="156"/>
        <v>0</v>
      </c>
      <c r="BS56" s="6">
        <f t="shared" si="157"/>
        <v>0</v>
      </c>
      <c r="BT56" s="5">
        <f t="shared" si="158"/>
        <v>0</v>
      </c>
      <c r="BU56" s="181">
        <f t="shared" si="159"/>
        <v>0</v>
      </c>
      <c r="BV56" s="154">
        <f t="shared" si="160"/>
        <v>0</v>
      </c>
      <c r="BW56" s="181">
        <f t="shared" si="161"/>
        <v>0</v>
      </c>
      <c r="BX56" s="180">
        <f t="shared" si="162"/>
        <v>0</v>
      </c>
      <c r="BY56" s="181">
        <f t="shared" si="163"/>
        <v>0</v>
      </c>
      <c r="BZ56" s="154">
        <f t="shared" si="164"/>
        <v>0</v>
      </c>
      <c r="CA56" s="182">
        <f t="shared" si="165"/>
        <v>0</v>
      </c>
      <c r="CB56" s="2">
        <f t="shared" si="166"/>
        <v>0</v>
      </c>
      <c r="CC56" s="2">
        <f t="shared" si="167"/>
        <v>0</v>
      </c>
      <c r="CD56" s="2">
        <f t="shared" si="168"/>
        <v>0</v>
      </c>
      <c r="CE56" s="2">
        <f t="shared" si="169"/>
        <v>0</v>
      </c>
      <c r="CF56" s="6">
        <f t="shared" si="170"/>
        <v>0</v>
      </c>
      <c r="CG56" s="6">
        <f t="shared" si="171"/>
        <v>0</v>
      </c>
      <c r="CH56" s="6">
        <f t="shared" si="172"/>
        <v>0</v>
      </c>
      <c r="CI56" s="20">
        <f t="shared" si="173"/>
        <v>0</v>
      </c>
      <c r="CJ56" s="133">
        <f t="shared" si="174"/>
        <v>2521</v>
      </c>
      <c r="CK56" s="5">
        <f t="shared" si="175"/>
        <v>0</v>
      </c>
      <c r="CL56" s="300" t="s">
        <v>1235</v>
      </c>
      <c r="CM56" s="296" t="s">
        <v>13</v>
      </c>
      <c r="CN56" s="296" t="s">
        <v>1297</v>
      </c>
      <c r="CO56" s="296">
        <v>22</v>
      </c>
      <c r="CP56" s="296" t="s">
        <v>1298</v>
      </c>
      <c r="CQ56" s="296" t="s">
        <v>1299</v>
      </c>
      <c r="CR56" s="296" t="s">
        <v>652</v>
      </c>
      <c r="CS56" s="296" t="s">
        <v>914</v>
      </c>
      <c r="CT56" s="296" t="s">
        <v>595</v>
      </c>
      <c r="CU56" s="297">
        <v>47848</v>
      </c>
      <c r="CV56" s="296">
        <v>0</v>
      </c>
      <c r="CW56" s="296">
        <v>0</v>
      </c>
      <c r="CX56" s="296">
        <v>0</v>
      </c>
      <c r="CY56" s="296">
        <v>0</v>
      </c>
      <c r="CZ56" s="296">
        <v>0</v>
      </c>
      <c r="DA56" s="296">
        <v>0</v>
      </c>
      <c r="DB56" s="296">
        <v>0</v>
      </c>
      <c r="DC56" s="296">
        <v>0</v>
      </c>
      <c r="DD56" s="296">
        <v>0</v>
      </c>
      <c r="DE56" s="296">
        <v>0</v>
      </c>
      <c r="DF56" s="296">
        <v>0</v>
      </c>
      <c r="DG56" s="296">
        <v>0</v>
      </c>
      <c r="DH56" s="296">
        <v>0</v>
      </c>
      <c r="DI56" s="296">
        <v>0</v>
      </c>
      <c r="DJ56" s="296">
        <v>0</v>
      </c>
      <c r="DK56" s="296">
        <v>0</v>
      </c>
      <c r="DL56" s="296">
        <v>0</v>
      </c>
      <c r="DM56" s="296">
        <v>0</v>
      </c>
      <c r="DN56" s="296">
        <v>0</v>
      </c>
      <c r="DO56" s="296">
        <v>0</v>
      </c>
      <c r="DP56" s="296">
        <v>0</v>
      </c>
      <c r="DQ56" s="296">
        <v>0</v>
      </c>
      <c r="DR56" s="296">
        <v>0</v>
      </c>
      <c r="DS56" s="296">
        <v>0</v>
      </c>
      <c r="DT56" s="296">
        <v>0</v>
      </c>
      <c r="DU56" s="296">
        <v>0</v>
      </c>
      <c r="DV56" s="301" t="s">
        <v>548</v>
      </c>
    </row>
    <row r="57" spans="1:126" ht="24.95" customHeight="1" thickBot="1" x14ac:dyDescent="0.3">
      <c r="A57" s="29" t="str">
        <f t="shared" si="0"/>
        <v>56º</v>
      </c>
      <c r="B57" s="69" t="str">
        <f t="shared" si="89"/>
        <v>Murillo</v>
      </c>
      <c r="C57" s="269" t="str">
        <f t="shared" si="90"/>
        <v>BRA</v>
      </c>
      <c r="D57" s="99" t="str">
        <f t="shared" si="91"/>
        <v>Pé Esquerdo</v>
      </c>
      <c r="E57" s="28" t="str">
        <f t="shared" si="92"/>
        <v>Marítimo B</v>
      </c>
      <c r="F57" s="169">
        <f t="shared" si="93"/>
        <v>21</v>
      </c>
      <c r="G57" s="2" t="str">
        <f t="shared" si="94"/>
        <v>20m € - 60m €</v>
      </c>
      <c r="H57" s="154">
        <f t="shared" si="95"/>
        <v>1.85</v>
      </c>
      <c r="I57" s="64">
        <f t="shared" si="96"/>
        <v>47664</v>
      </c>
      <c r="J57" s="304" t="str">
        <f t="shared" si="97"/>
        <v>5,25m € p/m</v>
      </c>
      <c r="K57" s="96">
        <f t="shared" si="10"/>
        <v>3.5222222222222221</v>
      </c>
      <c r="L57" s="146">
        <f t="shared" si="98"/>
        <v>0</v>
      </c>
      <c r="M57" s="6">
        <f t="shared" si="99"/>
        <v>0</v>
      </c>
      <c r="N57" s="5">
        <f t="shared" si="100"/>
        <v>5400</v>
      </c>
      <c r="O57" s="21">
        <f t="shared" si="101"/>
        <v>0</v>
      </c>
      <c r="P57" s="2">
        <f t="shared" si="102"/>
        <v>0</v>
      </c>
      <c r="Q57" s="2">
        <f t="shared" si="103"/>
        <v>0</v>
      </c>
      <c r="R57" s="5">
        <f t="shared" si="104"/>
        <v>0</v>
      </c>
      <c r="S57" s="2">
        <f t="shared" si="105"/>
        <v>0</v>
      </c>
      <c r="T57" s="2">
        <f t="shared" si="106"/>
        <v>0</v>
      </c>
      <c r="U57" s="102">
        <f t="shared" si="107"/>
        <v>0</v>
      </c>
      <c r="V57" s="102">
        <f t="shared" si="108"/>
        <v>0</v>
      </c>
      <c r="W57" s="6">
        <f t="shared" si="109"/>
        <v>0</v>
      </c>
      <c r="X57" s="5">
        <f t="shared" si="110"/>
        <v>0</v>
      </c>
      <c r="Y57" s="6">
        <f t="shared" si="111"/>
        <v>0</v>
      </c>
      <c r="Z57" s="5" t="e">
        <f t="shared" si="112"/>
        <v>#DIV/0!</v>
      </c>
      <c r="AA57" s="21">
        <f t="shared" si="113"/>
        <v>0</v>
      </c>
      <c r="AB57" s="6">
        <f t="shared" si="114"/>
        <v>0</v>
      </c>
      <c r="AC57" s="5" t="e">
        <f t="shared" si="115"/>
        <v>#DIV/0!</v>
      </c>
      <c r="AD57" s="6">
        <f t="shared" si="116"/>
        <v>0</v>
      </c>
      <c r="AE57" s="5">
        <f t="shared" si="117"/>
        <v>0</v>
      </c>
      <c r="AF57" s="21">
        <f t="shared" si="118"/>
        <v>0</v>
      </c>
      <c r="AG57" s="6">
        <f t="shared" si="119"/>
        <v>0</v>
      </c>
      <c r="AH57" s="5">
        <f t="shared" si="120"/>
        <v>0</v>
      </c>
      <c r="AI57" s="21">
        <f t="shared" si="121"/>
        <v>0</v>
      </c>
      <c r="AJ57" s="6">
        <f t="shared" si="122"/>
        <v>0</v>
      </c>
      <c r="AK57" s="5">
        <f t="shared" si="123"/>
        <v>0</v>
      </c>
      <c r="AL57" s="21">
        <f t="shared" si="124"/>
        <v>0</v>
      </c>
      <c r="AM57" s="21">
        <f t="shared" si="125"/>
        <v>0</v>
      </c>
      <c r="AN57" s="6">
        <f t="shared" si="126"/>
        <v>0</v>
      </c>
      <c r="AO57" s="5">
        <f t="shared" si="127"/>
        <v>0</v>
      </c>
      <c r="AP57" s="6">
        <f t="shared" si="128"/>
        <v>0</v>
      </c>
      <c r="AQ57" s="5">
        <f t="shared" si="129"/>
        <v>0</v>
      </c>
      <c r="AR57" s="2">
        <f t="shared" si="130"/>
        <v>0</v>
      </c>
      <c r="AS57" s="5">
        <f t="shared" si="131"/>
        <v>0</v>
      </c>
      <c r="AT57" s="21">
        <f t="shared" si="132"/>
        <v>0</v>
      </c>
      <c r="AU57" s="20">
        <f t="shared" si="133"/>
        <v>0</v>
      </c>
      <c r="AV57" s="20">
        <f t="shared" si="134"/>
        <v>1</v>
      </c>
      <c r="AW57" s="199">
        <f t="shared" si="135"/>
        <v>0</v>
      </c>
      <c r="AX57" s="24">
        <f t="shared" si="136"/>
        <v>0</v>
      </c>
      <c r="AY57" s="5">
        <f t="shared" si="137"/>
        <v>0</v>
      </c>
      <c r="AZ57" s="5">
        <f t="shared" si="138"/>
        <v>0</v>
      </c>
      <c r="BA57" s="5">
        <f t="shared" si="139"/>
        <v>0</v>
      </c>
      <c r="BB57" s="5">
        <f t="shared" si="140"/>
        <v>0</v>
      </c>
      <c r="BC57" s="5">
        <f t="shared" si="141"/>
        <v>0</v>
      </c>
      <c r="BD57" s="5">
        <f t="shared" si="142"/>
        <v>0</v>
      </c>
      <c r="BE57" s="199">
        <f t="shared" si="143"/>
        <v>0</v>
      </c>
      <c r="BF57" s="21">
        <f t="shared" si="144"/>
        <v>0</v>
      </c>
      <c r="BG57" s="6">
        <f t="shared" si="145"/>
        <v>0</v>
      </c>
      <c r="BH57" s="5" t="e">
        <f t="shared" si="146"/>
        <v>#DIV/0!</v>
      </c>
      <c r="BI57" s="6">
        <f t="shared" si="147"/>
        <v>0</v>
      </c>
      <c r="BJ57" s="5" t="e">
        <f t="shared" si="148"/>
        <v>#DIV/0!</v>
      </c>
      <c r="BK57" s="20">
        <f t="shared" si="149"/>
        <v>-9.9999999999999998E-13</v>
      </c>
      <c r="BL57" s="20">
        <f t="shared" si="150"/>
        <v>0</v>
      </c>
      <c r="BM57" s="6">
        <f t="shared" si="151"/>
        <v>0</v>
      </c>
      <c r="BN57" s="5">
        <f t="shared" si="152"/>
        <v>0</v>
      </c>
      <c r="BO57" s="333">
        <f t="shared" si="153"/>
        <v>0</v>
      </c>
      <c r="BP57" s="334">
        <f t="shared" si="154"/>
        <v>0</v>
      </c>
      <c r="BQ57" s="6">
        <f t="shared" si="155"/>
        <v>0</v>
      </c>
      <c r="BR57" s="5">
        <f t="shared" si="156"/>
        <v>0</v>
      </c>
      <c r="BS57" s="6">
        <f t="shared" si="157"/>
        <v>0</v>
      </c>
      <c r="BT57" s="5">
        <f t="shared" si="158"/>
        <v>0</v>
      </c>
      <c r="BU57" s="181">
        <f t="shared" si="159"/>
        <v>0</v>
      </c>
      <c r="BV57" s="154">
        <f t="shared" si="160"/>
        <v>0</v>
      </c>
      <c r="BW57" s="181">
        <f t="shared" si="161"/>
        <v>0</v>
      </c>
      <c r="BX57" s="180">
        <f t="shared" si="162"/>
        <v>0</v>
      </c>
      <c r="BY57" s="181">
        <f t="shared" si="163"/>
        <v>0</v>
      </c>
      <c r="BZ57" s="154">
        <f t="shared" si="164"/>
        <v>0</v>
      </c>
      <c r="CA57" s="182">
        <f t="shared" si="165"/>
        <v>0</v>
      </c>
      <c r="CB57" s="2">
        <f t="shared" si="166"/>
        <v>0</v>
      </c>
      <c r="CC57" s="2">
        <f t="shared" si="167"/>
        <v>0</v>
      </c>
      <c r="CD57" s="2">
        <f t="shared" si="168"/>
        <v>0</v>
      </c>
      <c r="CE57" s="2">
        <f t="shared" si="169"/>
        <v>0</v>
      </c>
      <c r="CF57" s="6">
        <f t="shared" si="170"/>
        <v>0</v>
      </c>
      <c r="CG57" s="6">
        <f t="shared" si="171"/>
        <v>0</v>
      </c>
      <c r="CH57" s="6">
        <f t="shared" si="172"/>
        <v>0</v>
      </c>
      <c r="CI57" s="20">
        <f t="shared" si="173"/>
        <v>0</v>
      </c>
      <c r="CJ57" s="133">
        <f t="shared" si="174"/>
        <v>2521</v>
      </c>
      <c r="CK57" s="5">
        <f t="shared" si="175"/>
        <v>0</v>
      </c>
      <c r="CL57" s="302" t="s">
        <v>1235</v>
      </c>
      <c r="CM57" s="298" t="s">
        <v>13</v>
      </c>
      <c r="CN57" s="298" t="s">
        <v>1300</v>
      </c>
      <c r="CO57" s="298">
        <v>21</v>
      </c>
      <c r="CP57" s="298" t="s">
        <v>1301</v>
      </c>
      <c r="CQ57" s="298" t="s">
        <v>1302</v>
      </c>
      <c r="CR57" s="298" t="s">
        <v>652</v>
      </c>
      <c r="CS57" s="298" t="s">
        <v>1303</v>
      </c>
      <c r="CT57" s="298" t="s">
        <v>587</v>
      </c>
      <c r="CU57" s="299">
        <v>47664</v>
      </c>
      <c r="CV57" s="298">
        <v>0</v>
      </c>
      <c r="CW57" s="298">
        <v>0</v>
      </c>
      <c r="CX57" s="298">
        <v>0</v>
      </c>
      <c r="CY57" s="298">
        <v>0</v>
      </c>
      <c r="CZ57" s="298">
        <v>0</v>
      </c>
      <c r="DA57" s="298">
        <v>0</v>
      </c>
      <c r="DB57" s="298">
        <v>0</v>
      </c>
      <c r="DC57" s="298">
        <v>0</v>
      </c>
      <c r="DD57" s="298">
        <v>0</v>
      </c>
      <c r="DE57" s="298">
        <v>0</v>
      </c>
      <c r="DF57" s="298">
        <v>0</v>
      </c>
      <c r="DG57" s="298">
        <v>0</v>
      </c>
      <c r="DH57" s="298">
        <v>0</v>
      </c>
      <c r="DI57" s="298">
        <v>0</v>
      </c>
      <c r="DJ57" s="298">
        <v>0</v>
      </c>
      <c r="DK57" s="298">
        <v>0</v>
      </c>
      <c r="DL57" s="298">
        <v>0</v>
      </c>
      <c r="DM57" s="298">
        <v>0</v>
      </c>
      <c r="DN57" s="298">
        <v>0</v>
      </c>
      <c r="DO57" s="298">
        <v>0</v>
      </c>
      <c r="DP57" s="298">
        <v>0</v>
      </c>
      <c r="DQ57" s="298">
        <v>0</v>
      </c>
      <c r="DR57" s="298">
        <v>0</v>
      </c>
      <c r="DS57" s="298">
        <v>0</v>
      </c>
      <c r="DT57" s="298">
        <v>0</v>
      </c>
      <c r="DU57" s="298">
        <v>0</v>
      </c>
      <c r="DV57" s="303" t="s">
        <v>548</v>
      </c>
    </row>
    <row r="58" spans="1:126" ht="24.95" customHeight="1" thickBot="1" x14ac:dyDescent="0.3">
      <c r="A58" s="29" t="str">
        <f t="shared" si="0"/>
        <v>57º</v>
      </c>
      <c r="B58" s="69" t="str">
        <f t="shared" si="89"/>
        <v>Jackson</v>
      </c>
      <c r="C58" s="269" t="str">
        <f t="shared" si="90"/>
        <v>BRA</v>
      </c>
      <c r="D58" s="99" t="str">
        <f t="shared" si="91"/>
        <v>Somente Pé Direito</v>
      </c>
      <c r="E58" s="28" t="str">
        <f t="shared" si="92"/>
        <v>SAN</v>
      </c>
      <c r="F58" s="169">
        <f t="shared" si="93"/>
        <v>22</v>
      </c>
      <c r="G58" s="2" t="str">
        <f t="shared" si="94"/>
        <v>0 €</v>
      </c>
      <c r="H58" s="154">
        <f t="shared" si="95"/>
        <v>1.88</v>
      </c>
      <c r="I58" s="64">
        <f t="shared" si="96"/>
        <v>47118</v>
      </c>
      <c r="J58" s="304" t="str">
        <f t="shared" si="97"/>
        <v>875 € p/m</v>
      </c>
      <c r="K58" s="96">
        <f t="shared" si="10"/>
        <v>3.5222222222222221</v>
      </c>
      <c r="L58" s="146">
        <f t="shared" si="98"/>
        <v>0</v>
      </c>
      <c r="M58" s="6">
        <f t="shared" si="99"/>
        <v>0</v>
      </c>
      <c r="N58" s="5">
        <f t="shared" si="100"/>
        <v>5400</v>
      </c>
      <c r="O58" s="21">
        <f t="shared" si="101"/>
        <v>0</v>
      </c>
      <c r="P58" s="2">
        <f t="shared" si="102"/>
        <v>0</v>
      </c>
      <c r="Q58" s="2">
        <f t="shared" si="103"/>
        <v>0</v>
      </c>
      <c r="R58" s="5">
        <f t="shared" si="104"/>
        <v>0</v>
      </c>
      <c r="S58" s="2">
        <f t="shared" si="105"/>
        <v>0</v>
      </c>
      <c r="T58" s="2">
        <f t="shared" si="106"/>
        <v>0</v>
      </c>
      <c r="U58" s="102">
        <f t="shared" si="107"/>
        <v>0</v>
      </c>
      <c r="V58" s="102">
        <f t="shared" si="108"/>
        <v>0</v>
      </c>
      <c r="W58" s="6">
        <f t="shared" si="109"/>
        <v>0</v>
      </c>
      <c r="X58" s="5">
        <f t="shared" si="110"/>
        <v>0</v>
      </c>
      <c r="Y58" s="6">
        <f t="shared" si="111"/>
        <v>0</v>
      </c>
      <c r="Z58" s="5" t="e">
        <f t="shared" si="112"/>
        <v>#DIV/0!</v>
      </c>
      <c r="AA58" s="21">
        <f t="shared" si="113"/>
        <v>0</v>
      </c>
      <c r="AB58" s="6">
        <f t="shared" si="114"/>
        <v>0</v>
      </c>
      <c r="AC58" s="5" t="e">
        <f t="shared" si="115"/>
        <v>#DIV/0!</v>
      </c>
      <c r="AD58" s="6">
        <f t="shared" si="116"/>
        <v>0</v>
      </c>
      <c r="AE58" s="5">
        <f t="shared" si="117"/>
        <v>0</v>
      </c>
      <c r="AF58" s="21">
        <f t="shared" si="118"/>
        <v>0</v>
      </c>
      <c r="AG58" s="6">
        <f t="shared" si="119"/>
        <v>0</v>
      </c>
      <c r="AH58" s="5">
        <f t="shared" si="120"/>
        <v>0</v>
      </c>
      <c r="AI58" s="21">
        <f t="shared" si="121"/>
        <v>0</v>
      </c>
      <c r="AJ58" s="6">
        <f t="shared" si="122"/>
        <v>0</v>
      </c>
      <c r="AK58" s="5">
        <f t="shared" si="123"/>
        <v>0</v>
      </c>
      <c r="AL58" s="21">
        <f t="shared" si="124"/>
        <v>0</v>
      </c>
      <c r="AM58" s="21">
        <f t="shared" si="125"/>
        <v>0</v>
      </c>
      <c r="AN58" s="6">
        <f t="shared" si="126"/>
        <v>0</v>
      </c>
      <c r="AO58" s="5">
        <f t="shared" si="127"/>
        <v>0</v>
      </c>
      <c r="AP58" s="6">
        <f t="shared" si="128"/>
        <v>0</v>
      </c>
      <c r="AQ58" s="5">
        <f t="shared" si="129"/>
        <v>0</v>
      </c>
      <c r="AR58" s="2">
        <f t="shared" si="130"/>
        <v>0</v>
      </c>
      <c r="AS58" s="5">
        <f t="shared" si="131"/>
        <v>0</v>
      </c>
      <c r="AT58" s="21">
        <f t="shared" si="132"/>
        <v>0</v>
      </c>
      <c r="AU58" s="20">
        <f t="shared" si="133"/>
        <v>0</v>
      </c>
      <c r="AV58" s="20">
        <f t="shared" si="134"/>
        <v>1</v>
      </c>
      <c r="AW58" s="199">
        <f t="shared" si="135"/>
        <v>0</v>
      </c>
      <c r="AX58" s="24">
        <f t="shared" si="136"/>
        <v>0</v>
      </c>
      <c r="AY58" s="5">
        <f t="shared" si="137"/>
        <v>0</v>
      </c>
      <c r="AZ58" s="5">
        <f t="shared" si="138"/>
        <v>0</v>
      </c>
      <c r="BA58" s="5">
        <f t="shared" si="139"/>
        <v>0</v>
      </c>
      <c r="BB58" s="5">
        <f t="shared" si="140"/>
        <v>0</v>
      </c>
      <c r="BC58" s="5">
        <f t="shared" si="141"/>
        <v>0</v>
      </c>
      <c r="BD58" s="5">
        <f t="shared" si="142"/>
        <v>0</v>
      </c>
      <c r="BE58" s="199">
        <f t="shared" si="143"/>
        <v>0</v>
      </c>
      <c r="BF58" s="21">
        <f t="shared" si="144"/>
        <v>0</v>
      </c>
      <c r="BG58" s="6">
        <f t="shared" si="145"/>
        <v>0</v>
      </c>
      <c r="BH58" s="5" t="e">
        <f t="shared" si="146"/>
        <v>#DIV/0!</v>
      </c>
      <c r="BI58" s="6">
        <f t="shared" si="147"/>
        <v>0</v>
      </c>
      <c r="BJ58" s="5" t="e">
        <f t="shared" si="148"/>
        <v>#DIV/0!</v>
      </c>
      <c r="BK58" s="20">
        <f t="shared" si="149"/>
        <v>-9.9999999999999998E-13</v>
      </c>
      <c r="BL58" s="20">
        <f t="shared" si="150"/>
        <v>0</v>
      </c>
      <c r="BM58" s="6">
        <f t="shared" si="151"/>
        <v>0</v>
      </c>
      <c r="BN58" s="5">
        <f t="shared" si="152"/>
        <v>0</v>
      </c>
      <c r="BO58" s="333">
        <f t="shared" si="153"/>
        <v>0</v>
      </c>
      <c r="BP58" s="334">
        <f t="shared" si="154"/>
        <v>0</v>
      </c>
      <c r="BQ58" s="6">
        <f t="shared" si="155"/>
        <v>0</v>
      </c>
      <c r="BR58" s="5">
        <f t="shared" si="156"/>
        <v>0</v>
      </c>
      <c r="BS58" s="6">
        <f t="shared" si="157"/>
        <v>0</v>
      </c>
      <c r="BT58" s="5">
        <f t="shared" si="158"/>
        <v>0</v>
      </c>
      <c r="BU58" s="181">
        <f t="shared" si="159"/>
        <v>0</v>
      </c>
      <c r="BV58" s="154">
        <f t="shared" si="160"/>
        <v>0</v>
      </c>
      <c r="BW58" s="181">
        <f t="shared" si="161"/>
        <v>0</v>
      </c>
      <c r="BX58" s="180">
        <f t="shared" si="162"/>
        <v>0</v>
      </c>
      <c r="BY58" s="181">
        <f t="shared" si="163"/>
        <v>0</v>
      </c>
      <c r="BZ58" s="154">
        <f t="shared" si="164"/>
        <v>0</v>
      </c>
      <c r="CA58" s="182">
        <f t="shared" si="165"/>
        <v>0</v>
      </c>
      <c r="CB58" s="2">
        <f t="shared" si="166"/>
        <v>0</v>
      </c>
      <c r="CC58" s="2">
        <f t="shared" si="167"/>
        <v>0</v>
      </c>
      <c r="CD58" s="2">
        <f t="shared" si="168"/>
        <v>0</v>
      </c>
      <c r="CE58" s="2">
        <f t="shared" si="169"/>
        <v>0</v>
      </c>
      <c r="CF58" s="6">
        <f t="shared" si="170"/>
        <v>0</v>
      </c>
      <c r="CG58" s="6">
        <f t="shared" si="171"/>
        <v>0</v>
      </c>
      <c r="CH58" s="6">
        <f t="shared" si="172"/>
        <v>0</v>
      </c>
      <c r="CI58" s="20">
        <f t="shared" si="173"/>
        <v>0</v>
      </c>
      <c r="CJ58" s="133">
        <f t="shared" si="174"/>
        <v>2521</v>
      </c>
      <c r="CK58" s="5">
        <f t="shared" si="175"/>
        <v>0</v>
      </c>
      <c r="CL58" s="300" t="s">
        <v>19</v>
      </c>
      <c r="CM58" s="296" t="s">
        <v>13</v>
      </c>
      <c r="CN58" s="296" t="s">
        <v>1245</v>
      </c>
      <c r="CO58" s="296">
        <v>22</v>
      </c>
      <c r="CP58" s="296" t="s">
        <v>1304</v>
      </c>
      <c r="CQ58" s="296" t="s">
        <v>1131</v>
      </c>
      <c r="CR58" s="296" t="s">
        <v>645</v>
      </c>
      <c r="CS58" s="296" t="s">
        <v>1305</v>
      </c>
      <c r="CT58" s="296" t="s">
        <v>552</v>
      </c>
      <c r="CU58" s="297">
        <v>47118</v>
      </c>
      <c r="CV58" s="296">
        <v>0</v>
      </c>
      <c r="CW58" s="296">
        <v>0</v>
      </c>
      <c r="CX58" s="296">
        <v>0</v>
      </c>
      <c r="CY58" s="296">
        <v>0</v>
      </c>
      <c r="CZ58" s="296">
        <v>0</v>
      </c>
      <c r="DA58" s="296">
        <v>0</v>
      </c>
      <c r="DB58" s="296">
        <v>0</v>
      </c>
      <c r="DC58" s="296">
        <v>0</v>
      </c>
      <c r="DD58" s="296">
        <v>0</v>
      </c>
      <c r="DE58" s="296">
        <v>0</v>
      </c>
      <c r="DF58" s="296">
        <v>0</v>
      </c>
      <c r="DG58" s="296">
        <v>0</v>
      </c>
      <c r="DH58" s="296">
        <v>0</v>
      </c>
      <c r="DI58" s="296">
        <v>0</v>
      </c>
      <c r="DJ58" s="296">
        <v>0</v>
      </c>
      <c r="DK58" s="296">
        <v>0</v>
      </c>
      <c r="DL58" s="296">
        <v>0</v>
      </c>
      <c r="DM58" s="296">
        <v>0</v>
      </c>
      <c r="DN58" s="296">
        <v>0</v>
      </c>
      <c r="DO58" s="296">
        <v>0</v>
      </c>
      <c r="DP58" s="296">
        <v>0</v>
      </c>
      <c r="DQ58" s="296">
        <v>0</v>
      </c>
      <c r="DR58" s="296">
        <v>0</v>
      </c>
      <c r="DS58" s="296">
        <v>0</v>
      </c>
      <c r="DT58" s="296">
        <v>0</v>
      </c>
      <c r="DU58" s="296">
        <v>0</v>
      </c>
      <c r="DV58" s="301" t="s">
        <v>548</v>
      </c>
    </row>
    <row r="59" spans="1:126" ht="24.95" customHeight="1" thickBot="1" x14ac:dyDescent="0.3">
      <c r="A59" s="29" t="str">
        <f t="shared" si="0"/>
        <v>58º</v>
      </c>
      <c r="B59" s="69" t="str">
        <f t="shared" si="89"/>
        <v>Marcelo</v>
      </c>
      <c r="C59" s="269" t="str">
        <f t="shared" si="90"/>
        <v>BRA</v>
      </c>
      <c r="D59" s="99" t="str">
        <f t="shared" si="91"/>
        <v>Somente Pé Direito</v>
      </c>
      <c r="E59" s="28" t="str">
        <f t="shared" si="92"/>
        <v>CEC</v>
      </c>
      <c r="F59" s="169">
        <f t="shared" si="93"/>
        <v>22</v>
      </c>
      <c r="G59" s="2" t="str">
        <f t="shared" si="94"/>
        <v>0 €</v>
      </c>
      <c r="H59" s="154">
        <f t="shared" si="95"/>
        <v>1.86</v>
      </c>
      <c r="I59" s="64">
        <f t="shared" si="96"/>
        <v>47118</v>
      </c>
      <c r="J59" s="304" t="str">
        <f t="shared" si="97"/>
        <v>2,3m € p/m</v>
      </c>
      <c r="K59" s="96">
        <f t="shared" si="10"/>
        <v>3.5222222222222221</v>
      </c>
      <c r="L59" s="146">
        <f t="shared" si="98"/>
        <v>0</v>
      </c>
      <c r="M59" s="6">
        <f t="shared" si="99"/>
        <v>0</v>
      </c>
      <c r="N59" s="5">
        <f t="shared" si="100"/>
        <v>5400</v>
      </c>
      <c r="O59" s="21">
        <f t="shared" si="101"/>
        <v>0</v>
      </c>
      <c r="P59" s="2">
        <f t="shared" si="102"/>
        <v>0</v>
      </c>
      <c r="Q59" s="2">
        <f t="shared" si="103"/>
        <v>0</v>
      </c>
      <c r="R59" s="5">
        <f t="shared" si="104"/>
        <v>0</v>
      </c>
      <c r="S59" s="2">
        <f t="shared" si="105"/>
        <v>0</v>
      </c>
      <c r="T59" s="2">
        <f t="shared" si="106"/>
        <v>0</v>
      </c>
      <c r="U59" s="102">
        <f t="shared" si="107"/>
        <v>0</v>
      </c>
      <c r="V59" s="102">
        <f t="shared" si="108"/>
        <v>0</v>
      </c>
      <c r="W59" s="6">
        <f t="shared" si="109"/>
        <v>0</v>
      </c>
      <c r="X59" s="5">
        <f t="shared" si="110"/>
        <v>0</v>
      </c>
      <c r="Y59" s="6">
        <f t="shared" si="111"/>
        <v>0</v>
      </c>
      <c r="Z59" s="5" t="e">
        <f t="shared" si="112"/>
        <v>#DIV/0!</v>
      </c>
      <c r="AA59" s="21">
        <f t="shared" si="113"/>
        <v>0</v>
      </c>
      <c r="AB59" s="6">
        <f t="shared" si="114"/>
        <v>0</v>
      </c>
      <c r="AC59" s="5" t="e">
        <f t="shared" si="115"/>
        <v>#DIV/0!</v>
      </c>
      <c r="AD59" s="6">
        <f t="shared" si="116"/>
        <v>0</v>
      </c>
      <c r="AE59" s="5">
        <f t="shared" si="117"/>
        <v>0</v>
      </c>
      <c r="AF59" s="21">
        <f t="shared" si="118"/>
        <v>0</v>
      </c>
      <c r="AG59" s="6">
        <f t="shared" si="119"/>
        <v>0</v>
      </c>
      <c r="AH59" s="5">
        <f t="shared" si="120"/>
        <v>0</v>
      </c>
      <c r="AI59" s="21">
        <f t="shared" si="121"/>
        <v>0</v>
      </c>
      <c r="AJ59" s="6">
        <f t="shared" si="122"/>
        <v>0</v>
      </c>
      <c r="AK59" s="5">
        <f t="shared" si="123"/>
        <v>0</v>
      </c>
      <c r="AL59" s="21">
        <f t="shared" si="124"/>
        <v>0</v>
      </c>
      <c r="AM59" s="21">
        <f t="shared" si="125"/>
        <v>0</v>
      </c>
      <c r="AN59" s="6">
        <f t="shared" si="126"/>
        <v>0</v>
      </c>
      <c r="AO59" s="5">
        <f t="shared" si="127"/>
        <v>0</v>
      </c>
      <c r="AP59" s="6">
        <f t="shared" si="128"/>
        <v>0</v>
      </c>
      <c r="AQ59" s="5">
        <f t="shared" si="129"/>
        <v>0</v>
      </c>
      <c r="AR59" s="2">
        <f t="shared" si="130"/>
        <v>0</v>
      </c>
      <c r="AS59" s="5">
        <f t="shared" si="131"/>
        <v>0</v>
      </c>
      <c r="AT59" s="21">
        <f t="shared" si="132"/>
        <v>0</v>
      </c>
      <c r="AU59" s="20">
        <f t="shared" si="133"/>
        <v>0</v>
      </c>
      <c r="AV59" s="20">
        <f t="shared" si="134"/>
        <v>1</v>
      </c>
      <c r="AW59" s="199">
        <f t="shared" si="135"/>
        <v>0</v>
      </c>
      <c r="AX59" s="24">
        <f t="shared" si="136"/>
        <v>0</v>
      </c>
      <c r="AY59" s="5">
        <f t="shared" si="137"/>
        <v>0</v>
      </c>
      <c r="AZ59" s="5">
        <f t="shared" si="138"/>
        <v>0</v>
      </c>
      <c r="BA59" s="5">
        <f t="shared" si="139"/>
        <v>0</v>
      </c>
      <c r="BB59" s="5">
        <f t="shared" si="140"/>
        <v>0</v>
      </c>
      <c r="BC59" s="5">
        <f t="shared" si="141"/>
        <v>0</v>
      </c>
      <c r="BD59" s="5">
        <f t="shared" si="142"/>
        <v>0</v>
      </c>
      <c r="BE59" s="199">
        <f t="shared" si="143"/>
        <v>0</v>
      </c>
      <c r="BF59" s="21">
        <f t="shared" si="144"/>
        <v>0</v>
      </c>
      <c r="BG59" s="6">
        <f t="shared" si="145"/>
        <v>0</v>
      </c>
      <c r="BH59" s="5" t="e">
        <f t="shared" si="146"/>
        <v>#DIV/0!</v>
      </c>
      <c r="BI59" s="6">
        <f t="shared" si="147"/>
        <v>0</v>
      </c>
      <c r="BJ59" s="5" t="e">
        <f t="shared" si="148"/>
        <v>#DIV/0!</v>
      </c>
      <c r="BK59" s="20">
        <f t="shared" si="149"/>
        <v>-9.9999999999999998E-13</v>
      </c>
      <c r="BL59" s="20">
        <f t="shared" si="150"/>
        <v>0</v>
      </c>
      <c r="BM59" s="6">
        <f t="shared" si="151"/>
        <v>0</v>
      </c>
      <c r="BN59" s="5">
        <f t="shared" si="152"/>
        <v>0</v>
      </c>
      <c r="BO59" s="333">
        <f t="shared" si="153"/>
        <v>0</v>
      </c>
      <c r="BP59" s="334">
        <f t="shared" si="154"/>
        <v>0</v>
      </c>
      <c r="BQ59" s="6">
        <f t="shared" si="155"/>
        <v>0</v>
      </c>
      <c r="BR59" s="5">
        <f t="shared" si="156"/>
        <v>0</v>
      </c>
      <c r="BS59" s="6">
        <f t="shared" si="157"/>
        <v>0</v>
      </c>
      <c r="BT59" s="5">
        <f t="shared" si="158"/>
        <v>0</v>
      </c>
      <c r="BU59" s="181">
        <f t="shared" si="159"/>
        <v>0</v>
      </c>
      <c r="BV59" s="154">
        <f t="shared" si="160"/>
        <v>0</v>
      </c>
      <c r="BW59" s="181">
        <f t="shared" si="161"/>
        <v>0</v>
      </c>
      <c r="BX59" s="180">
        <f t="shared" si="162"/>
        <v>0</v>
      </c>
      <c r="BY59" s="181">
        <f t="shared" si="163"/>
        <v>0</v>
      </c>
      <c r="BZ59" s="154">
        <f t="shared" si="164"/>
        <v>0</v>
      </c>
      <c r="CA59" s="182">
        <f t="shared" si="165"/>
        <v>0</v>
      </c>
      <c r="CB59" s="2">
        <f t="shared" si="166"/>
        <v>0</v>
      </c>
      <c r="CC59" s="2">
        <f t="shared" si="167"/>
        <v>0</v>
      </c>
      <c r="CD59" s="2">
        <f t="shared" si="168"/>
        <v>0</v>
      </c>
      <c r="CE59" s="2">
        <f t="shared" si="169"/>
        <v>0</v>
      </c>
      <c r="CF59" s="6">
        <f t="shared" si="170"/>
        <v>0</v>
      </c>
      <c r="CG59" s="6">
        <f t="shared" si="171"/>
        <v>0</v>
      </c>
      <c r="CH59" s="6">
        <f t="shared" si="172"/>
        <v>0</v>
      </c>
      <c r="CI59" s="20">
        <f t="shared" si="173"/>
        <v>0</v>
      </c>
      <c r="CJ59" s="133">
        <f t="shared" si="174"/>
        <v>2521</v>
      </c>
      <c r="CK59" s="5">
        <f t="shared" si="175"/>
        <v>0</v>
      </c>
      <c r="CL59" s="302" t="s">
        <v>19</v>
      </c>
      <c r="CM59" s="298" t="s">
        <v>13</v>
      </c>
      <c r="CN59" s="298" t="s">
        <v>1271</v>
      </c>
      <c r="CO59" s="298">
        <v>22</v>
      </c>
      <c r="CP59" s="298" t="s">
        <v>1306</v>
      </c>
      <c r="CQ59" s="298" t="s">
        <v>1131</v>
      </c>
      <c r="CR59" s="298" t="s">
        <v>645</v>
      </c>
      <c r="CS59" s="298" t="s">
        <v>1159</v>
      </c>
      <c r="CT59" s="298" t="s">
        <v>575</v>
      </c>
      <c r="CU59" s="299">
        <v>47118</v>
      </c>
      <c r="CV59" s="298">
        <v>0</v>
      </c>
      <c r="CW59" s="298">
        <v>0</v>
      </c>
      <c r="CX59" s="298">
        <v>0</v>
      </c>
      <c r="CY59" s="298">
        <v>0</v>
      </c>
      <c r="CZ59" s="298">
        <v>0</v>
      </c>
      <c r="DA59" s="298">
        <v>0</v>
      </c>
      <c r="DB59" s="298">
        <v>0</v>
      </c>
      <c r="DC59" s="298">
        <v>0</v>
      </c>
      <c r="DD59" s="298">
        <v>0</v>
      </c>
      <c r="DE59" s="298">
        <v>0</v>
      </c>
      <c r="DF59" s="298">
        <v>0</v>
      </c>
      <c r="DG59" s="298">
        <v>0</v>
      </c>
      <c r="DH59" s="298">
        <v>0</v>
      </c>
      <c r="DI59" s="298">
        <v>0</v>
      </c>
      <c r="DJ59" s="298">
        <v>0</v>
      </c>
      <c r="DK59" s="298">
        <v>0</v>
      </c>
      <c r="DL59" s="298">
        <v>0</v>
      </c>
      <c r="DM59" s="298">
        <v>0</v>
      </c>
      <c r="DN59" s="298">
        <v>0</v>
      </c>
      <c r="DO59" s="298">
        <v>0</v>
      </c>
      <c r="DP59" s="298">
        <v>0</v>
      </c>
      <c r="DQ59" s="298">
        <v>0</v>
      </c>
      <c r="DR59" s="298">
        <v>0</v>
      </c>
      <c r="DS59" s="298">
        <v>0</v>
      </c>
      <c r="DT59" s="298">
        <v>0</v>
      </c>
      <c r="DU59" s="298">
        <v>0</v>
      </c>
      <c r="DV59" s="303" t="s">
        <v>548</v>
      </c>
    </row>
    <row r="60" spans="1:126" ht="24.95" customHeight="1" thickBot="1" x14ac:dyDescent="0.3">
      <c r="A60" s="29" t="str">
        <f t="shared" si="0"/>
        <v>59º</v>
      </c>
      <c r="B60" s="69" t="str">
        <f t="shared" si="89"/>
        <v>Léo</v>
      </c>
      <c r="C60" s="269" t="str">
        <f t="shared" si="90"/>
        <v>BRA</v>
      </c>
      <c r="D60" s="99" t="str">
        <f t="shared" si="91"/>
        <v>Pé Direito</v>
      </c>
      <c r="E60" s="28" t="str">
        <f t="shared" si="92"/>
        <v>JUV</v>
      </c>
      <c r="F60" s="169">
        <f t="shared" si="93"/>
        <v>22</v>
      </c>
      <c r="G60" s="2" t="str">
        <f t="shared" si="94"/>
        <v>0 €</v>
      </c>
      <c r="H60" s="154">
        <f t="shared" si="95"/>
        <v>1.6</v>
      </c>
      <c r="I60" s="64">
        <f t="shared" si="96"/>
        <v>47483</v>
      </c>
      <c r="J60" s="304" t="str">
        <f t="shared" si="97"/>
        <v>825 € p/m</v>
      </c>
      <c r="K60" s="96">
        <f t="shared" si="10"/>
        <v>3.5222222222222221</v>
      </c>
      <c r="L60" s="146">
        <f t="shared" si="98"/>
        <v>0</v>
      </c>
      <c r="M60" s="6">
        <f t="shared" si="99"/>
        <v>0</v>
      </c>
      <c r="N60" s="5">
        <f t="shared" si="100"/>
        <v>5400</v>
      </c>
      <c r="O60" s="21">
        <f t="shared" si="101"/>
        <v>0</v>
      </c>
      <c r="P60" s="2">
        <f t="shared" si="102"/>
        <v>0</v>
      </c>
      <c r="Q60" s="2">
        <f t="shared" si="103"/>
        <v>0</v>
      </c>
      <c r="R60" s="5">
        <f t="shared" si="104"/>
        <v>0</v>
      </c>
      <c r="S60" s="2">
        <f t="shared" si="105"/>
        <v>0</v>
      </c>
      <c r="T60" s="2">
        <f t="shared" si="106"/>
        <v>0</v>
      </c>
      <c r="U60" s="102">
        <f t="shared" si="107"/>
        <v>0</v>
      </c>
      <c r="V60" s="102">
        <f t="shared" si="108"/>
        <v>0</v>
      </c>
      <c r="W60" s="6">
        <f t="shared" si="109"/>
        <v>0</v>
      </c>
      <c r="X60" s="5">
        <f t="shared" si="110"/>
        <v>0</v>
      </c>
      <c r="Y60" s="6">
        <f t="shared" si="111"/>
        <v>0</v>
      </c>
      <c r="Z60" s="5" t="e">
        <f t="shared" si="112"/>
        <v>#DIV/0!</v>
      </c>
      <c r="AA60" s="21">
        <f t="shared" si="113"/>
        <v>0</v>
      </c>
      <c r="AB60" s="6">
        <f t="shared" si="114"/>
        <v>0</v>
      </c>
      <c r="AC60" s="5" t="e">
        <f t="shared" si="115"/>
        <v>#DIV/0!</v>
      </c>
      <c r="AD60" s="6">
        <f t="shared" si="116"/>
        <v>0</v>
      </c>
      <c r="AE60" s="5">
        <f t="shared" si="117"/>
        <v>0</v>
      </c>
      <c r="AF60" s="21">
        <f t="shared" si="118"/>
        <v>0</v>
      </c>
      <c r="AG60" s="6">
        <f t="shared" si="119"/>
        <v>0</v>
      </c>
      <c r="AH60" s="5">
        <f t="shared" si="120"/>
        <v>0</v>
      </c>
      <c r="AI60" s="21">
        <f t="shared" si="121"/>
        <v>0</v>
      </c>
      <c r="AJ60" s="6">
        <f t="shared" si="122"/>
        <v>0</v>
      </c>
      <c r="AK60" s="5">
        <f t="shared" si="123"/>
        <v>0</v>
      </c>
      <c r="AL60" s="21">
        <f t="shared" si="124"/>
        <v>0</v>
      </c>
      <c r="AM60" s="21">
        <f t="shared" si="125"/>
        <v>0</v>
      </c>
      <c r="AN60" s="6">
        <f t="shared" si="126"/>
        <v>0</v>
      </c>
      <c r="AO60" s="5">
        <f t="shared" si="127"/>
        <v>0</v>
      </c>
      <c r="AP60" s="6">
        <f t="shared" si="128"/>
        <v>0</v>
      </c>
      <c r="AQ60" s="5">
        <f t="shared" si="129"/>
        <v>0</v>
      </c>
      <c r="AR60" s="2">
        <f t="shared" si="130"/>
        <v>0</v>
      </c>
      <c r="AS60" s="5">
        <f t="shared" si="131"/>
        <v>0</v>
      </c>
      <c r="AT60" s="21">
        <f t="shared" si="132"/>
        <v>0</v>
      </c>
      <c r="AU60" s="20">
        <f t="shared" si="133"/>
        <v>0</v>
      </c>
      <c r="AV60" s="20">
        <f t="shared" si="134"/>
        <v>1</v>
      </c>
      <c r="AW60" s="199">
        <f t="shared" si="135"/>
        <v>0</v>
      </c>
      <c r="AX60" s="24">
        <f t="shared" si="136"/>
        <v>0</v>
      </c>
      <c r="AY60" s="5">
        <f t="shared" si="137"/>
        <v>0</v>
      </c>
      <c r="AZ60" s="5">
        <f t="shared" si="138"/>
        <v>0</v>
      </c>
      <c r="BA60" s="5">
        <f t="shared" si="139"/>
        <v>0</v>
      </c>
      <c r="BB60" s="5">
        <f t="shared" si="140"/>
        <v>0</v>
      </c>
      <c r="BC60" s="5">
        <f t="shared" si="141"/>
        <v>0</v>
      </c>
      <c r="BD60" s="5">
        <f t="shared" si="142"/>
        <v>0</v>
      </c>
      <c r="BE60" s="199">
        <f t="shared" si="143"/>
        <v>0</v>
      </c>
      <c r="BF60" s="21">
        <f t="shared" si="144"/>
        <v>0</v>
      </c>
      <c r="BG60" s="6">
        <f t="shared" si="145"/>
        <v>0</v>
      </c>
      <c r="BH60" s="5" t="e">
        <f t="shared" si="146"/>
        <v>#DIV/0!</v>
      </c>
      <c r="BI60" s="6">
        <f t="shared" si="147"/>
        <v>0</v>
      </c>
      <c r="BJ60" s="5" t="e">
        <f t="shared" si="148"/>
        <v>#DIV/0!</v>
      </c>
      <c r="BK60" s="20">
        <f t="shared" si="149"/>
        <v>-9.9999999999999998E-13</v>
      </c>
      <c r="BL60" s="20">
        <f t="shared" si="150"/>
        <v>0</v>
      </c>
      <c r="BM60" s="6">
        <f t="shared" si="151"/>
        <v>0</v>
      </c>
      <c r="BN60" s="5">
        <f t="shared" si="152"/>
        <v>0</v>
      </c>
      <c r="BO60" s="333">
        <f t="shared" si="153"/>
        <v>0</v>
      </c>
      <c r="BP60" s="334">
        <f t="shared" si="154"/>
        <v>0</v>
      </c>
      <c r="BQ60" s="6">
        <f t="shared" si="155"/>
        <v>0</v>
      </c>
      <c r="BR60" s="5">
        <f t="shared" si="156"/>
        <v>0</v>
      </c>
      <c r="BS60" s="6">
        <f t="shared" si="157"/>
        <v>0</v>
      </c>
      <c r="BT60" s="5">
        <f t="shared" si="158"/>
        <v>0</v>
      </c>
      <c r="BU60" s="181">
        <f t="shared" si="159"/>
        <v>0</v>
      </c>
      <c r="BV60" s="154">
        <f t="shared" si="160"/>
        <v>0</v>
      </c>
      <c r="BW60" s="181">
        <f t="shared" si="161"/>
        <v>0</v>
      </c>
      <c r="BX60" s="180">
        <f t="shared" si="162"/>
        <v>0</v>
      </c>
      <c r="BY60" s="181">
        <f t="shared" si="163"/>
        <v>0</v>
      </c>
      <c r="BZ60" s="154">
        <f t="shared" si="164"/>
        <v>0</v>
      </c>
      <c r="CA60" s="182">
        <f t="shared" si="165"/>
        <v>0</v>
      </c>
      <c r="CB60" s="2">
        <f t="shared" si="166"/>
        <v>0</v>
      </c>
      <c r="CC60" s="2">
        <f t="shared" si="167"/>
        <v>0</v>
      </c>
      <c r="CD60" s="2">
        <f t="shared" si="168"/>
        <v>0</v>
      </c>
      <c r="CE60" s="2">
        <f t="shared" si="169"/>
        <v>0</v>
      </c>
      <c r="CF60" s="6">
        <f t="shared" si="170"/>
        <v>0</v>
      </c>
      <c r="CG60" s="6">
        <f t="shared" si="171"/>
        <v>0</v>
      </c>
      <c r="CH60" s="6">
        <f t="shared" si="172"/>
        <v>0</v>
      </c>
      <c r="CI60" s="20">
        <f t="shared" si="173"/>
        <v>0</v>
      </c>
      <c r="CJ60" s="133">
        <f t="shared" si="174"/>
        <v>2521</v>
      </c>
      <c r="CK60" s="5">
        <f t="shared" si="175"/>
        <v>0</v>
      </c>
      <c r="CL60" s="300" t="s">
        <v>19</v>
      </c>
      <c r="CM60" s="296" t="s">
        <v>13</v>
      </c>
      <c r="CN60" s="296" t="s">
        <v>1307</v>
      </c>
      <c r="CO60" s="296">
        <v>22</v>
      </c>
      <c r="CP60" s="296" t="s">
        <v>1308</v>
      </c>
      <c r="CQ60" s="296" t="s">
        <v>1131</v>
      </c>
      <c r="CR60" s="296" t="s">
        <v>644</v>
      </c>
      <c r="CS60" s="296" t="s">
        <v>1309</v>
      </c>
      <c r="CT60" s="296" t="s">
        <v>1310</v>
      </c>
      <c r="CU60" s="297">
        <v>47483</v>
      </c>
      <c r="CV60" s="296">
        <v>0</v>
      </c>
      <c r="CW60" s="296">
        <v>0</v>
      </c>
      <c r="CX60" s="296">
        <v>0</v>
      </c>
      <c r="CY60" s="296">
        <v>0</v>
      </c>
      <c r="CZ60" s="296">
        <v>0</v>
      </c>
      <c r="DA60" s="296">
        <v>0</v>
      </c>
      <c r="DB60" s="296">
        <v>0</v>
      </c>
      <c r="DC60" s="296">
        <v>0</v>
      </c>
      <c r="DD60" s="296">
        <v>0</v>
      </c>
      <c r="DE60" s="296">
        <v>0</v>
      </c>
      <c r="DF60" s="296">
        <v>0</v>
      </c>
      <c r="DG60" s="296">
        <v>0</v>
      </c>
      <c r="DH60" s="296">
        <v>0</v>
      </c>
      <c r="DI60" s="296">
        <v>0</v>
      </c>
      <c r="DJ60" s="296">
        <v>0</v>
      </c>
      <c r="DK60" s="296">
        <v>0</v>
      </c>
      <c r="DL60" s="296">
        <v>0</v>
      </c>
      <c r="DM60" s="296">
        <v>0</v>
      </c>
      <c r="DN60" s="296">
        <v>0</v>
      </c>
      <c r="DO60" s="296">
        <v>0</v>
      </c>
      <c r="DP60" s="296">
        <v>0</v>
      </c>
      <c r="DQ60" s="296">
        <v>0</v>
      </c>
      <c r="DR60" s="296">
        <v>0</v>
      </c>
      <c r="DS60" s="296">
        <v>0</v>
      </c>
      <c r="DT60" s="296">
        <v>0</v>
      </c>
      <c r="DU60" s="296">
        <v>0</v>
      </c>
      <c r="DV60" s="301" t="s">
        <v>548</v>
      </c>
    </row>
    <row r="61" spans="1:126" ht="24.95" customHeight="1" thickBot="1" x14ac:dyDescent="0.3">
      <c r="A61" s="29" t="str">
        <f t="shared" si="0"/>
        <v>60º</v>
      </c>
      <c r="B61" s="69" t="str">
        <f t="shared" si="89"/>
        <v>Antônio Carlos</v>
      </c>
      <c r="C61" s="269" t="str">
        <f t="shared" si="90"/>
        <v>BRA</v>
      </c>
      <c r="D61" s="99" t="str">
        <f t="shared" si="91"/>
        <v>Pé Direito</v>
      </c>
      <c r="E61" s="28" t="str">
        <f t="shared" si="92"/>
        <v>FLU</v>
      </c>
      <c r="F61" s="169">
        <f t="shared" si="93"/>
        <v>22</v>
      </c>
      <c r="G61" s="2" t="str">
        <f t="shared" si="94"/>
        <v>0 €</v>
      </c>
      <c r="H61" s="154">
        <f t="shared" si="95"/>
        <v>1.88</v>
      </c>
      <c r="I61" s="64">
        <f t="shared" si="96"/>
        <v>47118</v>
      </c>
      <c r="J61" s="304" t="str">
        <f t="shared" si="97"/>
        <v>1,1m € p/m</v>
      </c>
      <c r="K61" s="96">
        <f t="shared" si="10"/>
        <v>3.5222222222222221</v>
      </c>
      <c r="L61" s="146">
        <f t="shared" si="98"/>
        <v>0</v>
      </c>
      <c r="M61" s="6">
        <f t="shared" si="99"/>
        <v>0</v>
      </c>
      <c r="N61" s="5">
        <f t="shared" si="100"/>
        <v>5400</v>
      </c>
      <c r="O61" s="21">
        <f t="shared" si="101"/>
        <v>0</v>
      </c>
      <c r="P61" s="2">
        <f t="shared" si="102"/>
        <v>0</v>
      </c>
      <c r="Q61" s="2">
        <f t="shared" si="103"/>
        <v>0</v>
      </c>
      <c r="R61" s="5">
        <f t="shared" si="104"/>
        <v>0</v>
      </c>
      <c r="S61" s="2">
        <f t="shared" si="105"/>
        <v>0</v>
      </c>
      <c r="T61" s="2">
        <f t="shared" si="106"/>
        <v>0</v>
      </c>
      <c r="U61" s="102">
        <f t="shared" si="107"/>
        <v>0</v>
      </c>
      <c r="V61" s="102">
        <f t="shared" si="108"/>
        <v>0</v>
      </c>
      <c r="W61" s="6">
        <f t="shared" si="109"/>
        <v>0</v>
      </c>
      <c r="X61" s="5">
        <f t="shared" si="110"/>
        <v>0</v>
      </c>
      <c r="Y61" s="6">
        <f t="shared" si="111"/>
        <v>0</v>
      </c>
      <c r="Z61" s="5" t="e">
        <f t="shared" si="112"/>
        <v>#DIV/0!</v>
      </c>
      <c r="AA61" s="21">
        <f t="shared" si="113"/>
        <v>0</v>
      </c>
      <c r="AB61" s="6">
        <f t="shared" si="114"/>
        <v>0</v>
      </c>
      <c r="AC61" s="5" t="e">
        <f t="shared" si="115"/>
        <v>#DIV/0!</v>
      </c>
      <c r="AD61" s="6">
        <f t="shared" si="116"/>
        <v>0</v>
      </c>
      <c r="AE61" s="5">
        <f t="shared" si="117"/>
        <v>0</v>
      </c>
      <c r="AF61" s="21">
        <f t="shared" si="118"/>
        <v>0</v>
      </c>
      <c r="AG61" s="6">
        <f t="shared" si="119"/>
        <v>0</v>
      </c>
      <c r="AH61" s="5">
        <f t="shared" si="120"/>
        <v>0</v>
      </c>
      <c r="AI61" s="21">
        <f t="shared" si="121"/>
        <v>0</v>
      </c>
      <c r="AJ61" s="6">
        <f t="shared" si="122"/>
        <v>0</v>
      </c>
      <c r="AK61" s="5">
        <f t="shared" si="123"/>
        <v>0</v>
      </c>
      <c r="AL61" s="21">
        <f t="shared" si="124"/>
        <v>0</v>
      </c>
      <c r="AM61" s="21">
        <f t="shared" si="125"/>
        <v>0</v>
      </c>
      <c r="AN61" s="6">
        <f t="shared" si="126"/>
        <v>0</v>
      </c>
      <c r="AO61" s="5">
        <f t="shared" si="127"/>
        <v>0</v>
      </c>
      <c r="AP61" s="6">
        <f t="shared" si="128"/>
        <v>0</v>
      </c>
      <c r="AQ61" s="5">
        <f t="shared" si="129"/>
        <v>0</v>
      </c>
      <c r="AR61" s="2">
        <f t="shared" si="130"/>
        <v>0</v>
      </c>
      <c r="AS61" s="5">
        <f t="shared" si="131"/>
        <v>0</v>
      </c>
      <c r="AT61" s="21">
        <f t="shared" si="132"/>
        <v>0</v>
      </c>
      <c r="AU61" s="20">
        <f t="shared" si="133"/>
        <v>0</v>
      </c>
      <c r="AV61" s="20">
        <f t="shared" si="134"/>
        <v>1</v>
      </c>
      <c r="AW61" s="199">
        <f t="shared" si="135"/>
        <v>0</v>
      </c>
      <c r="AX61" s="24">
        <f t="shared" si="136"/>
        <v>0</v>
      </c>
      <c r="AY61" s="5">
        <f t="shared" si="137"/>
        <v>0</v>
      </c>
      <c r="AZ61" s="5">
        <f t="shared" si="138"/>
        <v>0</v>
      </c>
      <c r="BA61" s="5">
        <f t="shared" si="139"/>
        <v>0</v>
      </c>
      <c r="BB61" s="5">
        <f t="shared" si="140"/>
        <v>0</v>
      </c>
      <c r="BC61" s="5">
        <f t="shared" si="141"/>
        <v>0</v>
      </c>
      <c r="BD61" s="5">
        <f t="shared" si="142"/>
        <v>0</v>
      </c>
      <c r="BE61" s="199">
        <f t="shared" si="143"/>
        <v>0</v>
      </c>
      <c r="BF61" s="21">
        <f t="shared" si="144"/>
        <v>0</v>
      </c>
      <c r="BG61" s="6">
        <f t="shared" si="145"/>
        <v>0</v>
      </c>
      <c r="BH61" s="5" t="e">
        <f t="shared" si="146"/>
        <v>#DIV/0!</v>
      </c>
      <c r="BI61" s="6">
        <f t="shared" si="147"/>
        <v>0</v>
      </c>
      <c r="BJ61" s="5" t="e">
        <f t="shared" si="148"/>
        <v>#DIV/0!</v>
      </c>
      <c r="BK61" s="20">
        <f t="shared" si="149"/>
        <v>-9.9999999999999998E-13</v>
      </c>
      <c r="BL61" s="20">
        <f t="shared" si="150"/>
        <v>0</v>
      </c>
      <c r="BM61" s="6">
        <f t="shared" si="151"/>
        <v>0</v>
      </c>
      <c r="BN61" s="5">
        <f t="shared" si="152"/>
        <v>0</v>
      </c>
      <c r="BO61" s="333">
        <f t="shared" si="153"/>
        <v>0</v>
      </c>
      <c r="BP61" s="334">
        <f t="shared" si="154"/>
        <v>0</v>
      </c>
      <c r="BQ61" s="6">
        <f t="shared" si="155"/>
        <v>0</v>
      </c>
      <c r="BR61" s="5">
        <f t="shared" si="156"/>
        <v>0</v>
      </c>
      <c r="BS61" s="6">
        <f t="shared" si="157"/>
        <v>0</v>
      </c>
      <c r="BT61" s="5">
        <f t="shared" si="158"/>
        <v>0</v>
      </c>
      <c r="BU61" s="181">
        <f t="shared" si="159"/>
        <v>0</v>
      </c>
      <c r="BV61" s="154">
        <f t="shared" si="160"/>
        <v>0</v>
      </c>
      <c r="BW61" s="181">
        <f t="shared" si="161"/>
        <v>0</v>
      </c>
      <c r="BX61" s="180">
        <f t="shared" si="162"/>
        <v>0</v>
      </c>
      <c r="BY61" s="181">
        <f t="shared" si="163"/>
        <v>0</v>
      </c>
      <c r="BZ61" s="154">
        <f t="shared" si="164"/>
        <v>0</v>
      </c>
      <c r="CA61" s="182">
        <f t="shared" si="165"/>
        <v>0</v>
      </c>
      <c r="CB61" s="2">
        <f t="shared" si="166"/>
        <v>0</v>
      </c>
      <c r="CC61" s="2">
        <f t="shared" si="167"/>
        <v>0</v>
      </c>
      <c r="CD61" s="2">
        <f t="shared" si="168"/>
        <v>0</v>
      </c>
      <c r="CE61" s="2">
        <f t="shared" si="169"/>
        <v>0</v>
      </c>
      <c r="CF61" s="6">
        <f t="shared" si="170"/>
        <v>0</v>
      </c>
      <c r="CG61" s="6">
        <f t="shared" si="171"/>
        <v>0</v>
      </c>
      <c r="CH61" s="6">
        <f t="shared" si="172"/>
        <v>0</v>
      </c>
      <c r="CI61" s="20">
        <f t="shared" si="173"/>
        <v>0</v>
      </c>
      <c r="CJ61" s="133">
        <f t="shared" si="174"/>
        <v>2521</v>
      </c>
      <c r="CK61" s="5">
        <f t="shared" si="175"/>
        <v>0</v>
      </c>
      <c r="CL61" s="302"/>
      <c r="CM61" s="298" t="s">
        <v>13</v>
      </c>
      <c r="CN61" s="298" t="s">
        <v>1311</v>
      </c>
      <c r="CO61" s="298">
        <v>22</v>
      </c>
      <c r="CP61" s="298" t="s">
        <v>1312</v>
      </c>
      <c r="CQ61" s="298" t="s">
        <v>1131</v>
      </c>
      <c r="CR61" s="298" t="s">
        <v>644</v>
      </c>
      <c r="CS61" s="298" t="s">
        <v>887</v>
      </c>
      <c r="CT61" s="298" t="s">
        <v>552</v>
      </c>
      <c r="CU61" s="299">
        <v>47118</v>
      </c>
      <c r="CV61" s="298">
        <v>0</v>
      </c>
      <c r="CW61" s="298">
        <v>0</v>
      </c>
      <c r="CX61" s="298">
        <v>0</v>
      </c>
      <c r="CY61" s="298">
        <v>0</v>
      </c>
      <c r="CZ61" s="298">
        <v>0</v>
      </c>
      <c r="DA61" s="298">
        <v>0</v>
      </c>
      <c r="DB61" s="298">
        <v>0</v>
      </c>
      <c r="DC61" s="298">
        <v>0</v>
      </c>
      <c r="DD61" s="298">
        <v>0</v>
      </c>
      <c r="DE61" s="298">
        <v>0</v>
      </c>
      <c r="DF61" s="298">
        <v>0</v>
      </c>
      <c r="DG61" s="298">
        <v>0</v>
      </c>
      <c r="DH61" s="298">
        <v>0</v>
      </c>
      <c r="DI61" s="298">
        <v>0</v>
      </c>
      <c r="DJ61" s="298">
        <v>0</v>
      </c>
      <c r="DK61" s="298">
        <v>0</v>
      </c>
      <c r="DL61" s="298">
        <v>0</v>
      </c>
      <c r="DM61" s="298">
        <v>0</v>
      </c>
      <c r="DN61" s="298">
        <v>0</v>
      </c>
      <c r="DO61" s="298">
        <v>0</v>
      </c>
      <c r="DP61" s="298">
        <v>0</v>
      </c>
      <c r="DQ61" s="298">
        <v>0</v>
      </c>
      <c r="DR61" s="298">
        <v>0</v>
      </c>
      <c r="DS61" s="298">
        <v>0</v>
      </c>
      <c r="DT61" s="298">
        <v>0</v>
      </c>
      <c r="DU61" s="298">
        <v>0</v>
      </c>
      <c r="DV61" s="303" t="s">
        <v>548</v>
      </c>
    </row>
    <row r="62" spans="1:126" ht="24.95" customHeight="1" thickBot="1" x14ac:dyDescent="0.3">
      <c r="A62" s="29" t="str">
        <f t="shared" si="0"/>
        <v>61º</v>
      </c>
      <c r="B62" s="69" t="str">
        <f t="shared" si="89"/>
        <v>Matheus</v>
      </c>
      <c r="C62" s="269" t="str">
        <f t="shared" si="90"/>
        <v>BRA</v>
      </c>
      <c r="D62" s="99" t="str">
        <f t="shared" si="91"/>
        <v>Somente Pé Direito</v>
      </c>
      <c r="E62" s="28" t="str">
        <f t="shared" si="92"/>
        <v>COR</v>
      </c>
      <c r="F62" s="169">
        <f t="shared" si="93"/>
        <v>22</v>
      </c>
      <c r="G62" s="2" t="str">
        <f t="shared" si="94"/>
        <v>0 €</v>
      </c>
      <c r="H62" s="154">
        <f t="shared" si="95"/>
        <v>1.84</v>
      </c>
      <c r="I62" s="64">
        <f t="shared" si="96"/>
        <v>47118</v>
      </c>
      <c r="J62" s="304" t="str">
        <f t="shared" si="97"/>
        <v>3,1m € p/m</v>
      </c>
      <c r="K62" s="96">
        <f t="shared" si="10"/>
        <v>3.5222222222222221</v>
      </c>
      <c r="L62" s="146">
        <f t="shared" si="98"/>
        <v>0</v>
      </c>
      <c r="M62" s="6">
        <f t="shared" si="99"/>
        <v>0</v>
      </c>
      <c r="N62" s="5">
        <f t="shared" si="100"/>
        <v>5400</v>
      </c>
      <c r="O62" s="21">
        <f t="shared" si="101"/>
        <v>0</v>
      </c>
      <c r="P62" s="2">
        <f t="shared" si="102"/>
        <v>0</v>
      </c>
      <c r="Q62" s="2">
        <f t="shared" si="103"/>
        <v>0</v>
      </c>
      <c r="R62" s="5">
        <f t="shared" si="104"/>
        <v>0</v>
      </c>
      <c r="S62" s="2">
        <f t="shared" si="105"/>
        <v>0</v>
      </c>
      <c r="T62" s="2">
        <f t="shared" si="106"/>
        <v>0</v>
      </c>
      <c r="U62" s="102">
        <f t="shared" si="107"/>
        <v>0</v>
      </c>
      <c r="V62" s="102">
        <f t="shared" si="108"/>
        <v>0</v>
      </c>
      <c r="W62" s="6">
        <f t="shared" si="109"/>
        <v>0</v>
      </c>
      <c r="X62" s="5">
        <f t="shared" si="110"/>
        <v>0</v>
      </c>
      <c r="Y62" s="6">
        <f t="shared" si="111"/>
        <v>0</v>
      </c>
      <c r="Z62" s="5" t="e">
        <f t="shared" si="112"/>
        <v>#DIV/0!</v>
      </c>
      <c r="AA62" s="21">
        <f t="shared" si="113"/>
        <v>0</v>
      </c>
      <c r="AB62" s="6">
        <f t="shared" si="114"/>
        <v>0</v>
      </c>
      <c r="AC62" s="5" t="e">
        <f t="shared" si="115"/>
        <v>#DIV/0!</v>
      </c>
      <c r="AD62" s="6">
        <f t="shared" si="116"/>
        <v>0</v>
      </c>
      <c r="AE62" s="5">
        <f t="shared" si="117"/>
        <v>0</v>
      </c>
      <c r="AF62" s="21">
        <f t="shared" si="118"/>
        <v>0</v>
      </c>
      <c r="AG62" s="6">
        <f t="shared" si="119"/>
        <v>0</v>
      </c>
      <c r="AH62" s="5">
        <f t="shared" si="120"/>
        <v>0</v>
      </c>
      <c r="AI62" s="21">
        <f t="shared" si="121"/>
        <v>0</v>
      </c>
      <c r="AJ62" s="6">
        <f t="shared" si="122"/>
        <v>0</v>
      </c>
      <c r="AK62" s="5">
        <f t="shared" si="123"/>
        <v>0</v>
      </c>
      <c r="AL62" s="21">
        <f t="shared" si="124"/>
        <v>0</v>
      </c>
      <c r="AM62" s="21">
        <f t="shared" si="125"/>
        <v>0</v>
      </c>
      <c r="AN62" s="6">
        <f t="shared" si="126"/>
        <v>0</v>
      </c>
      <c r="AO62" s="5">
        <f t="shared" si="127"/>
        <v>0</v>
      </c>
      <c r="AP62" s="6">
        <f t="shared" si="128"/>
        <v>0</v>
      </c>
      <c r="AQ62" s="5">
        <f t="shared" si="129"/>
        <v>0</v>
      </c>
      <c r="AR62" s="2">
        <f t="shared" si="130"/>
        <v>0</v>
      </c>
      <c r="AS62" s="5">
        <f t="shared" si="131"/>
        <v>0</v>
      </c>
      <c r="AT62" s="21">
        <f t="shared" si="132"/>
        <v>0</v>
      </c>
      <c r="AU62" s="20">
        <f t="shared" si="133"/>
        <v>0</v>
      </c>
      <c r="AV62" s="20">
        <f t="shared" si="134"/>
        <v>1</v>
      </c>
      <c r="AW62" s="199">
        <f t="shared" si="135"/>
        <v>0</v>
      </c>
      <c r="AX62" s="24">
        <f t="shared" si="136"/>
        <v>0</v>
      </c>
      <c r="AY62" s="5">
        <f t="shared" si="137"/>
        <v>0</v>
      </c>
      <c r="AZ62" s="5">
        <f t="shared" si="138"/>
        <v>0</v>
      </c>
      <c r="BA62" s="5">
        <f t="shared" si="139"/>
        <v>0</v>
      </c>
      <c r="BB62" s="5">
        <f t="shared" si="140"/>
        <v>0</v>
      </c>
      <c r="BC62" s="5">
        <f t="shared" si="141"/>
        <v>0</v>
      </c>
      <c r="BD62" s="5">
        <f t="shared" si="142"/>
        <v>0</v>
      </c>
      <c r="BE62" s="199">
        <f t="shared" si="143"/>
        <v>0</v>
      </c>
      <c r="BF62" s="21">
        <f t="shared" si="144"/>
        <v>0</v>
      </c>
      <c r="BG62" s="6">
        <f t="shared" si="145"/>
        <v>0</v>
      </c>
      <c r="BH62" s="5" t="e">
        <f t="shared" si="146"/>
        <v>#DIV/0!</v>
      </c>
      <c r="BI62" s="6">
        <f t="shared" si="147"/>
        <v>0</v>
      </c>
      <c r="BJ62" s="5" t="e">
        <f t="shared" si="148"/>
        <v>#DIV/0!</v>
      </c>
      <c r="BK62" s="20">
        <f t="shared" si="149"/>
        <v>-9.9999999999999998E-13</v>
      </c>
      <c r="BL62" s="20">
        <f t="shared" si="150"/>
        <v>0</v>
      </c>
      <c r="BM62" s="6">
        <f t="shared" si="151"/>
        <v>0</v>
      </c>
      <c r="BN62" s="5">
        <f t="shared" si="152"/>
        <v>0</v>
      </c>
      <c r="BO62" s="333">
        <f t="shared" si="153"/>
        <v>0</v>
      </c>
      <c r="BP62" s="334">
        <f t="shared" si="154"/>
        <v>0</v>
      </c>
      <c r="BQ62" s="6">
        <f t="shared" si="155"/>
        <v>0</v>
      </c>
      <c r="BR62" s="5">
        <f t="shared" si="156"/>
        <v>0</v>
      </c>
      <c r="BS62" s="6">
        <f t="shared" si="157"/>
        <v>0</v>
      </c>
      <c r="BT62" s="5">
        <f t="shared" si="158"/>
        <v>0</v>
      </c>
      <c r="BU62" s="181">
        <f t="shared" si="159"/>
        <v>0</v>
      </c>
      <c r="BV62" s="154">
        <f t="shared" si="160"/>
        <v>0</v>
      </c>
      <c r="BW62" s="181">
        <f t="shared" si="161"/>
        <v>0</v>
      </c>
      <c r="BX62" s="180">
        <f t="shared" si="162"/>
        <v>0</v>
      </c>
      <c r="BY62" s="181">
        <f t="shared" si="163"/>
        <v>0</v>
      </c>
      <c r="BZ62" s="154">
        <f t="shared" si="164"/>
        <v>0</v>
      </c>
      <c r="CA62" s="182">
        <f t="shared" si="165"/>
        <v>0</v>
      </c>
      <c r="CB62" s="2">
        <f t="shared" si="166"/>
        <v>0</v>
      </c>
      <c r="CC62" s="2">
        <f t="shared" si="167"/>
        <v>0</v>
      </c>
      <c r="CD62" s="2">
        <f t="shared" si="168"/>
        <v>0</v>
      </c>
      <c r="CE62" s="2">
        <f t="shared" si="169"/>
        <v>0</v>
      </c>
      <c r="CF62" s="6">
        <f t="shared" si="170"/>
        <v>0</v>
      </c>
      <c r="CG62" s="6">
        <f t="shared" si="171"/>
        <v>0</v>
      </c>
      <c r="CH62" s="6">
        <f t="shared" si="172"/>
        <v>0</v>
      </c>
      <c r="CI62" s="20">
        <f t="shared" si="173"/>
        <v>0</v>
      </c>
      <c r="CJ62" s="133">
        <f t="shared" si="174"/>
        <v>2521</v>
      </c>
      <c r="CK62" s="5">
        <f t="shared" si="175"/>
        <v>0</v>
      </c>
      <c r="CL62" s="300" t="s">
        <v>19</v>
      </c>
      <c r="CM62" s="296" t="s">
        <v>13</v>
      </c>
      <c r="CN62" s="296" t="s">
        <v>1250</v>
      </c>
      <c r="CO62" s="296">
        <v>22</v>
      </c>
      <c r="CP62" s="296" t="s">
        <v>1313</v>
      </c>
      <c r="CQ62" s="296" t="s">
        <v>1131</v>
      </c>
      <c r="CR62" s="296" t="s">
        <v>645</v>
      </c>
      <c r="CS62" s="296" t="s">
        <v>1314</v>
      </c>
      <c r="CT62" s="296" t="s">
        <v>574</v>
      </c>
      <c r="CU62" s="297">
        <v>47118</v>
      </c>
      <c r="CV62" s="296">
        <v>0</v>
      </c>
      <c r="CW62" s="296">
        <v>0</v>
      </c>
      <c r="CX62" s="296">
        <v>0</v>
      </c>
      <c r="CY62" s="296">
        <v>0</v>
      </c>
      <c r="CZ62" s="296">
        <v>0</v>
      </c>
      <c r="DA62" s="296">
        <v>0</v>
      </c>
      <c r="DB62" s="296">
        <v>0</v>
      </c>
      <c r="DC62" s="296">
        <v>0</v>
      </c>
      <c r="DD62" s="296">
        <v>0</v>
      </c>
      <c r="DE62" s="296">
        <v>0</v>
      </c>
      <c r="DF62" s="296">
        <v>0</v>
      </c>
      <c r="DG62" s="296">
        <v>0</v>
      </c>
      <c r="DH62" s="296">
        <v>0</v>
      </c>
      <c r="DI62" s="296">
        <v>0</v>
      </c>
      <c r="DJ62" s="296">
        <v>0</v>
      </c>
      <c r="DK62" s="296">
        <v>0</v>
      </c>
      <c r="DL62" s="296">
        <v>0</v>
      </c>
      <c r="DM62" s="296">
        <v>0</v>
      </c>
      <c r="DN62" s="296">
        <v>0</v>
      </c>
      <c r="DO62" s="296">
        <v>0</v>
      </c>
      <c r="DP62" s="296">
        <v>0</v>
      </c>
      <c r="DQ62" s="296">
        <v>0</v>
      </c>
      <c r="DR62" s="296">
        <v>0</v>
      </c>
      <c r="DS62" s="296">
        <v>0</v>
      </c>
      <c r="DT62" s="296">
        <v>0</v>
      </c>
      <c r="DU62" s="296">
        <v>0</v>
      </c>
      <c r="DV62" s="301" t="s">
        <v>548</v>
      </c>
    </row>
    <row r="63" spans="1:126" ht="24.95" customHeight="1" thickBot="1" x14ac:dyDescent="0.3">
      <c r="A63" s="29" t="str">
        <f t="shared" si="0"/>
        <v>62º</v>
      </c>
      <c r="B63" s="69" t="str">
        <f t="shared" si="89"/>
        <v>Martins</v>
      </c>
      <c r="C63" s="269" t="str">
        <f t="shared" si="90"/>
        <v>BRA</v>
      </c>
      <c r="D63" s="99" t="str">
        <f t="shared" si="91"/>
        <v>Pé Direito</v>
      </c>
      <c r="E63" s="28" t="str">
        <f t="shared" si="92"/>
        <v>CEA</v>
      </c>
      <c r="F63" s="169">
        <f t="shared" si="93"/>
        <v>22</v>
      </c>
      <c r="G63" s="2" t="str">
        <f t="shared" si="94"/>
        <v>0 €</v>
      </c>
      <c r="H63" s="154">
        <f t="shared" si="95"/>
        <v>1.9</v>
      </c>
      <c r="I63" s="64">
        <f t="shared" si="96"/>
        <v>47118</v>
      </c>
      <c r="J63" s="304" t="str">
        <f t="shared" si="97"/>
        <v>875 € p/m</v>
      </c>
      <c r="K63" s="96">
        <f t="shared" si="10"/>
        <v>3.5222222222222221</v>
      </c>
      <c r="L63" s="146">
        <f t="shared" si="98"/>
        <v>0</v>
      </c>
      <c r="M63" s="6">
        <f t="shared" si="99"/>
        <v>0</v>
      </c>
      <c r="N63" s="5">
        <f t="shared" si="100"/>
        <v>5400</v>
      </c>
      <c r="O63" s="21">
        <f t="shared" si="101"/>
        <v>0</v>
      </c>
      <c r="P63" s="2">
        <f t="shared" si="102"/>
        <v>0</v>
      </c>
      <c r="Q63" s="2">
        <f t="shared" si="103"/>
        <v>0</v>
      </c>
      <c r="R63" s="5">
        <f t="shared" si="104"/>
        <v>0</v>
      </c>
      <c r="S63" s="2">
        <f t="shared" si="105"/>
        <v>0</v>
      </c>
      <c r="T63" s="2">
        <f t="shared" si="106"/>
        <v>0</v>
      </c>
      <c r="U63" s="102">
        <f t="shared" si="107"/>
        <v>0</v>
      </c>
      <c r="V63" s="102">
        <f t="shared" si="108"/>
        <v>0</v>
      </c>
      <c r="W63" s="6">
        <f t="shared" si="109"/>
        <v>0</v>
      </c>
      <c r="X63" s="5">
        <f t="shared" si="110"/>
        <v>0</v>
      </c>
      <c r="Y63" s="6">
        <f t="shared" si="111"/>
        <v>0</v>
      </c>
      <c r="Z63" s="5" t="e">
        <f t="shared" si="112"/>
        <v>#DIV/0!</v>
      </c>
      <c r="AA63" s="21">
        <f t="shared" si="113"/>
        <v>0</v>
      </c>
      <c r="AB63" s="6">
        <f t="shared" si="114"/>
        <v>0</v>
      </c>
      <c r="AC63" s="5" t="e">
        <f t="shared" si="115"/>
        <v>#DIV/0!</v>
      </c>
      <c r="AD63" s="6">
        <f t="shared" si="116"/>
        <v>0</v>
      </c>
      <c r="AE63" s="5">
        <f t="shared" si="117"/>
        <v>0</v>
      </c>
      <c r="AF63" s="21">
        <f t="shared" si="118"/>
        <v>0</v>
      </c>
      <c r="AG63" s="6">
        <f t="shared" si="119"/>
        <v>0</v>
      </c>
      <c r="AH63" s="5">
        <f t="shared" si="120"/>
        <v>0</v>
      </c>
      <c r="AI63" s="21">
        <f t="shared" si="121"/>
        <v>0</v>
      </c>
      <c r="AJ63" s="6">
        <f t="shared" si="122"/>
        <v>0</v>
      </c>
      <c r="AK63" s="5">
        <f t="shared" si="123"/>
        <v>0</v>
      </c>
      <c r="AL63" s="21">
        <f t="shared" si="124"/>
        <v>0</v>
      </c>
      <c r="AM63" s="21">
        <f t="shared" si="125"/>
        <v>0</v>
      </c>
      <c r="AN63" s="6">
        <f t="shared" si="126"/>
        <v>0</v>
      </c>
      <c r="AO63" s="5">
        <f t="shared" si="127"/>
        <v>0</v>
      </c>
      <c r="AP63" s="6">
        <f t="shared" si="128"/>
        <v>0</v>
      </c>
      <c r="AQ63" s="5">
        <f t="shared" si="129"/>
        <v>0</v>
      </c>
      <c r="AR63" s="2">
        <f t="shared" si="130"/>
        <v>0</v>
      </c>
      <c r="AS63" s="5">
        <f t="shared" si="131"/>
        <v>0</v>
      </c>
      <c r="AT63" s="21">
        <f t="shared" si="132"/>
        <v>0</v>
      </c>
      <c r="AU63" s="20">
        <f t="shared" si="133"/>
        <v>0</v>
      </c>
      <c r="AV63" s="20">
        <f t="shared" si="134"/>
        <v>1</v>
      </c>
      <c r="AW63" s="199">
        <f t="shared" si="135"/>
        <v>0</v>
      </c>
      <c r="AX63" s="24">
        <f t="shared" si="136"/>
        <v>0</v>
      </c>
      <c r="AY63" s="5">
        <f t="shared" si="137"/>
        <v>0</v>
      </c>
      <c r="AZ63" s="5">
        <f t="shared" si="138"/>
        <v>0</v>
      </c>
      <c r="BA63" s="5">
        <f t="shared" si="139"/>
        <v>0</v>
      </c>
      <c r="BB63" s="5">
        <f t="shared" si="140"/>
        <v>0</v>
      </c>
      <c r="BC63" s="5">
        <f t="shared" si="141"/>
        <v>0</v>
      </c>
      <c r="BD63" s="5">
        <f t="shared" si="142"/>
        <v>0</v>
      </c>
      <c r="BE63" s="199">
        <f t="shared" si="143"/>
        <v>0</v>
      </c>
      <c r="BF63" s="21">
        <f t="shared" si="144"/>
        <v>0</v>
      </c>
      <c r="BG63" s="6">
        <f t="shared" si="145"/>
        <v>0</v>
      </c>
      <c r="BH63" s="5" t="e">
        <f t="shared" si="146"/>
        <v>#DIV/0!</v>
      </c>
      <c r="BI63" s="6">
        <f t="shared" si="147"/>
        <v>0</v>
      </c>
      <c r="BJ63" s="5" t="e">
        <f t="shared" si="148"/>
        <v>#DIV/0!</v>
      </c>
      <c r="BK63" s="20">
        <f t="shared" si="149"/>
        <v>-9.9999999999999998E-13</v>
      </c>
      <c r="BL63" s="20">
        <f t="shared" si="150"/>
        <v>0</v>
      </c>
      <c r="BM63" s="6">
        <f t="shared" si="151"/>
        <v>0</v>
      </c>
      <c r="BN63" s="5">
        <f t="shared" si="152"/>
        <v>0</v>
      </c>
      <c r="BO63" s="333">
        <f t="shared" si="153"/>
        <v>0</v>
      </c>
      <c r="BP63" s="334">
        <f t="shared" si="154"/>
        <v>0</v>
      </c>
      <c r="BQ63" s="6">
        <f t="shared" si="155"/>
        <v>0</v>
      </c>
      <c r="BR63" s="5">
        <f t="shared" si="156"/>
        <v>0</v>
      </c>
      <c r="BS63" s="6">
        <f t="shared" si="157"/>
        <v>0</v>
      </c>
      <c r="BT63" s="5">
        <f t="shared" si="158"/>
        <v>0</v>
      </c>
      <c r="BU63" s="181">
        <f t="shared" si="159"/>
        <v>0</v>
      </c>
      <c r="BV63" s="154">
        <f t="shared" si="160"/>
        <v>0</v>
      </c>
      <c r="BW63" s="181">
        <f t="shared" si="161"/>
        <v>0</v>
      </c>
      <c r="BX63" s="180">
        <f t="shared" si="162"/>
        <v>0</v>
      </c>
      <c r="BY63" s="181">
        <f t="shared" si="163"/>
        <v>0</v>
      </c>
      <c r="BZ63" s="154">
        <f t="shared" si="164"/>
        <v>0</v>
      </c>
      <c r="CA63" s="182">
        <f t="shared" si="165"/>
        <v>0</v>
      </c>
      <c r="CB63" s="2">
        <f t="shared" si="166"/>
        <v>0</v>
      </c>
      <c r="CC63" s="2">
        <f t="shared" si="167"/>
        <v>0</v>
      </c>
      <c r="CD63" s="2">
        <f t="shared" si="168"/>
        <v>0</v>
      </c>
      <c r="CE63" s="2">
        <f t="shared" si="169"/>
        <v>0</v>
      </c>
      <c r="CF63" s="6">
        <f t="shared" si="170"/>
        <v>0</v>
      </c>
      <c r="CG63" s="6">
        <f t="shared" si="171"/>
        <v>0</v>
      </c>
      <c r="CH63" s="6">
        <f t="shared" si="172"/>
        <v>0</v>
      </c>
      <c r="CI63" s="20">
        <f t="shared" si="173"/>
        <v>0</v>
      </c>
      <c r="CJ63" s="133">
        <f t="shared" si="174"/>
        <v>2521</v>
      </c>
      <c r="CK63" s="5">
        <f t="shared" si="175"/>
        <v>0</v>
      </c>
      <c r="CL63" s="302" t="s">
        <v>1235</v>
      </c>
      <c r="CM63" s="298" t="s">
        <v>13</v>
      </c>
      <c r="CN63" s="298" t="s">
        <v>1125</v>
      </c>
      <c r="CO63" s="298">
        <v>22</v>
      </c>
      <c r="CP63" s="298" t="s">
        <v>1315</v>
      </c>
      <c r="CQ63" s="298" t="s">
        <v>1131</v>
      </c>
      <c r="CR63" s="298" t="s">
        <v>644</v>
      </c>
      <c r="CS63" s="298" t="s">
        <v>1305</v>
      </c>
      <c r="CT63" s="298" t="s">
        <v>682</v>
      </c>
      <c r="CU63" s="299">
        <v>47118</v>
      </c>
      <c r="CV63" s="298">
        <v>0</v>
      </c>
      <c r="CW63" s="298">
        <v>0</v>
      </c>
      <c r="CX63" s="298">
        <v>0</v>
      </c>
      <c r="CY63" s="298">
        <v>0</v>
      </c>
      <c r="CZ63" s="298">
        <v>0</v>
      </c>
      <c r="DA63" s="298">
        <v>0</v>
      </c>
      <c r="DB63" s="298">
        <v>0</v>
      </c>
      <c r="DC63" s="298">
        <v>0</v>
      </c>
      <c r="DD63" s="298">
        <v>0</v>
      </c>
      <c r="DE63" s="298">
        <v>0</v>
      </c>
      <c r="DF63" s="298">
        <v>0</v>
      </c>
      <c r="DG63" s="298">
        <v>0</v>
      </c>
      <c r="DH63" s="298">
        <v>0</v>
      </c>
      <c r="DI63" s="298">
        <v>0</v>
      </c>
      <c r="DJ63" s="298">
        <v>0</v>
      </c>
      <c r="DK63" s="298">
        <v>0</v>
      </c>
      <c r="DL63" s="298">
        <v>0</v>
      </c>
      <c r="DM63" s="298">
        <v>0</v>
      </c>
      <c r="DN63" s="298">
        <v>0</v>
      </c>
      <c r="DO63" s="298">
        <v>0</v>
      </c>
      <c r="DP63" s="298">
        <v>0</v>
      </c>
      <c r="DQ63" s="298">
        <v>0</v>
      </c>
      <c r="DR63" s="298">
        <v>0</v>
      </c>
      <c r="DS63" s="298">
        <v>0</v>
      </c>
      <c r="DT63" s="298">
        <v>0</v>
      </c>
      <c r="DU63" s="298">
        <v>0</v>
      </c>
      <c r="DV63" s="303" t="s">
        <v>548</v>
      </c>
    </row>
    <row r="64" spans="1:126" ht="24.95" customHeight="1" thickBot="1" x14ac:dyDescent="0.3">
      <c r="A64" s="29" t="str">
        <f t="shared" si="0"/>
        <v>63º</v>
      </c>
      <c r="B64" s="69" t="str">
        <f t="shared" si="89"/>
        <v>Gabriel Sena</v>
      </c>
      <c r="C64" s="269" t="str">
        <f t="shared" si="90"/>
        <v>BRA</v>
      </c>
      <c r="D64" s="99" t="str">
        <f t="shared" si="91"/>
        <v>Pé Direito</v>
      </c>
      <c r="E64" s="28" t="str">
        <f t="shared" si="92"/>
        <v>AMG</v>
      </c>
      <c r="F64" s="169">
        <f t="shared" si="93"/>
        <v>22</v>
      </c>
      <c r="G64" s="2" t="str">
        <f t="shared" si="94"/>
        <v>0 €</v>
      </c>
      <c r="H64" s="154">
        <f t="shared" si="95"/>
        <v>1.86</v>
      </c>
      <c r="I64" s="64">
        <f t="shared" si="96"/>
        <v>47118</v>
      </c>
      <c r="J64" s="304" t="str">
        <f t="shared" si="97"/>
        <v>450 € p/m</v>
      </c>
      <c r="K64" s="96">
        <f t="shared" si="10"/>
        <v>3.5222222222222221</v>
      </c>
      <c r="L64" s="146">
        <f t="shared" si="98"/>
        <v>0</v>
      </c>
      <c r="M64" s="6">
        <f t="shared" si="99"/>
        <v>0</v>
      </c>
      <c r="N64" s="5">
        <f t="shared" si="100"/>
        <v>5400</v>
      </c>
      <c r="O64" s="21">
        <f t="shared" si="101"/>
        <v>0</v>
      </c>
      <c r="P64" s="2">
        <f t="shared" si="102"/>
        <v>0</v>
      </c>
      <c r="Q64" s="2">
        <f t="shared" si="103"/>
        <v>0</v>
      </c>
      <c r="R64" s="5">
        <f t="shared" si="104"/>
        <v>0</v>
      </c>
      <c r="S64" s="2">
        <f t="shared" si="105"/>
        <v>0</v>
      </c>
      <c r="T64" s="2">
        <f t="shared" si="106"/>
        <v>0</v>
      </c>
      <c r="U64" s="102">
        <f t="shared" si="107"/>
        <v>0</v>
      </c>
      <c r="V64" s="102">
        <f t="shared" si="108"/>
        <v>0</v>
      </c>
      <c r="W64" s="6">
        <f t="shared" si="109"/>
        <v>0</v>
      </c>
      <c r="X64" s="5">
        <f t="shared" si="110"/>
        <v>0</v>
      </c>
      <c r="Y64" s="6">
        <f t="shared" si="111"/>
        <v>0</v>
      </c>
      <c r="Z64" s="5" t="e">
        <f t="shared" si="112"/>
        <v>#DIV/0!</v>
      </c>
      <c r="AA64" s="21">
        <f t="shared" si="113"/>
        <v>0</v>
      </c>
      <c r="AB64" s="6">
        <f t="shared" si="114"/>
        <v>0</v>
      </c>
      <c r="AC64" s="5" t="e">
        <f t="shared" si="115"/>
        <v>#DIV/0!</v>
      </c>
      <c r="AD64" s="6">
        <f t="shared" si="116"/>
        <v>0</v>
      </c>
      <c r="AE64" s="5">
        <f t="shared" si="117"/>
        <v>0</v>
      </c>
      <c r="AF64" s="21">
        <f t="shared" si="118"/>
        <v>0</v>
      </c>
      <c r="AG64" s="6">
        <f t="shared" si="119"/>
        <v>0</v>
      </c>
      <c r="AH64" s="5">
        <f t="shared" si="120"/>
        <v>0</v>
      </c>
      <c r="AI64" s="21">
        <f t="shared" si="121"/>
        <v>0</v>
      </c>
      <c r="AJ64" s="6">
        <f t="shared" si="122"/>
        <v>0</v>
      </c>
      <c r="AK64" s="5">
        <f t="shared" si="123"/>
        <v>0</v>
      </c>
      <c r="AL64" s="21">
        <f t="shared" si="124"/>
        <v>0</v>
      </c>
      <c r="AM64" s="21">
        <f t="shared" si="125"/>
        <v>0</v>
      </c>
      <c r="AN64" s="6">
        <f t="shared" si="126"/>
        <v>0</v>
      </c>
      <c r="AO64" s="5">
        <f t="shared" si="127"/>
        <v>0</v>
      </c>
      <c r="AP64" s="6">
        <f t="shared" si="128"/>
        <v>0</v>
      </c>
      <c r="AQ64" s="5">
        <f t="shared" si="129"/>
        <v>0</v>
      </c>
      <c r="AR64" s="2">
        <f t="shared" si="130"/>
        <v>0</v>
      </c>
      <c r="AS64" s="5">
        <f t="shared" si="131"/>
        <v>0</v>
      </c>
      <c r="AT64" s="21">
        <f t="shared" si="132"/>
        <v>0</v>
      </c>
      <c r="AU64" s="20">
        <f t="shared" si="133"/>
        <v>0</v>
      </c>
      <c r="AV64" s="20">
        <f t="shared" si="134"/>
        <v>1</v>
      </c>
      <c r="AW64" s="199">
        <f t="shared" si="135"/>
        <v>0</v>
      </c>
      <c r="AX64" s="24">
        <f t="shared" si="136"/>
        <v>0</v>
      </c>
      <c r="AY64" s="5">
        <f t="shared" si="137"/>
        <v>0</v>
      </c>
      <c r="AZ64" s="5">
        <f t="shared" si="138"/>
        <v>0</v>
      </c>
      <c r="BA64" s="5">
        <f t="shared" si="139"/>
        <v>0</v>
      </c>
      <c r="BB64" s="5">
        <f t="shared" si="140"/>
        <v>0</v>
      </c>
      <c r="BC64" s="5">
        <f t="shared" si="141"/>
        <v>0</v>
      </c>
      <c r="BD64" s="5">
        <f t="shared" si="142"/>
        <v>0</v>
      </c>
      <c r="BE64" s="199">
        <f t="shared" si="143"/>
        <v>0</v>
      </c>
      <c r="BF64" s="21">
        <f t="shared" si="144"/>
        <v>0</v>
      </c>
      <c r="BG64" s="6">
        <f t="shared" si="145"/>
        <v>0</v>
      </c>
      <c r="BH64" s="5" t="e">
        <f t="shared" si="146"/>
        <v>#DIV/0!</v>
      </c>
      <c r="BI64" s="6">
        <f t="shared" si="147"/>
        <v>0</v>
      </c>
      <c r="BJ64" s="5" t="e">
        <f t="shared" si="148"/>
        <v>#DIV/0!</v>
      </c>
      <c r="BK64" s="20">
        <f t="shared" si="149"/>
        <v>-9.9999999999999998E-13</v>
      </c>
      <c r="BL64" s="20">
        <f t="shared" si="150"/>
        <v>0</v>
      </c>
      <c r="BM64" s="6">
        <f t="shared" si="151"/>
        <v>0</v>
      </c>
      <c r="BN64" s="5">
        <f t="shared" si="152"/>
        <v>0</v>
      </c>
      <c r="BO64" s="333">
        <f t="shared" si="153"/>
        <v>0</v>
      </c>
      <c r="BP64" s="334">
        <f t="shared" si="154"/>
        <v>0</v>
      </c>
      <c r="BQ64" s="6">
        <f t="shared" si="155"/>
        <v>0</v>
      </c>
      <c r="BR64" s="5">
        <f t="shared" si="156"/>
        <v>0</v>
      </c>
      <c r="BS64" s="6">
        <f t="shared" si="157"/>
        <v>0</v>
      </c>
      <c r="BT64" s="5">
        <f t="shared" si="158"/>
        <v>0</v>
      </c>
      <c r="BU64" s="181">
        <f t="shared" si="159"/>
        <v>0</v>
      </c>
      <c r="BV64" s="154">
        <f t="shared" si="160"/>
        <v>0</v>
      </c>
      <c r="BW64" s="181">
        <f t="shared" si="161"/>
        <v>0</v>
      </c>
      <c r="BX64" s="180">
        <f t="shared" si="162"/>
        <v>0</v>
      </c>
      <c r="BY64" s="181">
        <f t="shared" si="163"/>
        <v>0</v>
      </c>
      <c r="BZ64" s="154">
        <f t="shared" si="164"/>
        <v>0</v>
      </c>
      <c r="CA64" s="182">
        <f t="shared" si="165"/>
        <v>0</v>
      </c>
      <c r="CB64" s="2">
        <f t="shared" si="166"/>
        <v>0</v>
      </c>
      <c r="CC64" s="2">
        <f t="shared" si="167"/>
        <v>0</v>
      </c>
      <c r="CD64" s="2">
        <f t="shared" si="168"/>
        <v>0</v>
      </c>
      <c r="CE64" s="2">
        <f t="shared" si="169"/>
        <v>0</v>
      </c>
      <c r="CF64" s="6">
        <f t="shared" si="170"/>
        <v>0</v>
      </c>
      <c r="CG64" s="6">
        <f t="shared" si="171"/>
        <v>0</v>
      </c>
      <c r="CH64" s="6">
        <f t="shared" si="172"/>
        <v>0</v>
      </c>
      <c r="CI64" s="20">
        <f t="shared" si="173"/>
        <v>0</v>
      </c>
      <c r="CJ64" s="133">
        <f t="shared" si="174"/>
        <v>2521</v>
      </c>
      <c r="CK64" s="5">
        <f t="shared" si="175"/>
        <v>0</v>
      </c>
      <c r="CL64" s="300" t="s">
        <v>19</v>
      </c>
      <c r="CM64" s="296" t="s">
        <v>13</v>
      </c>
      <c r="CN64" s="296" t="s">
        <v>1254</v>
      </c>
      <c r="CO64" s="296">
        <v>22</v>
      </c>
      <c r="CP64" s="296" t="s">
        <v>1316</v>
      </c>
      <c r="CQ64" s="296" t="s">
        <v>1131</v>
      </c>
      <c r="CR64" s="296" t="s">
        <v>644</v>
      </c>
      <c r="CS64" s="296" t="s">
        <v>1317</v>
      </c>
      <c r="CT64" s="296" t="s">
        <v>575</v>
      </c>
      <c r="CU64" s="297">
        <v>47118</v>
      </c>
      <c r="CV64" s="296">
        <v>0</v>
      </c>
      <c r="CW64" s="296">
        <v>0</v>
      </c>
      <c r="CX64" s="296">
        <v>0</v>
      </c>
      <c r="CY64" s="296">
        <v>0</v>
      </c>
      <c r="CZ64" s="296">
        <v>0</v>
      </c>
      <c r="DA64" s="296">
        <v>0</v>
      </c>
      <c r="DB64" s="296">
        <v>0</v>
      </c>
      <c r="DC64" s="296">
        <v>0</v>
      </c>
      <c r="DD64" s="296">
        <v>0</v>
      </c>
      <c r="DE64" s="296">
        <v>0</v>
      </c>
      <c r="DF64" s="296">
        <v>0</v>
      </c>
      <c r="DG64" s="296">
        <v>0</v>
      </c>
      <c r="DH64" s="296">
        <v>0</v>
      </c>
      <c r="DI64" s="296">
        <v>0</v>
      </c>
      <c r="DJ64" s="296">
        <v>0</v>
      </c>
      <c r="DK64" s="296">
        <v>0</v>
      </c>
      <c r="DL64" s="296">
        <v>0</v>
      </c>
      <c r="DM64" s="296">
        <v>0</v>
      </c>
      <c r="DN64" s="296">
        <v>0</v>
      </c>
      <c r="DO64" s="296">
        <v>0</v>
      </c>
      <c r="DP64" s="296">
        <v>0</v>
      </c>
      <c r="DQ64" s="296">
        <v>0</v>
      </c>
      <c r="DR64" s="296">
        <v>0</v>
      </c>
      <c r="DS64" s="296">
        <v>0</v>
      </c>
      <c r="DT64" s="296">
        <v>0</v>
      </c>
      <c r="DU64" s="296">
        <v>0</v>
      </c>
      <c r="DV64" s="301" t="s">
        <v>548</v>
      </c>
    </row>
    <row r="65" spans="1:126" ht="24.95" customHeight="1" thickBot="1" x14ac:dyDescent="0.3">
      <c r="A65" s="29" t="str">
        <f t="shared" si="0"/>
        <v>64º</v>
      </c>
      <c r="B65" s="69" t="str">
        <f t="shared" si="89"/>
        <v>João Victor</v>
      </c>
      <c r="C65" s="269" t="str">
        <f t="shared" si="90"/>
        <v>BRA</v>
      </c>
      <c r="D65" s="99" t="str">
        <f t="shared" si="91"/>
        <v>Somente Pé Direito</v>
      </c>
      <c r="E65" s="28" t="str">
        <f t="shared" si="92"/>
        <v>GRE</v>
      </c>
      <c r="F65" s="169">
        <f t="shared" si="93"/>
        <v>22</v>
      </c>
      <c r="G65" s="2" t="str">
        <f t="shared" si="94"/>
        <v>0 €</v>
      </c>
      <c r="H65" s="154">
        <f t="shared" si="95"/>
        <v>1.83</v>
      </c>
      <c r="I65" s="64">
        <f t="shared" si="96"/>
        <v>47483</v>
      </c>
      <c r="J65" s="304" t="str">
        <f t="shared" si="97"/>
        <v>1,4m € p/m</v>
      </c>
      <c r="K65" s="96">
        <f t="shared" si="10"/>
        <v>3.5222222222222221</v>
      </c>
      <c r="L65" s="146">
        <f t="shared" si="98"/>
        <v>0</v>
      </c>
      <c r="M65" s="6">
        <f t="shared" si="99"/>
        <v>0</v>
      </c>
      <c r="N65" s="5">
        <f t="shared" si="100"/>
        <v>5400</v>
      </c>
      <c r="O65" s="21">
        <f t="shared" si="101"/>
        <v>0</v>
      </c>
      <c r="P65" s="2">
        <f t="shared" si="102"/>
        <v>0</v>
      </c>
      <c r="Q65" s="2">
        <f t="shared" si="103"/>
        <v>0</v>
      </c>
      <c r="R65" s="5">
        <f t="shared" si="104"/>
        <v>0</v>
      </c>
      <c r="S65" s="2">
        <f t="shared" si="105"/>
        <v>0</v>
      </c>
      <c r="T65" s="2">
        <f t="shared" si="106"/>
        <v>0</v>
      </c>
      <c r="U65" s="102">
        <f t="shared" si="107"/>
        <v>0</v>
      </c>
      <c r="V65" s="102">
        <f t="shared" si="108"/>
        <v>0</v>
      </c>
      <c r="W65" s="6">
        <f t="shared" si="109"/>
        <v>0</v>
      </c>
      <c r="X65" s="5">
        <f t="shared" si="110"/>
        <v>0</v>
      </c>
      <c r="Y65" s="6">
        <f t="shared" si="111"/>
        <v>0</v>
      </c>
      <c r="Z65" s="5" t="e">
        <f t="shared" si="112"/>
        <v>#DIV/0!</v>
      </c>
      <c r="AA65" s="21">
        <f t="shared" si="113"/>
        <v>0</v>
      </c>
      <c r="AB65" s="6">
        <f t="shared" si="114"/>
        <v>0</v>
      </c>
      <c r="AC65" s="5" t="e">
        <f t="shared" si="115"/>
        <v>#DIV/0!</v>
      </c>
      <c r="AD65" s="6">
        <f t="shared" si="116"/>
        <v>0</v>
      </c>
      <c r="AE65" s="5">
        <f t="shared" si="117"/>
        <v>0</v>
      </c>
      <c r="AF65" s="21">
        <f t="shared" si="118"/>
        <v>0</v>
      </c>
      <c r="AG65" s="6">
        <f t="shared" si="119"/>
        <v>0</v>
      </c>
      <c r="AH65" s="5">
        <f t="shared" si="120"/>
        <v>0</v>
      </c>
      <c r="AI65" s="21">
        <f t="shared" si="121"/>
        <v>0</v>
      </c>
      <c r="AJ65" s="6">
        <f t="shared" si="122"/>
        <v>0</v>
      </c>
      <c r="AK65" s="5">
        <f t="shared" si="123"/>
        <v>0</v>
      </c>
      <c r="AL65" s="21">
        <f t="shared" si="124"/>
        <v>0</v>
      </c>
      <c r="AM65" s="21">
        <f t="shared" si="125"/>
        <v>0</v>
      </c>
      <c r="AN65" s="6">
        <f t="shared" si="126"/>
        <v>0</v>
      </c>
      <c r="AO65" s="5">
        <f t="shared" si="127"/>
        <v>0</v>
      </c>
      <c r="AP65" s="6">
        <f t="shared" si="128"/>
        <v>0</v>
      </c>
      <c r="AQ65" s="5">
        <f t="shared" si="129"/>
        <v>0</v>
      </c>
      <c r="AR65" s="2">
        <f t="shared" si="130"/>
        <v>0</v>
      </c>
      <c r="AS65" s="5">
        <f t="shared" si="131"/>
        <v>0</v>
      </c>
      <c r="AT65" s="21">
        <f t="shared" si="132"/>
        <v>0</v>
      </c>
      <c r="AU65" s="20">
        <f t="shared" si="133"/>
        <v>0</v>
      </c>
      <c r="AV65" s="20">
        <f t="shared" si="134"/>
        <v>1</v>
      </c>
      <c r="AW65" s="199">
        <f t="shared" si="135"/>
        <v>0</v>
      </c>
      <c r="AX65" s="24">
        <f t="shared" si="136"/>
        <v>0</v>
      </c>
      <c r="AY65" s="5">
        <f t="shared" si="137"/>
        <v>0</v>
      </c>
      <c r="AZ65" s="5">
        <f t="shared" si="138"/>
        <v>0</v>
      </c>
      <c r="BA65" s="5">
        <f t="shared" si="139"/>
        <v>0</v>
      </c>
      <c r="BB65" s="5">
        <f t="shared" si="140"/>
        <v>0</v>
      </c>
      <c r="BC65" s="5">
        <f t="shared" si="141"/>
        <v>0</v>
      </c>
      <c r="BD65" s="5">
        <f t="shared" si="142"/>
        <v>0</v>
      </c>
      <c r="BE65" s="199">
        <f t="shared" si="143"/>
        <v>0</v>
      </c>
      <c r="BF65" s="21">
        <f t="shared" si="144"/>
        <v>0</v>
      </c>
      <c r="BG65" s="6">
        <f t="shared" si="145"/>
        <v>0</v>
      </c>
      <c r="BH65" s="5" t="e">
        <f t="shared" si="146"/>
        <v>#DIV/0!</v>
      </c>
      <c r="BI65" s="6">
        <f t="shared" si="147"/>
        <v>0</v>
      </c>
      <c r="BJ65" s="5" t="e">
        <f t="shared" si="148"/>
        <v>#DIV/0!</v>
      </c>
      <c r="BK65" s="20">
        <f t="shared" si="149"/>
        <v>-9.9999999999999998E-13</v>
      </c>
      <c r="BL65" s="20">
        <f t="shared" si="150"/>
        <v>0</v>
      </c>
      <c r="BM65" s="6">
        <f t="shared" si="151"/>
        <v>0</v>
      </c>
      <c r="BN65" s="5">
        <f t="shared" si="152"/>
        <v>0</v>
      </c>
      <c r="BO65" s="333">
        <f t="shared" si="153"/>
        <v>0</v>
      </c>
      <c r="BP65" s="334">
        <f t="shared" si="154"/>
        <v>0</v>
      </c>
      <c r="BQ65" s="6">
        <f t="shared" si="155"/>
        <v>0</v>
      </c>
      <c r="BR65" s="5">
        <f t="shared" si="156"/>
        <v>0</v>
      </c>
      <c r="BS65" s="6">
        <f t="shared" si="157"/>
        <v>0</v>
      </c>
      <c r="BT65" s="5">
        <f t="shared" si="158"/>
        <v>0</v>
      </c>
      <c r="BU65" s="181">
        <f t="shared" si="159"/>
        <v>0</v>
      </c>
      <c r="BV65" s="154">
        <f t="shared" si="160"/>
        <v>0</v>
      </c>
      <c r="BW65" s="181">
        <f t="shared" si="161"/>
        <v>0</v>
      </c>
      <c r="BX65" s="180">
        <f t="shared" si="162"/>
        <v>0</v>
      </c>
      <c r="BY65" s="181">
        <f t="shared" si="163"/>
        <v>0</v>
      </c>
      <c r="BZ65" s="154">
        <f t="shared" si="164"/>
        <v>0</v>
      </c>
      <c r="CA65" s="182">
        <f t="shared" si="165"/>
        <v>0</v>
      </c>
      <c r="CB65" s="2">
        <f t="shared" si="166"/>
        <v>0</v>
      </c>
      <c r="CC65" s="2">
        <f t="shared" si="167"/>
        <v>0</v>
      </c>
      <c r="CD65" s="2">
        <f t="shared" si="168"/>
        <v>0</v>
      </c>
      <c r="CE65" s="2">
        <f t="shared" si="169"/>
        <v>0</v>
      </c>
      <c r="CF65" s="6">
        <f t="shared" si="170"/>
        <v>0</v>
      </c>
      <c r="CG65" s="6">
        <f t="shared" si="171"/>
        <v>0</v>
      </c>
      <c r="CH65" s="6">
        <f t="shared" si="172"/>
        <v>0</v>
      </c>
      <c r="CI65" s="20">
        <f t="shared" si="173"/>
        <v>0</v>
      </c>
      <c r="CJ65" s="133">
        <f t="shared" si="174"/>
        <v>2521</v>
      </c>
      <c r="CK65" s="5">
        <f t="shared" si="175"/>
        <v>0</v>
      </c>
      <c r="CL65" s="302" t="s">
        <v>1235</v>
      </c>
      <c r="CM65" s="298" t="s">
        <v>13</v>
      </c>
      <c r="CN65" s="298" t="s">
        <v>1224</v>
      </c>
      <c r="CO65" s="298">
        <v>22</v>
      </c>
      <c r="CP65" s="298" t="s">
        <v>1318</v>
      </c>
      <c r="CQ65" s="298" t="s">
        <v>1131</v>
      </c>
      <c r="CR65" s="298" t="s">
        <v>645</v>
      </c>
      <c r="CS65" s="298" t="s">
        <v>1170</v>
      </c>
      <c r="CT65" s="298" t="s">
        <v>586</v>
      </c>
      <c r="CU65" s="299">
        <v>47483</v>
      </c>
      <c r="CV65" s="298">
        <v>0</v>
      </c>
      <c r="CW65" s="298">
        <v>0</v>
      </c>
      <c r="CX65" s="298">
        <v>0</v>
      </c>
      <c r="CY65" s="298">
        <v>0</v>
      </c>
      <c r="CZ65" s="298">
        <v>0</v>
      </c>
      <c r="DA65" s="298">
        <v>0</v>
      </c>
      <c r="DB65" s="298">
        <v>0</v>
      </c>
      <c r="DC65" s="298">
        <v>0</v>
      </c>
      <c r="DD65" s="298">
        <v>0</v>
      </c>
      <c r="DE65" s="298">
        <v>0</v>
      </c>
      <c r="DF65" s="298">
        <v>0</v>
      </c>
      <c r="DG65" s="298">
        <v>0</v>
      </c>
      <c r="DH65" s="298">
        <v>0</v>
      </c>
      <c r="DI65" s="298">
        <v>0</v>
      </c>
      <c r="DJ65" s="298">
        <v>0</v>
      </c>
      <c r="DK65" s="298">
        <v>0</v>
      </c>
      <c r="DL65" s="298">
        <v>0</v>
      </c>
      <c r="DM65" s="298">
        <v>0</v>
      </c>
      <c r="DN65" s="298">
        <v>0</v>
      </c>
      <c r="DO65" s="298">
        <v>0</v>
      </c>
      <c r="DP65" s="298">
        <v>0</v>
      </c>
      <c r="DQ65" s="298">
        <v>0</v>
      </c>
      <c r="DR65" s="298">
        <v>0</v>
      </c>
      <c r="DS65" s="298">
        <v>0</v>
      </c>
      <c r="DT65" s="298">
        <v>0</v>
      </c>
      <c r="DU65" s="298">
        <v>0</v>
      </c>
      <c r="DV65" s="303" t="s">
        <v>548</v>
      </c>
    </row>
    <row r="66" spans="1:126" ht="24.95" customHeight="1" thickBot="1" x14ac:dyDescent="0.3">
      <c r="A66" s="29" t="str">
        <f t="shared" ref="A66:A129" si="176">ROW()-1 &amp; "º"</f>
        <v>65º</v>
      </c>
      <c r="B66" s="69" t="str">
        <f t="shared" si="89"/>
        <v>Rhyan</v>
      </c>
      <c r="C66" s="269" t="str">
        <f t="shared" si="90"/>
        <v>BRA</v>
      </c>
      <c r="D66" s="99" t="str">
        <f t="shared" si="91"/>
        <v>Somente Pé Direito</v>
      </c>
      <c r="E66" s="28" t="str">
        <f t="shared" si="92"/>
        <v>BOT</v>
      </c>
      <c r="F66" s="169">
        <f t="shared" si="93"/>
        <v>22</v>
      </c>
      <c r="G66" s="2" t="str">
        <f t="shared" si="94"/>
        <v>0 €</v>
      </c>
      <c r="H66" s="154">
        <f t="shared" si="95"/>
        <v>1.84</v>
      </c>
      <c r="I66" s="64">
        <f t="shared" si="96"/>
        <v>47118</v>
      </c>
      <c r="J66" s="304" t="str">
        <f t="shared" si="97"/>
        <v>2,3m € p/m</v>
      </c>
      <c r="K66" s="96">
        <f t="shared" ref="K66:K129" si="177">IFERROR(AVERAGE(L:L),0)</f>
        <v>3.5222222222222221</v>
      </c>
      <c r="L66" s="146">
        <f t="shared" si="98"/>
        <v>0</v>
      </c>
      <c r="M66" s="6">
        <f t="shared" si="99"/>
        <v>0</v>
      </c>
      <c r="N66" s="5">
        <f t="shared" si="100"/>
        <v>5400</v>
      </c>
      <c r="O66" s="21">
        <f t="shared" si="101"/>
        <v>0</v>
      </c>
      <c r="P66" s="2">
        <f t="shared" si="102"/>
        <v>0</v>
      </c>
      <c r="Q66" s="2">
        <f t="shared" si="103"/>
        <v>0</v>
      </c>
      <c r="R66" s="5">
        <f t="shared" si="104"/>
        <v>0</v>
      </c>
      <c r="S66" s="2">
        <f t="shared" si="105"/>
        <v>0</v>
      </c>
      <c r="T66" s="2">
        <f t="shared" si="106"/>
        <v>0</v>
      </c>
      <c r="U66" s="102">
        <f t="shared" si="107"/>
        <v>0</v>
      </c>
      <c r="V66" s="102">
        <f t="shared" si="108"/>
        <v>0</v>
      </c>
      <c r="W66" s="6">
        <f t="shared" si="109"/>
        <v>0</v>
      </c>
      <c r="X66" s="5">
        <f t="shared" si="110"/>
        <v>0</v>
      </c>
      <c r="Y66" s="6">
        <f t="shared" si="111"/>
        <v>0</v>
      </c>
      <c r="Z66" s="5" t="e">
        <f t="shared" si="112"/>
        <v>#DIV/0!</v>
      </c>
      <c r="AA66" s="21">
        <f t="shared" si="113"/>
        <v>0</v>
      </c>
      <c r="AB66" s="6">
        <f t="shared" si="114"/>
        <v>0</v>
      </c>
      <c r="AC66" s="5" t="e">
        <f t="shared" si="115"/>
        <v>#DIV/0!</v>
      </c>
      <c r="AD66" s="6">
        <f t="shared" si="116"/>
        <v>0</v>
      </c>
      <c r="AE66" s="5">
        <f t="shared" si="117"/>
        <v>0</v>
      </c>
      <c r="AF66" s="21">
        <f t="shared" si="118"/>
        <v>0</v>
      </c>
      <c r="AG66" s="6">
        <f t="shared" si="119"/>
        <v>0</v>
      </c>
      <c r="AH66" s="5">
        <f t="shared" si="120"/>
        <v>0</v>
      </c>
      <c r="AI66" s="21">
        <f t="shared" si="121"/>
        <v>0</v>
      </c>
      <c r="AJ66" s="6">
        <f t="shared" si="122"/>
        <v>0</v>
      </c>
      <c r="AK66" s="5">
        <f t="shared" si="123"/>
        <v>0</v>
      </c>
      <c r="AL66" s="21">
        <f t="shared" si="124"/>
        <v>0</v>
      </c>
      <c r="AM66" s="21">
        <f t="shared" si="125"/>
        <v>0</v>
      </c>
      <c r="AN66" s="6">
        <f t="shared" si="126"/>
        <v>0</v>
      </c>
      <c r="AO66" s="5">
        <f t="shared" si="127"/>
        <v>0</v>
      </c>
      <c r="AP66" s="6">
        <f t="shared" si="128"/>
        <v>0</v>
      </c>
      <c r="AQ66" s="5">
        <f t="shared" si="129"/>
        <v>0</v>
      </c>
      <c r="AR66" s="2">
        <f t="shared" si="130"/>
        <v>0</v>
      </c>
      <c r="AS66" s="5">
        <f t="shared" si="131"/>
        <v>0</v>
      </c>
      <c r="AT66" s="21">
        <f t="shared" si="132"/>
        <v>0</v>
      </c>
      <c r="AU66" s="20">
        <f t="shared" si="133"/>
        <v>0</v>
      </c>
      <c r="AV66" s="20">
        <f t="shared" si="134"/>
        <v>1</v>
      </c>
      <c r="AW66" s="199">
        <f t="shared" si="135"/>
        <v>0</v>
      </c>
      <c r="AX66" s="24">
        <f t="shared" si="136"/>
        <v>0</v>
      </c>
      <c r="AY66" s="5">
        <f t="shared" si="137"/>
        <v>0</v>
      </c>
      <c r="AZ66" s="5">
        <f t="shared" si="138"/>
        <v>0</v>
      </c>
      <c r="BA66" s="5">
        <f t="shared" si="139"/>
        <v>0</v>
      </c>
      <c r="BB66" s="5">
        <f t="shared" si="140"/>
        <v>0</v>
      </c>
      <c r="BC66" s="5">
        <f t="shared" si="141"/>
        <v>0</v>
      </c>
      <c r="BD66" s="5">
        <f t="shared" si="142"/>
        <v>0</v>
      </c>
      <c r="BE66" s="199">
        <f t="shared" si="143"/>
        <v>0</v>
      </c>
      <c r="BF66" s="21">
        <f t="shared" si="144"/>
        <v>0</v>
      </c>
      <c r="BG66" s="6">
        <f t="shared" si="145"/>
        <v>0</v>
      </c>
      <c r="BH66" s="5" t="e">
        <f t="shared" si="146"/>
        <v>#DIV/0!</v>
      </c>
      <c r="BI66" s="6">
        <f t="shared" si="147"/>
        <v>0</v>
      </c>
      <c r="BJ66" s="5" t="e">
        <f t="shared" si="148"/>
        <v>#DIV/0!</v>
      </c>
      <c r="BK66" s="20">
        <f t="shared" si="149"/>
        <v>-9.9999999999999998E-13</v>
      </c>
      <c r="BL66" s="20">
        <f t="shared" si="150"/>
        <v>0</v>
      </c>
      <c r="BM66" s="6">
        <f t="shared" si="151"/>
        <v>0</v>
      </c>
      <c r="BN66" s="5">
        <f t="shared" si="152"/>
        <v>0</v>
      </c>
      <c r="BO66" s="333">
        <f t="shared" si="153"/>
        <v>0</v>
      </c>
      <c r="BP66" s="334">
        <f t="shared" si="154"/>
        <v>0</v>
      </c>
      <c r="BQ66" s="6">
        <f t="shared" si="155"/>
        <v>0</v>
      </c>
      <c r="BR66" s="5">
        <f t="shared" si="156"/>
        <v>0</v>
      </c>
      <c r="BS66" s="6">
        <f t="shared" si="157"/>
        <v>0</v>
      </c>
      <c r="BT66" s="5">
        <f t="shared" si="158"/>
        <v>0</v>
      </c>
      <c r="BU66" s="181">
        <f t="shared" si="159"/>
        <v>0</v>
      </c>
      <c r="BV66" s="154">
        <f t="shared" si="160"/>
        <v>0</v>
      </c>
      <c r="BW66" s="181">
        <f t="shared" si="161"/>
        <v>0</v>
      </c>
      <c r="BX66" s="180">
        <f t="shared" si="162"/>
        <v>0</v>
      </c>
      <c r="BY66" s="181">
        <f t="shared" si="163"/>
        <v>0</v>
      </c>
      <c r="BZ66" s="154">
        <f t="shared" si="164"/>
        <v>0</v>
      </c>
      <c r="CA66" s="182">
        <f t="shared" si="165"/>
        <v>0</v>
      </c>
      <c r="CB66" s="2">
        <f t="shared" si="166"/>
        <v>0</v>
      </c>
      <c r="CC66" s="2">
        <f t="shared" si="167"/>
        <v>0</v>
      </c>
      <c r="CD66" s="2">
        <f t="shared" si="168"/>
        <v>0</v>
      </c>
      <c r="CE66" s="2">
        <f t="shared" si="169"/>
        <v>0</v>
      </c>
      <c r="CF66" s="6">
        <f t="shared" si="170"/>
        <v>0</v>
      </c>
      <c r="CG66" s="6">
        <f t="shared" si="171"/>
        <v>0</v>
      </c>
      <c r="CH66" s="6">
        <f t="shared" si="172"/>
        <v>0</v>
      </c>
      <c r="CI66" s="20">
        <f t="shared" si="173"/>
        <v>0</v>
      </c>
      <c r="CJ66" s="133">
        <f t="shared" si="174"/>
        <v>2521</v>
      </c>
      <c r="CK66" s="5">
        <f t="shared" si="175"/>
        <v>0</v>
      </c>
      <c r="CL66" s="300" t="s">
        <v>19</v>
      </c>
      <c r="CM66" s="296" t="s">
        <v>13</v>
      </c>
      <c r="CN66" s="296" t="s">
        <v>1259</v>
      </c>
      <c r="CO66" s="296">
        <v>22</v>
      </c>
      <c r="CP66" s="296" t="s">
        <v>1319</v>
      </c>
      <c r="CQ66" s="296" t="s">
        <v>1131</v>
      </c>
      <c r="CR66" s="296" t="s">
        <v>645</v>
      </c>
      <c r="CS66" s="296" t="s">
        <v>1159</v>
      </c>
      <c r="CT66" s="296" t="s">
        <v>574</v>
      </c>
      <c r="CU66" s="297">
        <v>47118</v>
      </c>
      <c r="CV66" s="296">
        <v>0</v>
      </c>
      <c r="CW66" s="296">
        <v>0</v>
      </c>
      <c r="CX66" s="296">
        <v>0</v>
      </c>
      <c r="CY66" s="296">
        <v>0</v>
      </c>
      <c r="CZ66" s="296">
        <v>0</v>
      </c>
      <c r="DA66" s="296">
        <v>0</v>
      </c>
      <c r="DB66" s="296">
        <v>0</v>
      </c>
      <c r="DC66" s="296">
        <v>0</v>
      </c>
      <c r="DD66" s="296">
        <v>0</v>
      </c>
      <c r="DE66" s="296">
        <v>0</v>
      </c>
      <c r="DF66" s="296">
        <v>0</v>
      </c>
      <c r="DG66" s="296">
        <v>0</v>
      </c>
      <c r="DH66" s="296">
        <v>0</v>
      </c>
      <c r="DI66" s="296">
        <v>0</v>
      </c>
      <c r="DJ66" s="296">
        <v>0</v>
      </c>
      <c r="DK66" s="296">
        <v>0</v>
      </c>
      <c r="DL66" s="296">
        <v>0</v>
      </c>
      <c r="DM66" s="296">
        <v>0</v>
      </c>
      <c r="DN66" s="296">
        <v>0</v>
      </c>
      <c r="DO66" s="296">
        <v>0</v>
      </c>
      <c r="DP66" s="296">
        <v>0</v>
      </c>
      <c r="DQ66" s="296">
        <v>0</v>
      </c>
      <c r="DR66" s="296">
        <v>0</v>
      </c>
      <c r="DS66" s="296">
        <v>0</v>
      </c>
      <c r="DT66" s="296">
        <v>0</v>
      </c>
      <c r="DU66" s="296">
        <v>0</v>
      </c>
      <c r="DV66" s="301" t="s">
        <v>548</v>
      </c>
    </row>
    <row r="67" spans="1:126" ht="24.95" customHeight="1" thickBot="1" x14ac:dyDescent="0.3">
      <c r="A67" s="29" t="str">
        <f t="shared" si="176"/>
        <v>66º</v>
      </c>
      <c r="B67" s="69" t="str">
        <f t="shared" si="89"/>
        <v>Pedro Melo</v>
      </c>
      <c r="C67" s="269" t="str">
        <f t="shared" si="90"/>
        <v>BRA</v>
      </c>
      <c r="D67" s="99" t="str">
        <f t="shared" si="91"/>
        <v>Pé Direito</v>
      </c>
      <c r="E67" s="28" t="str">
        <f t="shared" si="92"/>
        <v>CUI</v>
      </c>
      <c r="F67" s="169">
        <f t="shared" si="93"/>
        <v>22</v>
      </c>
      <c r="G67" s="2" t="str">
        <f t="shared" si="94"/>
        <v>0 €</v>
      </c>
      <c r="H67" s="154">
        <f t="shared" si="95"/>
        <v>1.89</v>
      </c>
      <c r="I67" s="64">
        <f t="shared" si="96"/>
        <v>47118</v>
      </c>
      <c r="J67" s="304" t="str">
        <f t="shared" si="97"/>
        <v>525 € p/m</v>
      </c>
      <c r="K67" s="96">
        <f t="shared" si="177"/>
        <v>3.5222222222222221</v>
      </c>
      <c r="L67" s="146">
        <f t="shared" si="98"/>
        <v>0</v>
      </c>
      <c r="M67" s="6">
        <f t="shared" si="99"/>
        <v>0</v>
      </c>
      <c r="N67" s="5">
        <f t="shared" si="100"/>
        <v>5400</v>
      </c>
      <c r="O67" s="21">
        <f t="shared" si="101"/>
        <v>0</v>
      </c>
      <c r="P67" s="2">
        <f t="shared" si="102"/>
        <v>0</v>
      </c>
      <c r="Q67" s="2">
        <f t="shared" si="103"/>
        <v>0</v>
      </c>
      <c r="R67" s="5">
        <f t="shared" si="104"/>
        <v>0</v>
      </c>
      <c r="S67" s="2">
        <f t="shared" si="105"/>
        <v>0</v>
      </c>
      <c r="T67" s="2">
        <f t="shared" si="106"/>
        <v>0</v>
      </c>
      <c r="U67" s="102">
        <f t="shared" si="107"/>
        <v>0</v>
      </c>
      <c r="V67" s="102">
        <f t="shared" si="108"/>
        <v>0</v>
      </c>
      <c r="W67" s="6">
        <f t="shared" si="109"/>
        <v>0</v>
      </c>
      <c r="X67" s="5">
        <f t="shared" si="110"/>
        <v>0</v>
      </c>
      <c r="Y67" s="6">
        <f t="shared" si="111"/>
        <v>0</v>
      </c>
      <c r="Z67" s="5" t="e">
        <f t="shared" si="112"/>
        <v>#DIV/0!</v>
      </c>
      <c r="AA67" s="21">
        <f t="shared" si="113"/>
        <v>0</v>
      </c>
      <c r="AB67" s="6">
        <f t="shared" si="114"/>
        <v>0</v>
      </c>
      <c r="AC67" s="5" t="e">
        <f t="shared" si="115"/>
        <v>#DIV/0!</v>
      </c>
      <c r="AD67" s="6">
        <f t="shared" si="116"/>
        <v>0</v>
      </c>
      <c r="AE67" s="5">
        <f t="shared" si="117"/>
        <v>0</v>
      </c>
      <c r="AF67" s="21">
        <f t="shared" si="118"/>
        <v>0</v>
      </c>
      <c r="AG67" s="6">
        <f t="shared" si="119"/>
        <v>0</v>
      </c>
      <c r="AH67" s="5">
        <f t="shared" si="120"/>
        <v>0</v>
      </c>
      <c r="AI67" s="21">
        <f t="shared" si="121"/>
        <v>0</v>
      </c>
      <c r="AJ67" s="6">
        <f t="shared" si="122"/>
        <v>0</v>
      </c>
      <c r="AK67" s="5">
        <f t="shared" si="123"/>
        <v>0</v>
      </c>
      <c r="AL67" s="21">
        <f t="shared" si="124"/>
        <v>0</v>
      </c>
      <c r="AM67" s="21">
        <f t="shared" si="125"/>
        <v>0</v>
      </c>
      <c r="AN67" s="6">
        <f t="shared" si="126"/>
        <v>0</v>
      </c>
      <c r="AO67" s="5">
        <f t="shared" si="127"/>
        <v>0</v>
      </c>
      <c r="AP67" s="6">
        <f t="shared" si="128"/>
        <v>0</v>
      </c>
      <c r="AQ67" s="5">
        <f t="shared" si="129"/>
        <v>0</v>
      </c>
      <c r="AR67" s="2">
        <f t="shared" si="130"/>
        <v>0</v>
      </c>
      <c r="AS67" s="5">
        <f t="shared" si="131"/>
        <v>0</v>
      </c>
      <c r="AT67" s="21">
        <f t="shared" si="132"/>
        <v>0</v>
      </c>
      <c r="AU67" s="20">
        <f t="shared" si="133"/>
        <v>0</v>
      </c>
      <c r="AV67" s="20">
        <f t="shared" si="134"/>
        <v>1</v>
      </c>
      <c r="AW67" s="199">
        <f t="shared" si="135"/>
        <v>0</v>
      </c>
      <c r="AX67" s="24">
        <f t="shared" si="136"/>
        <v>0</v>
      </c>
      <c r="AY67" s="5">
        <f t="shared" si="137"/>
        <v>0</v>
      </c>
      <c r="AZ67" s="5">
        <f t="shared" si="138"/>
        <v>0</v>
      </c>
      <c r="BA67" s="5">
        <f t="shared" si="139"/>
        <v>0</v>
      </c>
      <c r="BB67" s="5">
        <f t="shared" si="140"/>
        <v>0</v>
      </c>
      <c r="BC67" s="5">
        <f t="shared" si="141"/>
        <v>0</v>
      </c>
      <c r="BD67" s="5">
        <f t="shared" si="142"/>
        <v>0</v>
      </c>
      <c r="BE67" s="199">
        <f t="shared" si="143"/>
        <v>0</v>
      </c>
      <c r="BF67" s="21">
        <f t="shared" si="144"/>
        <v>0</v>
      </c>
      <c r="BG67" s="6">
        <f t="shared" si="145"/>
        <v>0</v>
      </c>
      <c r="BH67" s="5" t="e">
        <f t="shared" si="146"/>
        <v>#DIV/0!</v>
      </c>
      <c r="BI67" s="6">
        <f t="shared" si="147"/>
        <v>0</v>
      </c>
      <c r="BJ67" s="5" t="e">
        <f t="shared" si="148"/>
        <v>#DIV/0!</v>
      </c>
      <c r="BK67" s="20">
        <f t="shared" si="149"/>
        <v>-9.9999999999999998E-13</v>
      </c>
      <c r="BL67" s="20">
        <f t="shared" si="150"/>
        <v>0</v>
      </c>
      <c r="BM67" s="6">
        <f t="shared" si="151"/>
        <v>0</v>
      </c>
      <c r="BN67" s="5">
        <f t="shared" si="152"/>
        <v>0</v>
      </c>
      <c r="BO67" s="333">
        <f t="shared" si="153"/>
        <v>0</v>
      </c>
      <c r="BP67" s="334">
        <f t="shared" si="154"/>
        <v>0</v>
      </c>
      <c r="BQ67" s="6">
        <f t="shared" si="155"/>
        <v>0</v>
      </c>
      <c r="BR67" s="5">
        <f t="shared" si="156"/>
        <v>0</v>
      </c>
      <c r="BS67" s="6">
        <f t="shared" si="157"/>
        <v>0</v>
      </c>
      <c r="BT67" s="5">
        <f t="shared" si="158"/>
        <v>0</v>
      </c>
      <c r="BU67" s="181">
        <f t="shared" si="159"/>
        <v>0</v>
      </c>
      <c r="BV67" s="154">
        <f t="shared" si="160"/>
        <v>0</v>
      </c>
      <c r="BW67" s="181">
        <f t="shared" si="161"/>
        <v>0</v>
      </c>
      <c r="BX67" s="180">
        <f t="shared" si="162"/>
        <v>0</v>
      </c>
      <c r="BY67" s="181">
        <f t="shared" si="163"/>
        <v>0</v>
      </c>
      <c r="BZ67" s="154">
        <f t="shared" si="164"/>
        <v>0</v>
      </c>
      <c r="CA67" s="182">
        <f t="shared" si="165"/>
        <v>0</v>
      </c>
      <c r="CB67" s="2">
        <f t="shared" si="166"/>
        <v>0</v>
      </c>
      <c r="CC67" s="2">
        <f t="shared" si="167"/>
        <v>0</v>
      </c>
      <c r="CD67" s="2">
        <f t="shared" si="168"/>
        <v>0</v>
      </c>
      <c r="CE67" s="2">
        <f t="shared" si="169"/>
        <v>0</v>
      </c>
      <c r="CF67" s="6">
        <f t="shared" si="170"/>
        <v>0</v>
      </c>
      <c r="CG67" s="6">
        <f t="shared" si="171"/>
        <v>0</v>
      </c>
      <c r="CH67" s="6">
        <f t="shared" si="172"/>
        <v>0</v>
      </c>
      <c r="CI67" s="20">
        <f t="shared" si="173"/>
        <v>0</v>
      </c>
      <c r="CJ67" s="133">
        <f t="shared" si="174"/>
        <v>2521</v>
      </c>
      <c r="CK67" s="5">
        <f t="shared" si="175"/>
        <v>0</v>
      </c>
      <c r="CL67" s="302" t="s">
        <v>1235</v>
      </c>
      <c r="CM67" s="298" t="s">
        <v>13</v>
      </c>
      <c r="CN67" s="298" t="s">
        <v>1320</v>
      </c>
      <c r="CO67" s="298">
        <v>22</v>
      </c>
      <c r="CP67" s="298" t="s">
        <v>1321</v>
      </c>
      <c r="CQ67" s="298" t="s">
        <v>1131</v>
      </c>
      <c r="CR67" s="298" t="s">
        <v>644</v>
      </c>
      <c r="CS67" s="298" t="s">
        <v>1322</v>
      </c>
      <c r="CT67" s="298" t="s">
        <v>593</v>
      </c>
      <c r="CU67" s="299">
        <v>47118</v>
      </c>
      <c r="CV67" s="298">
        <v>0</v>
      </c>
      <c r="CW67" s="298">
        <v>0</v>
      </c>
      <c r="CX67" s="298">
        <v>0</v>
      </c>
      <c r="CY67" s="298">
        <v>0</v>
      </c>
      <c r="CZ67" s="298">
        <v>0</v>
      </c>
      <c r="DA67" s="298">
        <v>0</v>
      </c>
      <c r="DB67" s="298">
        <v>0</v>
      </c>
      <c r="DC67" s="298">
        <v>0</v>
      </c>
      <c r="DD67" s="298">
        <v>0</v>
      </c>
      <c r="DE67" s="298">
        <v>0</v>
      </c>
      <c r="DF67" s="298">
        <v>0</v>
      </c>
      <c r="DG67" s="298">
        <v>0</v>
      </c>
      <c r="DH67" s="298">
        <v>0</v>
      </c>
      <c r="DI67" s="298">
        <v>0</v>
      </c>
      <c r="DJ67" s="298">
        <v>0</v>
      </c>
      <c r="DK67" s="298">
        <v>0</v>
      </c>
      <c r="DL67" s="298">
        <v>0</v>
      </c>
      <c r="DM67" s="298">
        <v>0</v>
      </c>
      <c r="DN67" s="298">
        <v>0</v>
      </c>
      <c r="DO67" s="298">
        <v>0</v>
      </c>
      <c r="DP67" s="298">
        <v>0</v>
      </c>
      <c r="DQ67" s="298">
        <v>0</v>
      </c>
      <c r="DR67" s="298">
        <v>0</v>
      </c>
      <c r="DS67" s="298">
        <v>0</v>
      </c>
      <c r="DT67" s="298">
        <v>0</v>
      </c>
      <c r="DU67" s="298">
        <v>0</v>
      </c>
      <c r="DV67" s="303" t="s">
        <v>548</v>
      </c>
    </row>
    <row r="68" spans="1:126" ht="24.95" customHeight="1" thickBot="1" x14ac:dyDescent="0.3">
      <c r="A68" s="29" t="str">
        <f t="shared" si="176"/>
        <v>67º</v>
      </c>
      <c r="B68" s="69" t="str">
        <f t="shared" si="89"/>
        <v>Guilherme Leal</v>
      </c>
      <c r="C68" s="269" t="str">
        <f t="shared" si="90"/>
        <v>BRA</v>
      </c>
      <c r="D68" s="99" t="str">
        <f t="shared" si="91"/>
        <v>Somente Pé Direito</v>
      </c>
      <c r="E68" s="28" t="str">
        <f t="shared" si="92"/>
        <v>GRE</v>
      </c>
      <c r="F68" s="169">
        <f t="shared" si="93"/>
        <v>22</v>
      </c>
      <c r="G68" s="2" t="str">
        <f t="shared" si="94"/>
        <v>0 €</v>
      </c>
      <c r="H68" s="154">
        <f t="shared" si="95"/>
        <v>1.84</v>
      </c>
      <c r="I68" s="64">
        <f t="shared" si="96"/>
        <v>47118</v>
      </c>
      <c r="J68" s="304" t="str">
        <f t="shared" si="97"/>
        <v>1,7m € p/m</v>
      </c>
      <c r="K68" s="96">
        <f t="shared" si="177"/>
        <v>3.5222222222222221</v>
      </c>
      <c r="L68" s="146">
        <f t="shared" si="98"/>
        <v>0</v>
      </c>
      <c r="M68" s="6">
        <f t="shared" si="99"/>
        <v>0</v>
      </c>
      <c r="N68" s="5">
        <f t="shared" si="100"/>
        <v>5400</v>
      </c>
      <c r="O68" s="21">
        <f t="shared" si="101"/>
        <v>0</v>
      </c>
      <c r="P68" s="2">
        <f t="shared" si="102"/>
        <v>0</v>
      </c>
      <c r="Q68" s="2">
        <f t="shared" si="103"/>
        <v>0</v>
      </c>
      <c r="R68" s="5">
        <f t="shared" si="104"/>
        <v>0</v>
      </c>
      <c r="S68" s="2">
        <f t="shared" si="105"/>
        <v>0</v>
      </c>
      <c r="T68" s="2">
        <f t="shared" si="106"/>
        <v>0</v>
      </c>
      <c r="U68" s="102">
        <f t="shared" si="107"/>
        <v>0</v>
      </c>
      <c r="V68" s="102">
        <f t="shared" si="108"/>
        <v>0</v>
      </c>
      <c r="W68" s="6">
        <f t="shared" si="109"/>
        <v>0</v>
      </c>
      <c r="X68" s="5">
        <f t="shared" si="110"/>
        <v>0</v>
      </c>
      <c r="Y68" s="6">
        <f t="shared" si="111"/>
        <v>0</v>
      </c>
      <c r="Z68" s="5" t="e">
        <f t="shared" si="112"/>
        <v>#DIV/0!</v>
      </c>
      <c r="AA68" s="21">
        <f t="shared" si="113"/>
        <v>0</v>
      </c>
      <c r="AB68" s="6">
        <f t="shared" si="114"/>
        <v>0</v>
      </c>
      <c r="AC68" s="5" t="e">
        <f t="shared" si="115"/>
        <v>#DIV/0!</v>
      </c>
      <c r="AD68" s="6">
        <f t="shared" si="116"/>
        <v>0</v>
      </c>
      <c r="AE68" s="5">
        <f t="shared" si="117"/>
        <v>0</v>
      </c>
      <c r="AF68" s="21">
        <f t="shared" si="118"/>
        <v>0</v>
      </c>
      <c r="AG68" s="6">
        <f t="shared" si="119"/>
        <v>0</v>
      </c>
      <c r="AH68" s="5">
        <f t="shared" si="120"/>
        <v>0</v>
      </c>
      <c r="AI68" s="21">
        <f t="shared" si="121"/>
        <v>0</v>
      </c>
      <c r="AJ68" s="6">
        <f t="shared" si="122"/>
        <v>0</v>
      </c>
      <c r="AK68" s="5">
        <f t="shared" si="123"/>
        <v>0</v>
      </c>
      <c r="AL68" s="21">
        <f t="shared" si="124"/>
        <v>0</v>
      </c>
      <c r="AM68" s="21">
        <f t="shared" si="125"/>
        <v>0</v>
      </c>
      <c r="AN68" s="6">
        <f t="shared" si="126"/>
        <v>0</v>
      </c>
      <c r="AO68" s="5">
        <f t="shared" si="127"/>
        <v>0</v>
      </c>
      <c r="AP68" s="6">
        <f t="shared" si="128"/>
        <v>0</v>
      </c>
      <c r="AQ68" s="5">
        <f t="shared" si="129"/>
        <v>0</v>
      </c>
      <c r="AR68" s="2">
        <f t="shared" si="130"/>
        <v>0</v>
      </c>
      <c r="AS68" s="5">
        <f t="shared" si="131"/>
        <v>0</v>
      </c>
      <c r="AT68" s="21">
        <f t="shared" si="132"/>
        <v>0</v>
      </c>
      <c r="AU68" s="20">
        <f t="shared" si="133"/>
        <v>0</v>
      </c>
      <c r="AV68" s="20">
        <f t="shared" si="134"/>
        <v>1</v>
      </c>
      <c r="AW68" s="199">
        <f t="shared" si="135"/>
        <v>0</v>
      </c>
      <c r="AX68" s="24">
        <f t="shared" si="136"/>
        <v>0</v>
      </c>
      <c r="AY68" s="5">
        <f t="shared" si="137"/>
        <v>0</v>
      </c>
      <c r="AZ68" s="5">
        <f t="shared" si="138"/>
        <v>0</v>
      </c>
      <c r="BA68" s="5">
        <f t="shared" si="139"/>
        <v>0</v>
      </c>
      <c r="BB68" s="5">
        <f t="shared" si="140"/>
        <v>0</v>
      </c>
      <c r="BC68" s="5">
        <f t="shared" si="141"/>
        <v>0</v>
      </c>
      <c r="BD68" s="5">
        <f t="shared" si="142"/>
        <v>0</v>
      </c>
      <c r="BE68" s="199">
        <f t="shared" si="143"/>
        <v>0</v>
      </c>
      <c r="BF68" s="21">
        <f t="shared" si="144"/>
        <v>0</v>
      </c>
      <c r="BG68" s="6">
        <f t="shared" si="145"/>
        <v>0</v>
      </c>
      <c r="BH68" s="5" t="e">
        <f t="shared" si="146"/>
        <v>#DIV/0!</v>
      </c>
      <c r="BI68" s="6">
        <f t="shared" si="147"/>
        <v>0</v>
      </c>
      <c r="BJ68" s="5" t="e">
        <f t="shared" si="148"/>
        <v>#DIV/0!</v>
      </c>
      <c r="BK68" s="20">
        <f t="shared" si="149"/>
        <v>-9.9999999999999998E-13</v>
      </c>
      <c r="BL68" s="20">
        <f t="shared" si="150"/>
        <v>0</v>
      </c>
      <c r="BM68" s="6">
        <f t="shared" si="151"/>
        <v>0</v>
      </c>
      <c r="BN68" s="5">
        <f t="shared" si="152"/>
        <v>0</v>
      </c>
      <c r="BO68" s="333">
        <f t="shared" si="153"/>
        <v>0</v>
      </c>
      <c r="BP68" s="334">
        <f t="shared" si="154"/>
        <v>0</v>
      </c>
      <c r="BQ68" s="6">
        <f t="shared" si="155"/>
        <v>0</v>
      </c>
      <c r="BR68" s="5">
        <f t="shared" si="156"/>
        <v>0</v>
      </c>
      <c r="BS68" s="6">
        <f t="shared" si="157"/>
        <v>0</v>
      </c>
      <c r="BT68" s="5">
        <f t="shared" si="158"/>
        <v>0</v>
      </c>
      <c r="BU68" s="181">
        <f t="shared" si="159"/>
        <v>0</v>
      </c>
      <c r="BV68" s="154">
        <f t="shared" si="160"/>
        <v>0</v>
      </c>
      <c r="BW68" s="181">
        <f t="shared" si="161"/>
        <v>0</v>
      </c>
      <c r="BX68" s="180">
        <f t="shared" si="162"/>
        <v>0</v>
      </c>
      <c r="BY68" s="181">
        <f t="shared" si="163"/>
        <v>0</v>
      </c>
      <c r="BZ68" s="154">
        <f t="shared" si="164"/>
        <v>0</v>
      </c>
      <c r="CA68" s="182">
        <f t="shared" si="165"/>
        <v>0</v>
      </c>
      <c r="CB68" s="2">
        <f t="shared" si="166"/>
        <v>0</v>
      </c>
      <c r="CC68" s="2">
        <f t="shared" si="167"/>
        <v>0</v>
      </c>
      <c r="CD68" s="2">
        <f t="shared" si="168"/>
        <v>0</v>
      </c>
      <c r="CE68" s="2">
        <f t="shared" si="169"/>
        <v>0</v>
      </c>
      <c r="CF68" s="6">
        <f t="shared" si="170"/>
        <v>0</v>
      </c>
      <c r="CG68" s="6">
        <f t="shared" si="171"/>
        <v>0</v>
      </c>
      <c r="CH68" s="6">
        <f t="shared" si="172"/>
        <v>0</v>
      </c>
      <c r="CI68" s="20">
        <f t="shared" si="173"/>
        <v>0</v>
      </c>
      <c r="CJ68" s="133">
        <f t="shared" si="174"/>
        <v>2521</v>
      </c>
      <c r="CK68" s="5">
        <f t="shared" si="175"/>
        <v>0</v>
      </c>
      <c r="CL68" s="300" t="s">
        <v>19</v>
      </c>
      <c r="CM68" s="296" t="s">
        <v>13</v>
      </c>
      <c r="CN68" s="296" t="s">
        <v>1224</v>
      </c>
      <c r="CO68" s="296">
        <v>22</v>
      </c>
      <c r="CP68" s="296" t="s">
        <v>1323</v>
      </c>
      <c r="CQ68" s="296" t="s">
        <v>1131</v>
      </c>
      <c r="CR68" s="296" t="s">
        <v>645</v>
      </c>
      <c r="CS68" s="296" t="s">
        <v>1188</v>
      </c>
      <c r="CT68" s="296" t="s">
        <v>574</v>
      </c>
      <c r="CU68" s="297">
        <v>47118</v>
      </c>
      <c r="CV68" s="296">
        <v>0</v>
      </c>
      <c r="CW68" s="296">
        <v>0</v>
      </c>
      <c r="CX68" s="296">
        <v>0</v>
      </c>
      <c r="CY68" s="296">
        <v>0</v>
      </c>
      <c r="CZ68" s="296">
        <v>0</v>
      </c>
      <c r="DA68" s="296">
        <v>0</v>
      </c>
      <c r="DB68" s="296">
        <v>0</v>
      </c>
      <c r="DC68" s="296">
        <v>0</v>
      </c>
      <c r="DD68" s="296">
        <v>0</v>
      </c>
      <c r="DE68" s="296">
        <v>0</v>
      </c>
      <c r="DF68" s="296">
        <v>0</v>
      </c>
      <c r="DG68" s="296">
        <v>0</v>
      </c>
      <c r="DH68" s="296">
        <v>0</v>
      </c>
      <c r="DI68" s="296">
        <v>0</v>
      </c>
      <c r="DJ68" s="296">
        <v>0</v>
      </c>
      <c r="DK68" s="296">
        <v>0</v>
      </c>
      <c r="DL68" s="296">
        <v>0</v>
      </c>
      <c r="DM68" s="296">
        <v>0</v>
      </c>
      <c r="DN68" s="296">
        <v>0</v>
      </c>
      <c r="DO68" s="296">
        <v>0</v>
      </c>
      <c r="DP68" s="296">
        <v>0</v>
      </c>
      <c r="DQ68" s="296">
        <v>0</v>
      </c>
      <c r="DR68" s="296">
        <v>0</v>
      </c>
      <c r="DS68" s="296">
        <v>0</v>
      </c>
      <c r="DT68" s="296">
        <v>0</v>
      </c>
      <c r="DU68" s="296">
        <v>0</v>
      </c>
      <c r="DV68" s="301" t="s">
        <v>548</v>
      </c>
    </row>
    <row r="69" spans="1:126" ht="24.95" customHeight="1" thickBot="1" x14ac:dyDescent="0.3">
      <c r="A69" s="29" t="str">
        <f t="shared" si="176"/>
        <v>68º</v>
      </c>
      <c r="B69" s="69" t="str">
        <f t="shared" si="89"/>
        <v>Wallace</v>
      </c>
      <c r="C69" s="269" t="str">
        <f t="shared" si="90"/>
        <v>BRA</v>
      </c>
      <c r="D69" s="99" t="str">
        <f t="shared" si="91"/>
        <v>Pé Direito</v>
      </c>
      <c r="E69" s="28" t="str">
        <f t="shared" si="92"/>
        <v>FLU</v>
      </c>
      <c r="F69" s="169">
        <f t="shared" si="93"/>
        <v>18</v>
      </c>
      <c r="G69" s="2" t="str">
        <f t="shared" si="94"/>
        <v>40m € - 375m €</v>
      </c>
      <c r="H69" s="154">
        <f t="shared" si="95"/>
        <v>1.84</v>
      </c>
      <c r="I69" s="64">
        <f t="shared" si="96"/>
        <v>47848</v>
      </c>
      <c r="J69" s="304" t="str">
        <f t="shared" si="97"/>
        <v>1m € p/m</v>
      </c>
      <c r="K69" s="96">
        <f t="shared" si="177"/>
        <v>3.5222222222222221</v>
      </c>
      <c r="L69" s="146">
        <f t="shared" si="98"/>
        <v>0</v>
      </c>
      <c r="M69" s="6">
        <f t="shared" si="99"/>
        <v>0</v>
      </c>
      <c r="N69" s="5">
        <f t="shared" si="100"/>
        <v>5400</v>
      </c>
      <c r="O69" s="21">
        <f t="shared" si="101"/>
        <v>0</v>
      </c>
      <c r="P69" s="2">
        <f t="shared" si="102"/>
        <v>0</v>
      </c>
      <c r="Q69" s="2">
        <f t="shared" si="103"/>
        <v>0</v>
      </c>
      <c r="R69" s="5">
        <f t="shared" si="104"/>
        <v>0</v>
      </c>
      <c r="S69" s="2">
        <f t="shared" si="105"/>
        <v>0</v>
      </c>
      <c r="T69" s="2">
        <f t="shared" si="106"/>
        <v>0</v>
      </c>
      <c r="U69" s="102">
        <f t="shared" si="107"/>
        <v>0</v>
      </c>
      <c r="V69" s="102">
        <f t="shared" si="108"/>
        <v>0</v>
      </c>
      <c r="W69" s="6">
        <f t="shared" si="109"/>
        <v>0</v>
      </c>
      <c r="X69" s="5">
        <f t="shared" si="110"/>
        <v>0</v>
      </c>
      <c r="Y69" s="6">
        <f t="shared" si="111"/>
        <v>0</v>
      </c>
      <c r="Z69" s="5" t="e">
        <f t="shared" si="112"/>
        <v>#DIV/0!</v>
      </c>
      <c r="AA69" s="21">
        <f t="shared" si="113"/>
        <v>0</v>
      </c>
      <c r="AB69" s="6">
        <f t="shared" si="114"/>
        <v>0</v>
      </c>
      <c r="AC69" s="5" t="e">
        <f t="shared" si="115"/>
        <v>#DIV/0!</v>
      </c>
      <c r="AD69" s="6">
        <f t="shared" si="116"/>
        <v>0</v>
      </c>
      <c r="AE69" s="5">
        <f t="shared" si="117"/>
        <v>0</v>
      </c>
      <c r="AF69" s="21">
        <f t="shared" si="118"/>
        <v>0</v>
      </c>
      <c r="AG69" s="6">
        <f t="shared" si="119"/>
        <v>0</v>
      </c>
      <c r="AH69" s="5">
        <f t="shared" si="120"/>
        <v>0</v>
      </c>
      <c r="AI69" s="21">
        <f t="shared" si="121"/>
        <v>0</v>
      </c>
      <c r="AJ69" s="6">
        <f t="shared" si="122"/>
        <v>0</v>
      </c>
      <c r="AK69" s="5">
        <f t="shared" si="123"/>
        <v>0</v>
      </c>
      <c r="AL69" s="21">
        <f t="shared" si="124"/>
        <v>0</v>
      </c>
      <c r="AM69" s="21">
        <f t="shared" si="125"/>
        <v>0</v>
      </c>
      <c r="AN69" s="6">
        <f t="shared" si="126"/>
        <v>0</v>
      </c>
      <c r="AO69" s="5">
        <f t="shared" si="127"/>
        <v>0</v>
      </c>
      <c r="AP69" s="6">
        <f t="shared" si="128"/>
        <v>0</v>
      </c>
      <c r="AQ69" s="5">
        <f t="shared" si="129"/>
        <v>0</v>
      </c>
      <c r="AR69" s="2">
        <f t="shared" si="130"/>
        <v>0</v>
      </c>
      <c r="AS69" s="5">
        <f t="shared" si="131"/>
        <v>0</v>
      </c>
      <c r="AT69" s="21">
        <f t="shared" si="132"/>
        <v>0</v>
      </c>
      <c r="AU69" s="20">
        <f t="shared" si="133"/>
        <v>0</v>
      </c>
      <c r="AV69" s="20">
        <f t="shared" si="134"/>
        <v>1</v>
      </c>
      <c r="AW69" s="199">
        <f t="shared" si="135"/>
        <v>0</v>
      </c>
      <c r="AX69" s="24">
        <f t="shared" si="136"/>
        <v>0</v>
      </c>
      <c r="AY69" s="5">
        <f t="shared" si="137"/>
        <v>0</v>
      </c>
      <c r="AZ69" s="5">
        <f t="shared" si="138"/>
        <v>0</v>
      </c>
      <c r="BA69" s="5">
        <f t="shared" si="139"/>
        <v>0</v>
      </c>
      <c r="BB69" s="5">
        <f t="shared" si="140"/>
        <v>0</v>
      </c>
      <c r="BC69" s="5">
        <f t="shared" si="141"/>
        <v>0</v>
      </c>
      <c r="BD69" s="5">
        <f t="shared" si="142"/>
        <v>0</v>
      </c>
      <c r="BE69" s="199">
        <f t="shared" si="143"/>
        <v>0</v>
      </c>
      <c r="BF69" s="21">
        <f t="shared" si="144"/>
        <v>0</v>
      </c>
      <c r="BG69" s="6">
        <f t="shared" si="145"/>
        <v>0</v>
      </c>
      <c r="BH69" s="5" t="e">
        <f t="shared" si="146"/>
        <v>#DIV/0!</v>
      </c>
      <c r="BI69" s="6">
        <f t="shared" si="147"/>
        <v>0</v>
      </c>
      <c r="BJ69" s="5" t="e">
        <f t="shared" si="148"/>
        <v>#DIV/0!</v>
      </c>
      <c r="BK69" s="20">
        <f t="shared" si="149"/>
        <v>-9.9999999999999998E-13</v>
      </c>
      <c r="BL69" s="20">
        <f t="shared" si="150"/>
        <v>0</v>
      </c>
      <c r="BM69" s="6">
        <f t="shared" si="151"/>
        <v>0</v>
      </c>
      <c r="BN69" s="5">
        <f t="shared" si="152"/>
        <v>0</v>
      </c>
      <c r="BO69" s="333">
        <f t="shared" si="153"/>
        <v>0</v>
      </c>
      <c r="BP69" s="334">
        <f t="shared" si="154"/>
        <v>0</v>
      </c>
      <c r="BQ69" s="6">
        <f t="shared" si="155"/>
        <v>0</v>
      </c>
      <c r="BR69" s="5">
        <f t="shared" si="156"/>
        <v>0</v>
      </c>
      <c r="BS69" s="6">
        <f t="shared" si="157"/>
        <v>0</v>
      </c>
      <c r="BT69" s="5">
        <f t="shared" si="158"/>
        <v>0</v>
      </c>
      <c r="BU69" s="181">
        <f t="shared" si="159"/>
        <v>0</v>
      </c>
      <c r="BV69" s="154">
        <f t="shared" si="160"/>
        <v>0</v>
      </c>
      <c r="BW69" s="181">
        <f t="shared" si="161"/>
        <v>0</v>
      </c>
      <c r="BX69" s="180">
        <f t="shared" si="162"/>
        <v>0</v>
      </c>
      <c r="BY69" s="181">
        <f t="shared" si="163"/>
        <v>0</v>
      </c>
      <c r="BZ69" s="154">
        <f t="shared" si="164"/>
        <v>0</v>
      </c>
      <c r="CA69" s="182">
        <f t="shared" si="165"/>
        <v>0</v>
      </c>
      <c r="CB69" s="2">
        <f t="shared" si="166"/>
        <v>0</v>
      </c>
      <c r="CC69" s="2">
        <f t="shared" si="167"/>
        <v>0</v>
      </c>
      <c r="CD69" s="2">
        <f t="shared" si="168"/>
        <v>0</v>
      </c>
      <c r="CE69" s="2">
        <f t="shared" si="169"/>
        <v>0</v>
      </c>
      <c r="CF69" s="6">
        <f t="shared" si="170"/>
        <v>0</v>
      </c>
      <c r="CG69" s="6">
        <f t="shared" si="171"/>
        <v>0</v>
      </c>
      <c r="CH69" s="6">
        <f t="shared" si="172"/>
        <v>0</v>
      </c>
      <c r="CI69" s="20">
        <f t="shared" si="173"/>
        <v>0</v>
      </c>
      <c r="CJ69" s="133">
        <f t="shared" si="174"/>
        <v>2521</v>
      </c>
      <c r="CK69" s="5">
        <f t="shared" si="175"/>
        <v>0</v>
      </c>
      <c r="CL69" s="302" t="s">
        <v>1235</v>
      </c>
      <c r="CM69" s="298" t="s">
        <v>13</v>
      </c>
      <c r="CN69" s="298" t="s">
        <v>1311</v>
      </c>
      <c r="CO69" s="298">
        <v>18</v>
      </c>
      <c r="CP69" s="298" t="s">
        <v>1324</v>
      </c>
      <c r="CQ69" s="298" t="s">
        <v>1325</v>
      </c>
      <c r="CR69" s="298" t="s">
        <v>644</v>
      </c>
      <c r="CS69" s="298" t="s">
        <v>1326</v>
      </c>
      <c r="CT69" s="298" t="s">
        <v>574</v>
      </c>
      <c r="CU69" s="299">
        <v>47848</v>
      </c>
      <c r="CV69" s="298">
        <v>0</v>
      </c>
      <c r="CW69" s="298">
        <v>0</v>
      </c>
      <c r="CX69" s="298">
        <v>0</v>
      </c>
      <c r="CY69" s="298">
        <v>0</v>
      </c>
      <c r="CZ69" s="298">
        <v>0</v>
      </c>
      <c r="DA69" s="298">
        <v>0</v>
      </c>
      <c r="DB69" s="298">
        <v>0</v>
      </c>
      <c r="DC69" s="298">
        <v>0</v>
      </c>
      <c r="DD69" s="298">
        <v>0</v>
      </c>
      <c r="DE69" s="298">
        <v>0</v>
      </c>
      <c r="DF69" s="298">
        <v>0</v>
      </c>
      <c r="DG69" s="298">
        <v>0</v>
      </c>
      <c r="DH69" s="298">
        <v>0</v>
      </c>
      <c r="DI69" s="298">
        <v>0</v>
      </c>
      <c r="DJ69" s="298">
        <v>0</v>
      </c>
      <c r="DK69" s="298">
        <v>0</v>
      </c>
      <c r="DL69" s="298">
        <v>0</v>
      </c>
      <c r="DM69" s="298">
        <v>0</v>
      </c>
      <c r="DN69" s="298">
        <v>0</v>
      </c>
      <c r="DO69" s="298">
        <v>0</v>
      </c>
      <c r="DP69" s="298">
        <v>0</v>
      </c>
      <c r="DQ69" s="298">
        <v>0</v>
      </c>
      <c r="DR69" s="298">
        <v>0</v>
      </c>
      <c r="DS69" s="298">
        <v>0</v>
      </c>
      <c r="DT69" s="298">
        <v>0</v>
      </c>
      <c r="DU69" s="298">
        <v>0</v>
      </c>
      <c r="DV69" s="303" t="s">
        <v>548</v>
      </c>
    </row>
    <row r="70" spans="1:126" ht="24.95" customHeight="1" thickBot="1" x14ac:dyDescent="0.3">
      <c r="A70" s="29" t="str">
        <f t="shared" si="176"/>
        <v>69º</v>
      </c>
      <c r="B70" s="69" t="str">
        <f t="shared" si="89"/>
        <v>Gabriel Menezes</v>
      </c>
      <c r="C70" s="269" t="str">
        <f t="shared" si="90"/>
        <v>BRA</v>
      </c>
      <c r="D70" s="99" t="str">
        <f t="shared" si="91"/>
        <v>Pé Direito</v>
      </c>
      <c r="E70" s="28" t="str">
        <f t="shared" si="92"/>
        <v>Vitória de Setúbal</v>
      </c>
      <c r="F70" s="169">
        <f t="shared" si="93"/>
        <v>23</v>
      </c>
      <c r="G70" s="2" t="str">
        <f t="shared" si="94"/>
        <v>0 €</v>
      </c>
      <c r="H70" s="154">
        <f t="shared" si="95"/>
        <v>1.92</v>
      </c>
      <c r="I70" s="64">
        <f t="shared" si="96"/>
        <v>47664</v>
      </c>
      <c r="J70" s="304" t="str">
        <f t="shared" si="97"/>
        <v>3,3m € p/m</v>
      </c>
      <c r="K70" s="96">
        <f t="shared" si="177"/>
        <v>3.5222222222222221</v>
      </c>
      <c r="L70" s="146">
        <f t="shared" si="98"/>
        <v>0</v>
      </c>
      <c r="M70" s="6">
        <f t="shared" si="99"/>
        <v>0</v>
      </c>
      <c r="N70" s="5">
        <f t="shared" si="100"/>
        <v>5400</v>
      </c>
      <c r="O70" s="21">
        <f t="shared" si="101"/>
        <v>0</v>
      </c>
      <c r="P70" s="2">
        <f t="shared" si="102"/>
        <v>0</v>
      </c>
      <c r="Q70" s="2">
        <f t="shared" si="103"/>
        <v>0</v>
      </c>
      <c r="R70" s="5">
        <f t="shared" si="104"/>
        <v>0</v>
      </c>
      <c r="S70" s="2">
        <f t="shared" si="105"/>
        <v>0</v>
      </c>
      <c r="T70" s="2">
        <f t="shared" si="106"/>
        <v>0</v>
      </c>
      <c r="U70" s="102">
        <f t="shared" si="107"/>
        <v>0</v>
      </c>
      <c r="V70" s="102">
        <f t="shared" si="108"/>
        <v>0</v>
      </c>
      <c r="W70" s="6">
        <f t="shared" si="109"/>
        <v>0</v>
      </c>
      <c r="X70" s="5">
        <f t="shared" si="110"/>
        <v>0</v>
      </c>
      <c r="Y70" s="6">
        <f t="shared" si="111"/>
        <v>0</v>
      </c>
      <c r="Z70" s="5" t="e">
        <f t="shared" si="112"/>
        <v>#DIV/0!</v>
      </c>
      <c r="AA70" s="21">
        <f t="shared" si="113"/>
        <v>0</v>
      </c>
      <c r="AB70" s="6">
        <f t="shared" si="114"/>
        <v>0</v>
      </c>
      <c r="AC70" s="5" t="e">
        <f t="shared" si="115"/>
        <v>#DIV/0!</v>
      </c>
      <c r="AD70" s="6">
        <f t="shared" si="116"/>
        <v>0</v>
      </c>
      <c r="AE70" s="5">
        <f t="shared" si="117"/>
        <v>0</v>
      </c>
      <c r="AF70" s="21">
        <f t="shared" si="118"/>
        <v>0</v>
      </c>
      <c r="AG70" s="6">
        <f t="shared" si="119"/>
        <v>0</v>
      </c>
      <c r="AH70" s="5">
        <f t="shared" si="120"/>
        <v>0</v>
      </c>
      <c r="AI70" s="21">
        <f t="shared" si="121"/>
        <v>0</v>
      </c>
      <c r="AJ70" s="6">
        <f t="shared" si="122"/>
        <v>0</v>
      </c>
      <c r="AK70" s="5">
        <f t="shared" si="123"/>
        <v>0</v>
      </c>
      <c r="AL70" s="21">
        <f t="shared" si="124"/>
        <v>0</v>
      </c>
      <c r="AM70" s="21">
        <f t="shared" si="125"/>
        <v>0</v>
      </c>
      <c r="AN70" s="6">
        <f t="shared" si="126"/>
        <v>0</v>
      </c>
      <c r="AO70" s="5">
        <f t="shared" si="127"/>
        <v>0</v>
      </c>
      <c r="AP70" s="6">
        <f t="shared" si="128"/>
        <v>0</v>
      </c>
      <c r="AQ70" s="5">
        <f t="shared" si="129"/>
        <v>0</v>
      </c>
      <c r="AR70" s="2">
        <f t="shared" si="130"/>
        <v>0</v>
      </c>
      <c r="AS70" s="5">
        <f t="shared" si="131"/>
        <v>0</v>
      </c>
      <c r="AT70" s="21">
        <f t="shared" si="132"/>
        <v>0</v>
      </c>
      <c r="AU70" s="20">
        <f t="shared" si="133"/>
        <v>0</v>
      </c>
      <c r="AV70" s="20">
        <f t="shared" si="134"/>
        <v>1</v>
      </c>
      <c r="AW70" s="199">
        <f t="shared" si="135"/>
        <v>0</v>
      </c>
      <c r="AX70" s="24">
        <f t="shared" si="136"/>
        <v>0</v>
      </c>
      <c r="AY70" s="5">
        <f t="shared" si="137"/>
        <v>0</v>
      </c>
      <c r="AZ70" s="5">
        <f t="shared" si="138"/>
        <v>0</v>
      </c>
      <c r="BA70" s="5">
        <f t="shared" si="139"/>
        <v>0</v>
      </c>
      <c r="BB70" s="5">
        <f t="shared" si="140"/>
        <v>0</v>
      </c>
      <c r="BC70" s="5">
        <f t="shared" si="141"/>
        <v>0</v>
      </c>
      <c r="BD70" s="5">
        <f t="shared" si="142"/>
        <v>0</v>
      </c>
      <c r="BE70" s="199">
        <f t="shared" si="143"/>
        <v>0</v>
      </c>
      <c r="BF70" s="21">
        <f t="shared" si="144"/>
        <v>0</v>
      </c>
      <c r="BG70" s="6">
        <f t="shared" si="145"/>
        <v>0</v>
      </c>
      <c r="BH70" s="5" t="e">
        <f t="shared" si="146"/>
        <v>#DIV/0!</v>
      </c>
      <c r="BI70" s="6">
        <f t="shared" si="147"/>
        <v>0</v>
      </c>
      <c r="BJ70" s="5" t="e">
        <f t="shared" si="148"/>
        <v>#DIV/0!</v>
      </c>
      <c r="BK70" s="20">
        <f t="shared" si="149"/>
        <v>-9.9999999999999998E-13</v>
      </c>
      <c r="BL70" s="20">
        <f t="shared" si="150"/>
        <v>0</v>
      </c>
      <c r="BM70" s="6">
        <f t="shared" si="151"/>
        <v>0</v>
      </c>
      <c r="BN70" s="5">
        <f t="shared" si="152"/>
        <v>0</v>
      </c>
      <c r="BO70" s="333">
        <f t="shared" si="153"/>
        <v>0</v>
      </c>
      <c r="BP70" s="334">
        <f t="shared" si="154"/>
        <v>0</v>
      </c>
      <c r="BQ70" s="6">
        <f t="shared" si="155"/>
        <v>0</v>
      </c>
      <c r="BR70" s="5">
        <f t="shared" si="156"/>
        <v>0</v>
      </c>
      <c r="BS70" s="6">
        <f t="shared" si="157"/>
        <v>0</v>
      </c>
      <c r="BT70" s="5">
        <f t="shared" si="158"/>
        <v>0</v>
      </c>
      <c r="BU70" s="181">
        <f t="shared" si="159"/>
        <v>0</v>
      </c>
      <c r="BV70" s="154">
        <f t="shared" si="160"/>
        <v>0</v>
      </c>
      <c r="BW70" s="181">
        <f t="shared" si="161"/>
        <v>0</v>
      </c>
      <c r="BX70" s="180">
        <f t="shared" si="162"/>
        <v>0</v>
      </c>
      <c r="BY70" s="181">
        <f t="shared" si="163"/>
        <v>0</v>
      </c>
      <c r="BZ70" s="154">
        <f t="shared" si="164"/>
        <v>0</v>
      </c>
      <c r="CA70" s="182">
        <f t="shared" si="165"/>
        <v>0</v>
      </c>
      <c r="CB70" s="2">
        <f t="shared" si="166"/>
        <v>0</v>
      </c>
      <c r="CC70" s="2">
        <f t="shared" si="167"/>
        <v>0</v>
      </c>
      <c r="CD70" s="2">
        <f t="shared" si="168"/>
        <v>0</v>
      </c>
      <c r="CE70" s="2">
        <f t="shared" si="169"/>
        <v>0</v>
      </c>
      <c r="CF70" s="6">
        <f t="shared" si="170"/>
        <v>0</v>
      </c>
      <c r="CG70" s="6">
        <f t="shared" si="171"/>
        <v>0</v>
      </c>
      <c r="CH70" s="6">
        <f t="shared" si="172"/>
        <v>0</v>
      </c>
      <c r="CI70" s="20">
        <f t="shared" si="173"/>
        <v>0</v>
      </c>
      <c r="CJ70" s="133">
        <f t="shared" si="174"/>
        <v>2521</v>
      </c>
      <c r="CK70" s="5">
        <f t="shared" si="175"/>
        <v>0</v>
      </c>
      <c r="CL70" s="300"/>
      <c r="CM70" s="296" t="s">
        <v>13</v>
      </c>
      <c r="CN70" s="296" t="s">
        <v>1327</v>
      </c>
      <c r="CO70" s="296">
        <v>23</v>
      </c>
      <c r="CP70" s="296" t="s">
        <v>1328</v>
      </c>
      <c r="CQ70" s="296" t="s">
        <v>1131</v>
      </c>
      <c r="CR70" s="296" t="s">
        <v>644</v>
      </c>
      <c r="CS70" s="296" t="s">
        <v>1329</v>
      </c>
      <c r="CT70" s="296" t="s">
        <v>549</v>
      </c>
      <c r="CU70" s="297">
        <v>47664</v>
      </c>
      <c r="CV70" s="296">
        <v>0</v>
      </c>
      <c r="CW70" s="296">
        <v>0</v>
      </c>
      <c r="CX70" s="296">
        <v>0</v>
      </c>
      <c r="CY70" s="296">
        <v>0</v>
      </c>
      <c r="CZ70" s="296">
        <v>0</v>
      </c>
      <c r="DA70" s="296">
        <v>0</v>
      </c>
      <c r="DB70" s="296">
        <v>0</v>
      </c>
      <c r="DC70" s="296">
        <v>0</v>
      </c>
      <c r="DD70" s="296">
        <v>0</v>
      </c>
      <c r="DE70" s="296">
        <v>0</v>
      </c>
      <c r="DF70" s="296">
        <v>0</v>
      </c>
      <c r="DG70" s="296">
        <v>0</v>
      </c>
      <c r="DH70" s="296">
        <v>0</v>
      </c>
      <c r="DI70" s="296">
        <v>0</v>
      </c>
      <c r="DJ70" s="296">
        <v>0</v>
      </c>
      <c r="DK70" s="296">
        <v>0</v>
      </c>
      <c r="DL70" s="296">
        <v>0</v>
      </c>
      <c r="DM70" s="296">
        <v>0</v>
      </c>
      <c r="DN70" s="296">
        <v>0</v>
      </c>
      <c r="DO70" s="296">
        <v>0</v>
      </c>
      <c r="DP70" s="296">
        <v>0</v>
      </c>
      <c r="DQ70" s="296">
        <v>0</v>
      </c>
      <c r="DR70" s="296">
        <v>0</v>
      </c>
      <c r="DS70" s="296">
        <v>0</v>
      </c>
      <c r="DT70" s="296">
        <v>0</v>
      </c>
      <c r="DU70" s="296">
        <v>0</v>
      </c>
      <c r="DV70" s="301" t="s">
        <v>548</v>
      </c>
    </row>
    <row r="71" spans="1:126" ht="24.95" customHeight="1" thickBot="1" x14ac:dyDescent="0.3">
      <c r="A71" s="29" t="str">
        <f t="shared" si="176"/>
        <v>70º</v>
      </c>
      <c r="B71" s="69" t="str">
        <f t="shared" si="89"/>
        <v>Ezequiel</v>
      </c>
      <c r="C71" s="269" t="str">
        <f t="shared" si="90"/>
        <v>BRA</v>
      </c>
      <c r="D71" s="99" t="str">
        <f t="shared" si="91"/>
        <v>Pé Esquerdo</v>
      </c>
      <c r="E71" s="28" t="str">
        <f t="shared" si="92"/>
        <v>GOI</v>
      </c>
      <c r="F71" s="169">
        <f t="shared" si="93"/>
        <v>25</v>
      </c>
      <c r="G71" s="2" t="str">
        <f t="shared" si="94"/>
        <v>0 € - 28m €</v>
      </c>
      <c r="H71" s="154">
        <f t="shared" si="95"/>
        <v>1.85</v>
      </c>
      <c r="I71" s="64">
        <f t="shared" si="96"/>
        <v>47848</v>
      </c>
      <c r="J71" s="304" t="str">
        <f t="shared" si="97"/>
        <v>5,25m € p/m</v>
      </c>
      <c r="K71" s="96">
        <f t="shared" si="177"/>
        <v>3.5222222222222221</v>
      </c>
      <c r="L71" s="146">
        <f t="shared" si="98"/>
        <v>8.6444444444444439</v>
      </c>
      <c r="M71" s="6">
        <f t="shared" si="99"/>
        <v>1</v>
      </c>
      <c r="N71" s="5">
        <f t="shared" si="100"/>
        <v>778</v>
      </c>
      <c r="O71" s="21">
        <f t="shared" si="101"/>
        <v>0.11568123393316196</v>
      </c>
      <c r="P71" s="2">
        <f t="shared" si="102"/>
        <v>214</v>
      </c>
      <c r="Q71" s="2">
        <f t="shared" si="103"/>
        <v>185</v>
      </c>
      <c r="R71" s="5">
        <f t="shared" si="104"/>
        <v>21.401028277634964</v>
      </c>
      <c r="S71" s="2">
        <f t="shared" si="105"/>
        <v>29</v>
      </c>
      <c r="T71" s="2">
        <f t="shared" si="106"/>
        <v>156</v>
      </c>
      <c r="U71" s="102">
        <f t="shared" si="107"/>
        <v>0.13551401869158877</v>
      </c>
      <c r="V71" s="102">
        <f t="shared" si="108"/>
        <v>0.86448598130841126</v>
      </c>
      <c r="W71" s="6">
        <f t="shared" si="109"/>
        <v>214</v>
      </c>
      <c r="X71" s="5">
        <f t="shared" si="110"/>
        <v>24.755784061696659</v>
      </c>
      <c r="Y71" s="6">
        <f t="shared" si="111"/>
        <v>0</v>
      </c>
      <c r="Z71" s="5">
        <f t="shared" si="112"/>
        <v>0</v>
      </c>
      <c r="AA71" s="21">
        <f t="shared" si="113"/>
        <v>0</v>
      </c>
      <c r="AB71" s="6">
        <f t="shared" si="114"/>
        <v>0</v>
      </c>
      <c r="AC71" s="5">
        <f t="shared" si="115"/>
        <v>0</v>
      </c>
      <c r="AD71" s="6">
        <f t="shared" si="116"/>
        <v>5</v>
      </c>
      <c r="AE71" s="5">
        <f t="shared" si="117"/>
        <v>0.57840616966580982</v>
      </c>
      <c r="AF71" s="21">
        <f t="shared" si="118"/>
        <v>0.20833333333333334</v>
      </c>
      <c r="AG71" s="6">
        <f t="shared" si="119"/>
        <v>4</v>
      </c>
      <c r="AH71" s="5">
        <f t="shared" si="120"/>
        <v>0.46272493573264784</v>
      </c>
      <c r="AI71" s="21">
        <f t="shared" si="121"/>
        <v>0.16666666666666666</v>
      </c>
      <c r="AJ71" s="6">
        <f t="shared" si="122"/>
        <v>15</v>
      </c>
      <c r="AK71" s="5">
        <f t="shared" si="123"/>
        <v>0.70090090090090085</v>
      </c>
      <c r="AL71" s="21">
        <f t="shared" si="124"/>
        <v>0.625</v>
      </c>
      <c r="AM71" s="21">
        <f t="shared" si="125"/>
        <v>0.57840616966580982</v>
      </c>
      <c r="AN71" s="6">
        <f t="shared" si="126"/>
        <v>5</v>
      </c>
      <c r="AO71" s="5">
        <f t="shared" si="127"/>
        <v>0.57840616966580982</v>
      </c>
      <c r="AP71" s="6">
        <f t="shared" si="128"/>
        <v>24</v>
      </c>
      <c r="AQ71" s="5">
        <f t="shared" si="129"/>
        <v>2.7763496143958872</v>
      </c>
      <c r="AR71" s="2">
        <f t="shared" si="130"/>
        <v>32</v>
      </c>
      <c r="AS71" s="5">
        <f t="shared" si="131"/>
        <v>3.7017994858611827</v>
      </c>
      <c r="AT71" s="21">
        <f t="shared" si="132"/>
        <v>0.75</v>
      </c>
      <c r="AU71" s="20">
        <f t="shared" si="133"/>
        <v>0.70370370370370372</v>
      </c>
      <c r="AV71" s="20">
        <f t="shared" si="134"/>
        <v>0.25</v>
      </c>
      <c r="AW71" s="199">
        <f t="shared" si="135"/>
        <v>1.109375</v>
      </c>
      <c r="AX71" s="24">
        <f t="shared" si="136"/>
        <v>97.25</v>
      </c>
      <c r="AY71" s="5">
        <f t="shared" si="137"/>
        <v>4</v>
      </c>
      <c r="AZ71" s="5">
        <f t="shared" si="138"/>
        <v>3.375</v>
      </c>
      <c r="BA71" s="5">
        <f t="shared" si="139"/>
        <v>2.17</v>
      </c>
      <c r="BB71" s="5">
        <f t="shared" si="140"/>
        <v>0.25102827763496144</v>
      </c>
      <c r="BC71" s="5">
        <f t="shared" si="141"/>
        <v>2.17</v>
      </c>
      <c r="BD71" s="5">
        <f t="shared" si="142"/>
        <v>0.25102827763496144</v>
      </c>
      <c r="BE71" s="199">
        <f t="shared" si="143"/>
        <v>0.43399999999999994</v>
      </c>
      <c r="BF71" s="21">
        <f t="shared" si="144"/>
        <v>0.21337266470009833</v>
      </c>
      <c r="BG71" s="6">
        <f t="shared" si="145"/>
        <v>0</v>
      </c>
      <c r="BH71" s="5">
        <f t="shared" si="146"/>
        <v>0</v>
      </c>
      <c r="BI71" s="6">
        <f t="shared" si="147"/>
        <v>0</v>
      </c>
      <c r="BJ71" s="5">
        <f t="shared" si="148"/>
        <v>0</v>
      </c>
      <c r="BK71" s="20">
        <f t="shared" si="149"/>
        <v>-9.9999999999999998E-13</v>
      </c>
      <c r="BL71" s="20">
        <f t="shared" si="150"/>
        <v>5.394470667565745E-3</v>
      </c>
      <c r="BM71" s="6">
        <f t="shared" si="151"/>
        <v>8</v>
      </c>
      <c r="BN71" s="5">
        <f t="shared" si="152"/>
        <v>0.92544987146529567</v>
      </c>
      <c r="BO71" s="333">
        <f t="shared" si="153"/>
        <v>0</v>
      </c>
      <c r="BP71" s="334">
        <f t="shared" si="154"/>
        <v>0</v>
      </c>
      <c r="BQ71" s="6">
        <f t="shared" si="155"/>
        <v>31.984444444444446</v>
      </c>
      <c r="BR71" s="5">
        <f t="shared" si="156"/>
        <v>3.7</v>
      </c>
      <c r="BS71" s="6">
        <f t="shared" si="157"/>
        <v>78.664444444444442</v>
      </c>
      <c r="BT71" s="5">
        <f t="shared" si="158"/>
        <v>9.1</v>
      </c>
      <c r="BU71" s="181">
        <f t="shared" si="159"/>
        <v>0</v>
      </c>
      <c r="BV71" s="154">
        <f t="shared" si="160"/>
        <v>0</v>
      </c>
      <c r="BW71" s="181">
        <f t="shared" si="161"/>
        <v>0</v>
      </c>
      <c r="BX71" s="180">
        <f t="shared" si="162"/>
        <v>0</v>
      </c>
      <c r="BY71" s="181">
        <f t="shared" si="163"/>
        <v>0</v>
      </c>
      <c r="BZ71" s="154">
        <f t="shared" si="164"/>
        <v>0</v>
      </c>
      <c r="CA71" s="182">
        <f t="shared" si="165"/>
        <v>0</v>
      </c>
      <c r="CB71" s="2">
        <f t="shared" si="166"/>
        <v>0</v>
      </c>
      <c r="CC71" s="2">
        <f t="shared" si="167"/>
        <v>0</v>
      </c>
      <c r="CD71" s="2">
        <f t="shared" si="168"/>
        <v>0</v>
      </c>
      <c r="CE71" s="2">
        <f t="shared" si="169"/>
        <v>5</v>
      </c>
      <c r="CF71" s="6">
        <f t="shared" si="170"/>
        <v>0</v>
      </c>
      <c r="CG71" s="6">
        <f t="shared" si="171"/>
        <v>268.10300000000001</v>
      </c>
      <c r="CH71" s="6">
        <f t="shared" si="172"/>
        <v>209</v>
      </c>
      <c r="CI71" s="20">
        <f t="shared" si="173"/>
        <v>0.77955114265785908</v>
      </c>
      <c r="CJ71" s="133">
        <f t="shared" si="174"/>
        <v>2521</v>
      </c>
      <c r="CK71" s="5">
        <f t="shared" si="175"/>
        <v>6.87</v>
      </c>
      <c r="CL71" s="302"/>
      <c r="CM71" s="298" t="s">
        <v>13</v>
      </c>
      <c r="CN71" s="298" t="s">
        <v>1274</v>
      </c>
      <c r="CO71" s="298">
        <v>25</v>
      </c>
      <c r="CP71" s="298" t="s">
        <v>1330</v>
      </c>
      <c r="CQ71" s="298" t="s">
        <v>1331</v>
      </c>
      <c r="CR71" s="298" t="s">
        <v>652</v>
      </c>
      <c r="CS71" s="298" t="s">
        <v>1303</v>
      </c>
      <c r="CT71" s="298" t="s">
        <v>587</v>
      </c>
      <c r="CU71" s="299">
        <v>47848</v>
      </c>
      <c r="CV71" s="298">
        <v>1</v>
      </c>
      <c r="CW71" s="298">
        <v>778</v>
      </c>
      <c r="CX71" s="298">
        <v>8</v>
      </c>
      <c r="CY71" s="298">
        <v>5</v>
      </c>
      <c r="CZ71" s="298">
        <v>4</v>
      </c>
      <c r="DA71" s="298">
        <v>15</v>
      </c>
      <c r="DB71" s="298">
        <v>0</v>
      </c>
      <c r="DC71" s="298">
        <v>3.7</v>
      </c>
      <c r="DD71" s="298">
        <v>9.1</v>
      </c>
      <c r="DE71" s="298">
        <v>5</v>
      </c>
      <c r="DF71" s="298">
        <v>0</v>
      </c>
      <c r="DG71" s="298">
        <v>0</v>
      </c>
      <c r="DH71" s="298">
        <v>0</v>
      </c>
      <c r="DI71" s="298">
        <v>5</v>
      </c>
      <c r="DJ71" s="298">
        <v>0</v>
      </c>
      <c r="DK71" s="298">
        <v>0</v>
      </c>
      <c r="DL71" s="298">
        <v>214</v>
      </c>
      <c r="DM71" s="298">
        <v>185</v>
      </c>
      <c r="DN71" s="298" t="s">
        <v>1332</v>
      </c>
      <c r="DO71" s="298">
        <v>0</v>
      </c>
      <c r="DP71" s="298">
        <v>0</v>
      </c>
      <c r="DQ71" s="298">
        <v>0</v>
      </c>
      <c r="DR71" s="298">
        <v>0</v>
      </c>
      <c r="DS71" s="298">
        <v>0</v>
      </c>
      <c r="DT71" s="298">
        <v>0</v>
      </c>
      <c r="DU71" s="298">
        <v>0</v>
      </c>
      <c r="DV71" s="303">
        <v>6.87</v>
      </c>
    </row>
    <row r="72" spans="1:126" ht="24.95" customHeight="1" thickBot="1" x14ac:dyDescent="0.3">
      <c r="A72" s="29" t="str">
        <f t="shared" si="176"/>
        <v>71º</v>
      </c>
      <c r="B72" s="69" t="str">
        <f t="shared" si="89"/>
        <v>Davi Barbosa</v>
      </c>
      <c r="C72" s="269" t="str">
        <f t="shared" si="90"/>
        <v>BRA</v>
      </c>
      <c r="D72" s="99" t="str">
        <f t="shared" si="91"/>
        <v>Pé Direito</v>
      </c>
      <c r="E72" s="28" t="str">
        <f t="shared" si="92"/>
        <v>VIT</v>
      </c>
      <c r="F72" s="169">
        <f t="shared" si="93"/>
        <v>22</v>
      </c>
      <c r="G72" s="2" t="str">
        <f t="shared" si="94"/>
        <v>9m € - 85m €</v>
      </c>
      <c r="H72" s="154">
        <f t="shared" si="95"/>
        <v>1.82</v>
      </c>
      <c r="I72" s="64">
        <f t="shared" si="96"/>
        <v>47848</v>
      </c>
      <c r="J72" s="304" t="str">
        <f t="shared" si="97"/>
        <v>1,8m € p/m</v>
      </c>
      <c r="K72" s="96">
        <f t="shared" si="177"/>
        <v>3.5222222222222221</v>
      </c>
      <c r="L72" s="146">
        <f t="shared" si="98"/>
        <v>0</v>
      </c>
      <c r="M72" s="6">
        <f t="shared" si="99"/>
        <v>0</v>
      </c>
      <c r="N72" s="5">
        <f t="shared" si="100"/>
        <v>5400</v>
      </c>
      <c r="O72" s="21">
        <f t="shared" si="101"/>
        <v>0</v>
      </c>
      <c r="P72" s="2">
        <f t="shared" si="102"/>
        <v>0</v>
      </c>
      <c r="Q72" s="2">
        <f t="shared" si="103"/>
        <v>0</v>
      </c>
      <c r="R72" s="5">
        <f t="shared" si="104"/>
        <v>0</v>
      </c>
      <c r="S72" s="2">
        <f t="shared" si="105"/>
        <v>0</v>
      </c>
      <c r="T72" s="2">
        <f t="shared" si="106"/>
        <v>0</v>
      </c>
      <c r="U72" s="102">
        <f t="shared" si="107"/>
        <v>0</v>
      </c>
      <c r="V72" s="102">
        <f t="shared" si="108"/>
        <v>0</v>
      </c>
      <c r="W72" s="6">
        <f t="shared" si="109"/>
        <v>0</v>
      </c>
      <c r="X72" s="5">
        <f t="shared" si="110"/>
        <v>0</v>
      </c>
      <c r="Y72" s="6">
        <f t="shared" si="111"/>
        <v>0</v>
      </c>
      <c r="Z72" s="5" t="e">
        <f t="shared" si="112"/>
        <v>#DIV/0!</v>
      </c>
      <c r="AA72" s="21">
        <f t="shared" si="113"/>
        <v>0</v>
      </c>
      <c r="AB72" s="6">
        <f t="shared" si="114"/>
        <v>0</v>
      </c>
      <c r="AC72" s="5" t="e">
        <f t="shared" si="115"/>
        <v>#DIV/0!</v>
      </c>
      <c r="AD72" s="6">
        <f t="shared" si="116"/>
        <v>0</v>
      </c>
      <c r="AE72" s="5">
        <f t="shared" si="117"/>
        <v>0</v>
      </c>
      <c r="AF72" s="21">
        <f t="shared" si="118"/>
        <v>0</v>
      </c>
      <c r="AG72" s="6">
        <f t="shared" si="119"/>
        <v>0</v>
      </c>
      <c r="AH72" s="5">
        <f t="shared" si="120"/>
        <v>0</v>
      </c>
      <c r="AI72" s="21">
        <f t="shared" si="121"/>
        <v>0</v>
      </c>
      <c r="AJ72" s="6">
        <f t="shared" si="122"/>
        <v>0</v>
      </c>
      <c r="AK72" s="5">
        <f t="shared" si="123"/>
        <v>0</v>
      </c>
      <c r="AL72" s="21">
        <f t="shared" si="124"/>
        <v>0</v>
      </c>
      <c r="AM72" s="21">
        <f t="shared" si="125"/>
        <v>0</v>
      </c>
      <c r="AN72" s="6">
        <f t="shared" si="126"/>
        <v>0</v>
      </c>
      <c r="AO72" s="5">
        <f t="shared" si="127"/>
        <v>0</v>
      </c>
      <c r="AP72" s="6">
        <f t="shared" si="128"/>
        <v>0</v>
      </c>
      <c r="AQ72" s="5">
        <f t="shared" si="129"/>
        <v>0</v>
      </c>
      <c r="AR72" s="2">
        <f t="shared" si="130"/>
        <v>0</v>
      </c>
      <c r="AS72" s="5">
        <f t="shared" si="131"/>
        <v>0</v>
      </c>
      <c r="AT72" s="21">
        <f t="shared" si="132"/>
        <v>0</v>
      </c>
      <c r="AU72" s="20">
        <f t="shared" si="133"/>
        <v>0</v>
      </c>
      <c r="AV72" s="20">
        <f t="shared" si="134"/>
        <v>1</v>
      </c>
      <c r="AW72" s="199">
        <f t="shared" si="135"/>
        <v>0</v>
      </c>
      <c r="AX72" s="24">
        <f t="shared" si="136"/>
        <v>0</v>
      </c>
      <c r="AY72" s="5">
        <f t="shared" si="137"/>
        <v>0</v>
      </c>
      <c r="AZ72" s="5">
        <f t="shared" si="138"/>
        <v>0</v>
      </c>
      <c r="BA72" s="5">
        <f t="shared" si="139"/>
        <v>0</v>
      </c>
      <c r="BB72" s="5">
        <f t="shared" si="140"/>
        <v>0</v>
      </c>
      <c r="BC72" s="5">
        <f t="shared" si="141"/>
        <v>0</v>
      </c>
      <c r="BD72" s="5">
        <f t="shared" si="142"/>
        <v>0</v>
      </c>
      <c r="BE72" s="199">
        <f t="shared" si="143"/>
        <v>0</v>
      </c>
      <c r="BF72" s="21">
        <f t="shared" si="144"/>
        <v>0</v>
      </c>
      <c r="BG72" s="6">
        <f t="shared" si="145"/>
        <v>0</v>
      </c>
      <c r="BH72" s="5" t="e">
        <f t="shared" si="146"/>
        <v>#DIV/0!</v>
      </c>
      <c r="BI72" s="6">
        <f t="shared" si="147"/>
        <v>0</v>
      </c>
      <c r="BJ72" s="5" t="e">
        <f t="shared" si="148"/>
        <v>#DIV/0!</v>
      </c>
      <c r="BK72" s="20">
        <f t="shared" si="149"/>
        <v>-9.9999999999999998E-13</v>
      </c>
      <c r="BL72" s="20">
        <f t="shared" si="150"/>
        <v>0</v>
      </c>
      <c r="BM72" s="6">
        <f t="shared" si="151"/>
        <v>0</v>
      </c>
      <c r="BN72" s="5">
        <f t="shared" si="152"/>
        <v>0</v>
      </c>
      <c r="BO72" s="333">
        <f t="shared" si="153"/>
        <v>0</v>
      </c>
      <c r="BP72" s="334">
        <f t="shared" si="154"/>
        <v>0</v>
      </c>
      <c r="BQ72" s="6">
        <f t="shared" si="155"/>
        <v>0</v>
      </c>
      <c r="BR72" s="5">
        <f t="shared" si="156"/>
        <v>0</v>
      </c>
      <c r="BS72" s="6">
        <f t="shared" si="157"/>
        <v>0</v>
      </c>
      <c r="BT72" s="5">
        <f t="shared" si="158"/>
        <v>0</v>
      </c>
      <c r="BU72" s="181">
        <f t="shared" si="159"/>
        <v>0</v>
      </c>
      <c r="BV72" s="154">
        <f t="shared" si="160"/>
        <v>0</v>
      </c>
      <c r="BW72" s="181">
        <f t="shared" si="161"/>
        <v>0</v>
      </c>
      <c r="BX72" s="180">
        <f t="shared" si="162"/>
        <v>0</v>
      </c>
      <c r="BY72" s="181">
        <f t="shared" si="163"/>
        <v>0</v>
      </c>
      <c r="BZ72" s="154">
        <f t="shared" si="164"/>
        <v>0</v>
      </c>
      <c r="CA72" s="182">
        <f t="shared" si="165"/>
        <v>0</v>
      </c>
      <c r="CB72" s="2">
        <f t="shared" si="166"/>
        <v>0</v>
      </c>
      <c r="CC72" s="2">
        <f t="shared" si="167"/>
        <v>0</v>
      </c>
      <c r="CD72" s="2">
        <f t="shared" si="168"/>
        <v>0</v>
      </c>
      <c r="CE72" s="2">
        <f t="shared" si="169"/>
        <v>0</v>
      </c>
      <c r="CF72" s="6">
        <f t="shared" si="170"/>
        <v>0</v>
      </c>
      <c r="CG72" s="6">
        <f t="shared" si="171"/>
        <v>0</v>
      </c>
      <c r="CH72" s="6">
        <f t="shared" si="172"/>
        <v>0</v>
      </c>
      <c r="CI72" s="20">
        <f t="shared" si="173"/>
        <v>0</v>
      </c>
      <c r="CJ72" s="133">
        <f t="shared" si="174"/>
        <v>2521</v>
      </c>
      <c r="CK72" s="5">
        <f t="shared" si="175"/>
        <v>0</v>
      </c>
      <c r="CL72" s="300"/>
      <c r="CM72" s="296" t="s">
        <v>13</v>
      </c>
      <c r="CN72" s="296" t="s">
        <v>1333</v>
      </c>
      <c r="CO72" s="296">
        <v>22</v>
      </c>
      <c r="CP72" s="296" t="s">
        <v>1334</v>
      </c>
      <c r="CQ72" s="296" t="s">
        <v>1335</v>
      </c>
      <c r="CR72" s="296" t="s">
        <v>644</v>
      </c>
      <c r="CS72" s="296" t="s">
        <v>914</v>
      </c>
      <c r="CT72" s="296" t="s">
        <v>546</v>
      </c>
      <c r="CU72" s="297">
        <v>47848</v>
      </c>
      <c r="CV72" s="296">
        <v>0</v>
      </c>
      <c r="CW72" s="296">
        <v>0</v>
      </c>
      <c r="CX72" s="296">
        <v>0</v>
      </c>
      <c r="CY72" s="296">
        <v>0</v>
      </c>
      <c r="CZ72" s="296">
        <v>0</v>
      </c>
      <c r="DA72" s="296">
        <v>0</v>
      </c>
      <c r="DB72" s="296">
        <v>0</v>
      </c>
      <c r="DC72" s="296">
        <v>0</v>
      </c>
      <c r="DD72" s="296">
        <v>0</v>
      </c>
      <c r="DE72" s="296">
        <v>0</v>
      </c>
      <c r="DF72" s="296">
        <v>0</v>
      </c>
      <c r="DG72" s="296">
        <v>0</v>
      </c>
      <c r="DH72" s="296">
        <v>0</v>
      </c>
      <c r="DI72" s="296">
        <v>0</v>
      </c>
      <c r="DJ72" s="296">
        <v>0</v>
      </c>
      <c r="DK72" s="296">
        <v>0</v>
      </c>
      <c r="DL72" s="296">
        <v>0</v>
      </c>
      <c r="DM72" s="296">
        <v>0</v>
      </c>
      <c r="DN72" s="296">
        <v>0</v>
      </c>
      <c r="DO72" s="296">
        <v>0</v>
      </c>
      <c r="DP72" s="296">
        <v>0</v>
      </c>
      <c r="DQ72" s="296">
        <v>0</v>
      </c>
      <c r="DR72" s="296">
        <v>0</v>
      </c>
      <c r="DS72" s="296">
        <v>0</v>
      </c>
      <c r="DT72" s="296">
        <v>0</v>
      </c>
      <c r="DU72" s="296">
        <v>0</v>
      </c>
      <c r="DV72" s="301" t="s">
        <v>548</v>
      </c>
    </row>
    <row r="73" spans="1:126" ht="24.95" customHeight="1" thickBot="1" x14ac:dyDescent="0.3">
      <c r="A73" s="29" t="str">
        <f t="shared" si="176"/>
        <v>72º</v>
      </c>
      <c r="B73" s="69" t="str">
        <f t="shared" si="89"/>
        <v>Robert</v>
      </c>
      <c r="C73" s="269" t="str">
        <f t="shared" si="90"/>
        <v>BRA</v>
      </c>
      <c r="D73" s="99" t="str">
        <f t="shared" si="91"/>
        <v>Pé Direito</v>
      </c>
      <c r="E73" s="28" t="str">
        <f t="shared" si="92"/>
        <v>ATM</v>
      </c>
      <c r="F73" s="169">
        <f t="shared" si="93"/>
        <v>23</v>
      </c>
      <c r="G73" s="2" t="str">
        <f t="shared" si="94"/>
        <v>70m € - 700m €</v>
      </c>
      <c r="H73" s="154">
        <f t="shared" si="95"/>
        <v>1.87</v>
      </c>
      <c r="I73" s="64">
        <f t="shared" si="96"/>
        <v>48213</v>
      </c>
      <c r="J73" s="304" t="str">
        <f t="shared" si="97"/>
        <v>7m € p/m</v>
      </c>
      <c r="K73" s="96">
        <f t="shared" si="177"/>
        <v>3.5222222222222221</v>
      </c>
      <c r="L73" s="146">
        <f t="shared" si="98"/>
        <v>0</v>
      </c>
      <c r="M73" s="6">
        <f t="shared" si="99"/>
        <v>0</v>
      </c>
      <c r="N73" s="5">
        <f t="shared" si="100"/>
        <v>5400</v>
      </c>
      <c r="O73" s="21">
        <f t="shared" si="101"/>
        <v>0</v>
      </c>
      <c r="P73" s="2">
        <f t="shared" si="102"/>
        <v>0</v>
      </c>
      <c r="Q73" s="2">
        <f t="shared" si="103"/>
        <v>0</v>
      </c>
      <c r="R73" s="5">
        <f t="shared" si="104"/>
        <v>0</v>
      </c>
      <c r="S73" s="2">
        <f t="shared" si="105"/>
        <v>0</v>
      </c>
      <c r="T73" s="2">
        <f t="shared" si="106"/>
        <v>0</v>
      </c>
      <c r="U73" s="102">
        <f t="shared" si="107"/>
        <v>0</v>
      </c>
      <c r="V73" s="102">
        <f t="shared" si="108"/>
        <v>0</v>
      </c>
      <c r="W73" s="6">
        <f t="shared" si="109"/>
        <v>0</v>
      </c>
      <c r="X73" s="5">
        <f t="shared" si="110"/>
        <v>0</v>
      </c>
      <c r="Y73" s="6">
        <f t="shared" si="111"/>
        <v>0</v>
      </c>
      <c r="Z73" s="5" t="e">
        <f t="shared" si="112"/>
        <v>#DIV/0!</v>
      </c>
      <c r="AA73" s="21">
        <f t="shared" si="113"/>
        <v>0</v>
      </c>
      <c r="AB73" s="6">
        <f t="shared" si="114"/>
        <v>0</v>
      </c>
      <c r="AC73" s="5" t="e">
        <f t="shared" si="115"/>
        <v>#DIV/0!</v>
      </c>
      <c r="AD73" s="6">
        <f t="shared" si="116"/>
        <v>0</v>
      </c>
      <c r="AE73" s="5">
        <f t="shared" si="117"/>
        <v>0</v>
      </c>
      <c r="AF73" s="21">
        <f t="shared" si="118"/>
        <v>0</v>
      </c>
      <c r="AG73" s="6">
        <f t="shared" si="119"/>
        <v>0</v>
      </c>
      <c r="AH73" s="5">
        <f t="shared" si="120"/>
        <v>0</v>
      </c>
      <c r="AI73" s="21">
        <f t="shared" si="121"/>
        <v>0</v>
      </c>
      <c r="AJ73" s="6">
        <f t="shared" si="122"/>
        <v>0</v>
      </c>
      <c r="AK73" s="5">
        <f t="shared" si="123"/>
        <v>0</v>
      </c>
      <c r="AL73" s="21">
        <f t="shared" si="124"/>
        <v>0</v>
      </c>
      <c r="AM73" s="21">
        <f t="shared" si="125"/>
        <v>0</v>
      </c>
      <c r="AN73" s="6">
        <f t="shared" si="126"/>
        <v>0</v>
      </c>
      <c r="AO73" s="5">
        <f t="shared" si="127"/>
        <v>0</v>
      </c>
      <c r="AP73" s="6">
        <f t="shared" si="128"/>
        <v>0</v>
      </c>
      <c r="AQ73" s="5">
        <f t="shared" si="129"/>
        <v>0</v>
      </c>
      <c r="AR73" s="2">
        <f t="shared" si="130"/>
        <v>0</v>
      </c>
      <c r="AS73" s="5">
        <f t="shared" si="131"/>
        <v>0</v>
      </c>
      <c r="AT73" s="21">
        <f t="shared" si="132"/>
        <v>0</v>
      </c>
      <c r="AU73" s="20">
        <f t="shared" si="133"/>
        <v>0</v>
      </c>
      <c r="AV73" s="20">
        <f t="shared" si="134"/>
        <v>1</v>
      </c>
      <c r="AW73" s="199">
        <f t="shared" si="135"/>
        <v>0</v>
      </c>
      <c r="AX73" s="24">
        <f t="shared" si="136"/>
        <v>0</v>
      </c>
      <c r="AY73" s="5">
        <f t="shared" si="137"/>
        <v>0</v>
      </c>
      <c r="AZ73" s="5">
        <f t="shared" si="138"/>
        <v>0</v>
      </c>
      <c r="BA73" s="5">
        <f t="shared" si="139"/>
        <v>0</v>
      </c>
      <c r="BB73" s="5">
        <f t="shared" si="140"/>
        <v>0</v>
      </c>
      <c r="BC73" s="5">
        <f t="shared" si="141"/>
        <v>0</v>
      </c>
      <c r="BD73" s="5">
        <f t="shared" si="142"/>
        <v>0</v>
      </c>
      <c r="BE73" s="199">
        <f t="shared" si="143"/>
        <v>0</v>
      </c>
      <c r="BF73" s="21">
        <f t="shared" si="144"/>
        <v>0</v>
      </c>
      <c r="BG73" s="6">
        <f t="shared" si="145"/>
        <v>0</v>
      </c>
      <c r="BH73" s="5" t="e">
        <f t="shared" si="146"/>
        <v>#DIV/0!</v>
      </c>
      <c r="BI73" s="6">
        <f t="shared" si="147"/>
        <v>0</v>
      </c>
      <c r="BJ73" s="5" t="e">
        <f t="shared" si="148"/>
        <v>#DIV/0!</v>
      </c>
      <c r="BK73" s="20">
        <f t="shared" si="149"/>
        <v>-9.9999999999999998E-13</v>
      </c>
      <c r="BL73" s="20">
        <f t="shared" si="150"/>
        <v>0</v>
      </c>
      <c r="BM73" s="6">
        <f t="shared" si="151"/>
        <v>0</v>
      </c>
      <c r="BN73" s="5">
        <f t="shared" si="152"/>
        <v>0</v>
      </c>
      <c r="BO73" s="333">
        <f t="shared" si="153"/>
        <v>0</v>
      </c>
      <c r="BP73" s="334">
        <f t="shared" si="154"/>
        <v>0</v>
      </c>
      <c r="BQ73" s="6">
        <f t="shared" si="155"/>
        <v>0</v>
      </c>
      <c r="BR73" s="5">
        <f t="shared" si="156"/>
        <v>0</v>
      </c>
      <c r="BS73" s="6">
        <f t="shared" si="157"/>
        <v>0</v>
      </c>
      <c r="BT73" s="5">
        <f t="shared" si="158"/>
        <v>0</v>
      </c>
      <c r="BU73" s="181">
        <f t="shared" si="159"/>
        <v>0</v>
      </c>
      <c r="BV73" s="154">
        <f t="shared" si="160"/>
        <v>0</v>
      </c>
      <c r="BW73" s="181">
        <f t="shared" si="161"/>
        <v>0</v>
      </c>
      <c r="BX73" s="180">
        <f t="shared" si="162"/>
        <v>0</v>
      </c>
      <c r="BY73" s="181">
        <f t="shared" si="163"/>
        <v>0</v>
      </c>
      <c r="BZ73" s="154">
        <f t="shared" si="164"/>
        <v>0</v>
      </c>
      <c r="CA73" s="182">
        <f t="shared" si="165"/>
        <v>0</v>
      </c>
      <c r="CB73" s="2">
        <f t="shared" si="166"/>
        <v>0</v>
      </c>
      <c r="CC73" s="2">
        <f t="shared" si="167"/>
        <v>0</v>
      </c>
      <c r="CD73" s="2">
        <f t="shared" si="168"/>
        <v>0</v>
      </c>
      <c r="CE73" s="2">
        <f t="shared" si="169"/>
        <v>0</v>
      </c>
      <c r="CF73" s="6">
        <f t="shared" si="170"/>
        <v>0</v>
      </c>
      <c r="CG73" s="6">
        <f t="shared" si="171"/>
        <v>0</v>
      </c>
      <c r="CH73" s="6">
        <f t="shared" si="172"/>
        <v>0</v>
      </c>
      <c r="CI73" s="20">
        <f t="shared" si="173"/>
        <v>0</v>
      </c>
      <c r="CJ73" s="133">
        <f t="shared" si="174"/>
        <v>2521</v>
      </c>
      <c r="CK73" s="5">
        <f t="shared" si="175"/>
        <v>0</v>
      </c>
      <c r="CL73" s="302" t="s">
        <v>1235</v>
      </c>
      <c r="CM73" s="298" t="s">
        <v>13</v>
      </c>
      <c r="CN73" s="298" t="s">
        <v>1297</v>
      </c>
      <c r="CO73" s="298">
        <v>23</v>
      </c>
      <c r="CP73" s="298" t="s">
        <v>1336</v>
      </c>
      <c r="CQ73" s="298" t="s">
        <v>968</v>
      </c>
      <c r="CR73" s="298" t="s">
        <v>644</v>
      </c>
      <c r="CS73" s="298" t="s">
        <v>1337</v>
      </c>
      <c r="CT73" s="298" t="s">
        <v>911</v>
      </c>
      <c r="CU73" s="299">
        <v>48213</v>
      </c>
      <c r="CV73" s="298">
        <v>0</v>
      </c>
      <c r="CW73" s="298">
        <v>0</v>
      </c>
      <c r="CX73" s="298">
        <v>0</v>
      </c>
      <c r="CY73" s="298">
        <v>0</v>
      </c>
      <c r="CZ73" s="298">
        <v>0</v>
      </c>
      <c r="DA73" s="298">
        <v>0</v>
      </c>
      <c r="DB73" s="298">
        <v>0</v>
      </c>
      <c r="DC73" s="298">
        <v>0</v>
      </c>
      <c r="DD73" s="298">
        <v>0</v>
      </c>
      <c r="DE73" s="298">
        <v>0</v>
      </c>
      <c r="DF73" s="298">
        <v>0</v>
      </c>
      <c r="DG73" s="298">
        <v>0</v>
      </c>
      <c r="DH73" s="298">
        <v>0</v>
      </c>
      <c r="DI73" s="298">
        <v>0</v>
      </c>
      <c r="DJ73" s="298">
        <v>0</v>
      </c>
      <c r="DK73" s="298">
        <v>0</v>
      </c>
      <c r="DL73" s="298">
        <v>0</v>
      </c>
      <c r="DM73" s="298">
        <v>0</v>
      </c>
      <c r="DN73" s="298">
        <v>0</v>
      </c>
      <c r="DO73" s="298">
        <v>0</v>
      </c>
      <c r="DP73" s="298">
        <v>0</v>
      </c>
      <c r="DQ73" s="298">
        <v>0</v>
      </c>
      <c r="DR73" s="298">
        <v>0</v>
      </c>
      <c r="DS73" s="298">
        <v>0</v>
      </c>
      <c r="DT73" s="298">
        <v>0</v>
      </c>
      <c r="DU73" s="298">
        <v>0</v>
      </c>
      <c r="DV73" s="303" t="s">
        <v>548</v>
      </c>
    </row>
    <row r="74" spans="1:126" ht="24.95" customHeight="1" thickBot="1" x14ac:dyDescent="0.3">
      <c r="A74" s="29" t="str">
        <f t="shared" si="176"/>
        <v>73º</v>
      </c>
      <c r="B74" s="69" t="str">
        <f t="shared" si="89"/>
        <v>Marcão</v>
      </c>
      <c r="C74" s="269" t="str">
        <f t="shared" si="90"/>
        <v>BRA</v>
      </c>
      <c r="D74" s="99" t="str">
        <f t="shared" si="91"/>
        <v>Pé Direito</v>
      </c>
      <c r="E74" s="28" t="str">
        <f t="shared" si="92"/>
        <v>VDG</v>
      </c>
      <c r="F74" s="169">
        <f t="shared" si="93"/>
        <v>22</v>
      </c>
      <c r="G74" s="2" t="str">
        <f t="shared" si="94"/>
        <v>0 €</v>
      </c>
      <c r="H74" s="154">
        <f t="shared" si="95"/>
        <v>1.89</v>
      </c>
      <c r="I74" s="64">
        <f t="shared" si="96"/>
        <v>47118</v>
      </c>
      <c r="J74" s="304" t="str">
        <f t="shared" si="97"/>
        <v>1,4m € p/m</v>
      </c>
      <c r="K74" s="96">
        <f t="shared" si="177"/>
        <v>3.5222222222222221</v>
      </c>
      <c r="L74" s="146">
        <f t="shared" si="98"/>
        <v>0</v>
      </c>
      <c r="M74" s="6">
        <f t="shared" si="99"/>
        <v>0</v>
      </c>
      <c r="N74" s="5">
        <f t="shared" si="100"/>
        <v>5400</v>
      </c>
      <c r="O74" s="21">
        <f t="shared" si="101"/>
        <v>0</v>
      </c>
      <c r="P74" s="2">
        <f t="shared" si="102"/>
        <v>0</v>
      </c>
      <c r="Q74" s="2">
        <f t="shared" si="103"/>
        <v>0</v>
      </c>
      <c r="R74" s="5">
        <f t="shared" si="104"/>
        <v>0</v>
      </c>
      <c r="S74" s="2">
        <f t="shared" si="105"/>
        <v>0</v>
      </c>
      <c r="T74" s="2">
        <f t="shared" si="106"/>
        <v>0</v>
      </c>
      <c r="U74" s="102">
        <f t="shared" si="107"/>
        <v>0</v>
      </c>
      <c r="V74" s="102">
        <f t="shared" si="108"/>
        <v>0</v>
      </c>
      <c r="W74" s="6">
        <f t="shared" si="109"/>
        <v>0</v>
      </c>
      <c r="X74" s="5">
        <f t="shared" si="110"/>
        <v>0</v>
      </c>
      <c r="Y74" s="6">
        <f t="shared" si="111"/>
        <v>0</v>
      </c>
      <c r="Z74" s="5" t="e">
        <f t="shared" si="112"/>
        <v>#DIV/0!</v>
      </c>
      <c r="AA74" s="21">
        <f t="shared" si="113"/>
        <v>0</v>
      </c>
      <c r="AB74" s="6">
        <f t="shared" si="114"/>
        <v>0</v>
      </c>
      <c r="AC74" s="5" t="e">
        <f t="shared" si="115"/>
        <v>#DIV/0!</v>
      </c>
      <c r="AD74" s="6">
        <f t="shared" si="116"/>
        <v>0</v>
      </c>
      <c r="AE74" s="5">
        <f t="shared" si="117"/>
        <v>0</v>
      </c>
      <c r="AF74" s="21">
        <f t="shared" si="118"/>
        <v>0</v>
      </c>
      <c r="AG74" s="6">
        <f t="shared" si="119"/>
        <v>0</v>
      </c>
      <c r="AH74" s="5">
        <f t="shared" si="120"/>
        <v>0</v>
      </c>
      <c r="AI74" s="21">
        <f t="shared" si="121"/>
        <v>0</v>
      </c>
      <c r="AJ74" s="6">
        <f t="shared" si="122"/>
        <v>0</v>
      </c>
      <c r="AK74" s="5">
        <f t="shared" si="123"/>
        <v>0</v>
      </c>
      <c r="AL74" s="21">
        <f t="shared" si="124"/>
        <v>0</v>
      </c>
      <c r="AM74" s="21">
        <f t="shared" si="125"/>
        <v>0</v>
      </c>
      <c r="AN74" s="6">
        <f t="shared" si="126"/>
        <v>0</v>
      </c>
      <c r="AO74" s="5">
        <f t="shared" si="127"/>
        <v>0</v>
      </c>
      <c r="AP74" s="6">
        <f t="shared" si="128"/>
        <v>0</v>
      </c>
      <c r="AQ74" s="5">
        <f t="shared" si="129"/>
        <v>0</v>
      </c>
      <c r="AR74" s="2">
        <f t="shared" si="130"/>
        <v>0</v>
      </c>
      <c r="AS74" s="5">
        <f t="shared" si="131"/>
        <v>0</v>
      </c>
      <c r="AT74" s="21">
        <f t="shared" si="132"/>
        <v>0</v>
      </c>
      <c r="AU74" s="20">
        <f t="shared" si="133"/>
        <v>0</v>
      </c>
      <c r="AV74" s="20">
        <f t="shared" si="134"/>
        <v>1</v>
      </c>
      <c r="AW74" s="199">
        <f t="shared" si="135"/>
        <v>0</v>
      </c>
      <c r="AX74" s="24">
        <f t="shared" si="136"/>
        <v>0</v>
      </c>
      <c r="AY74" s="5">
        <f t="shared" si="137"/>
        <v>0</v>
      </c>
      <c r="AZ74" s="5">
        <f t="shared" si="138"/>
        <v>0</v>
      </c>
      <c r="BA74" s="5">
        <f t="shared" si="139"/>
        <v>0</v>
      </c>
      <c r="BB74" s="5">
        <f t="shared" si="140"/>
        <v>0</v>
      </c>
      <c r="BC74" s="5">
        <f t="shared" si="141"/>
        <v>0</v>
      </c>
      <c r="BD74" s="5">
        <f t="shared" si="142"/>
        <v>0</v>
      </c>
      <c r="BE74" s="199">
        <f t="shared" si="143"/>
        <v>0</v>
      </c>
      <c r="BF74" s="21">
        <f t="shared" si="144"/>
        <v>0</v>
      </c>
      <c r="BG74" s="6">
        <f t="shared" si="145"/>
        <v>0</v>
      </c>
      <c r="BH74" s="5" t="e">
        <f t="shared" si="146"/>
        <v>#DIV/0!</v>
      </c>
      <c r="BI74" s="6">
        <f t="shared" si="147"/>
        <v>0</v>
      </c>
      <c r="BJ74" s="5" t="e">
        <f t="shared" si="148"/>
        <v>#DIV/0!</v>
      </c>
      <c r="BK74" s="20">
        <f t="shared" si="149"/>
        <v>-9.9999999999999998E-13</v>
      </c>
      <c r="BL74" s="20">
        <f t="shared" si="150"/>
        <v>0</v>
      </c>
      <c r="BM74" s="6">
        <f t="shared" si="151"/>
        <v>0</v>
      </c>
      <c r="BN74" s="5">
        <f t="shared" si="152"/>
        <v>0</v>
      </c>
      <c r="BO74" s="333">
        <f t="shared" si="153"/>
        <v>0</v>
      </c>
      <c r="BP74" s="334">
        <f t="shared" si="154"/>
        <v>0</v>
      </c>
      <c r="BQ74" s="6">
        <f t="shared" si="155"/>
        <v>0</v>
      </c>
      <c r="BR74" s="5">
        <f t="shared" si="156"/>
        <v>0</v>
      </c>
      <c r="BS74" s="6">
        <f t="shared" si="157"/>
        <v>0</v>
      </c>
      <c r="BT74" s="5">
        <f t="shared" si="158"/>
        <v>0</v>
      </c>
      <c r="BU74" s="181">
        <f t="shared" si="159"/>
        <v>0</v>
      </c>
      <c r="BV74" s="154">
        <f t="shared" si="160"/>
        <v>0</v>
      </c>
      <c r="BW74" s="181">
        <f t="shared" si="161"/>
        <v>0</v>
      </c>
      <c r="BX74" s="180">
        <f t="shared" si="162"/>
        <v>0</v>
      </c>
      <c r="BY74" s="181">
        <f t="shared" si="163"/>
        <v>0</v>
      </c>
      <c r="BZ74" s="154">
        <f t="shared" si="164"/>
        <v>0</v>
      </c>
      <c r="CA74" s="182">
        <f t="shared" si="165"/>
        <v>0</v>
      </c>
      <c r="CB74" s="2">
        <f t="shared" si="166"/>
        <v>0</v>
      </c>
      <c r="CC74" s="2">
        <f t="shared" si="167"/>
        <v>0</v>
      </c>
      <c r="CD74" s="2">
        <f t="shared" si="168"/>
        <v>0</v>
      </c>
      <c r="CE74" s="2">
        <f t="shared" si="169"/>
        <v>0</v>
      </c>
      <c r="CF74" s="6">
        <f t="shared" si="170"/>
        <v>0</v>
      </c>
      <c r="CG74" s="6">
        <f t="shared" si="171"/>
        <v>0</v>
      </c>
      <c r="CH74" s="6">
        <f t="shared" si="172"/>
        <v>0</v>
      </c>
      <c r="CI74" s="20">
        <f t="shared" si="173"/>
        <v>0</v>
      </c>
      <c r="CJ74" s="133">
        <f t="shared" si="174"/>
        <v>2521</v>
      </c>
      <c r="CK74" s="5">
        <f t="shared" si="175"/>
        <v>0</v>
      </c>
      <c r="CL74" s="300" t="s">
        <v>1235</v>
      </c>
      <c r="CM74" s="296" t="s">
        <v>13</v>
      </c>
      <c r="CN74" s="296" t="s">
        <v>1338</v>
      </c>
      <c r="CO74" s="296">
        <v>22</v>
      </c>
      <c r="CP74" s="296" t="s">
        <v>1339</v>
      </c>
      <c r="CQ74" s="296" t="s">
        <v>1131</v>
      </c>
      <c r="CR74" s="296" t="s">
        <v>644</v>
      </c>
      <c r="CS74" s="296" t="s">
        <v>1170</v>
      </c>
      <c r="CT74" s="296" t="s">
        <v>593</v>
      </c>
      <c r="CU74" s="297">
        <v>47118</v>
      </c>
      <c r="CV74" s="296">
        <v>0</v>
      </c>
      <c r="CW74" s="296">
        <v>0</v>
      </c>
      <c r="CX74" s="296">
        <v>0</v>
      </c>
      <c r="CY74" s="296">
        <v>0</v>
      </c>
      <c r="CZ74" s="296">
        <v>0</v>
      </c>
      <c r="DA74" s="296">
        <v>0</v>
      </c>
      <c r="DB74" s="296">
        <v>0</v>
      </c>
      <c r="DC74" s="296">
        <v>0</v>
      </c>
      <c r="DD74" s="296">
        <v>0</v>
      </c>
      <c r="DE74" s="296">
        <v>0</v>
      </c>
      <c r="DF74" s="296">
        <v>0</v>
      </c>
      <c r="DG74" s="296">
        <v>0</v>
      </c>
      <c r="DH74" s="296">
        <v>0</v>
      </c>
      <c r="DI74" s="296">
        <v>0</v>
      </c>
      <c r="DJ74" s="296">
        <v>0</v>
      </c>
      <c r="DK74" s="296">
        <v>0</v>
      </c>
      <c r="DL74" s="296">
        <v>0</v>
      </c>
      <c r="DM74" s="296">
        <v>0</v>
      </c>
      <c r="DN74" s="296">
        <v>0</v>
      </c>
      <c r="DO74" s="296">
        <v>0</v>
      </c>
      <c r="DP74" s="296">
        <v>0</v>
      </c>
      <c r="DQ74" s="296">
        <v>0</v>
      </c>
      <c r="DR74" s="296">
        <v>0</v>
      </c>
      <c r="DS74" s="296">
        <v>0</v>
      </c>
      <c r="DT74" s="296">
        <v>0</v>
      </c>
      <c r="DU74" s="296">
        <v>0</v>
      </c>
      <c r="DV74" s="301" t="s">
        <v>548</v>
      </c>
    </row>
    <row r="75" spans="1:126" ht="24.95" customHeight="1" thickBot="1" x14ac:dyDescent="0.3">
      <c r="A75" s="29" t="str">
        <f t="shared" si="176"/>
        <v>74º</v>
      </c>
      <c r="B75" s="69" t="str">
        <f t="shared" si="89"/>
        <v>Ygor</v>
      </c>
      <c r="C75" s="269" t="str">
        <f t="shared" si="90"/>
        <v>BRA</v>
      </c>
      <c r="D75" s="99" t="str">
        <f t="shared" si="91"/>
        <v>Pé Direito</v>
      </c>
      <c r="E75" s="28" t="str">
        <f t="shared" si="92"/>
        <v>GRE</v>
      </c>
      <c r="F75" s="169">
        <f t="shared" si="93"/>
        <v>23</v>
      </c>
      <c r="G75" s="2" t="str">
        <f t="shared" si="94"/>
        <v>0 €</v>
      </c>
      <c r="H75" s="154">
        <f t="shared" si="95"/>
        <v>1.95</v>
      </c>
      <c r="I75" s="64">
        <f t="shared" si="96"/>
        <v>47118</v>
      </c>
      <c r="J75" s="304" t="str">
        <f t="shared" si="97"/>
        <v>2,5m € p/m</v>
      </c>
      <c r="K75" s="96">
        <f t="shared" si="177"/>
        <v>3.5222222222222221</v>
      </c>
      <c r="L75" s="146">
        <f t="shared" si="98"/>
        <v>0</v>
      </c>
      <c r="M75" s="6">
        <f t="shared" si="99"/>
        <v>0</v>
      </c>
      <c r="N75" s="5">
        <f t="shared" si="100"/>
        <v>5400</v>
      </c>
      <c r="O75" s="21">
        <f t="shared" si="101"/>
        <v>0</v>
      </c>
      <c r="P75" s="2">
        <f t="shared" si="102"/>
        <v>0</v>
      </c>
      <c r="Q75" s="2">
        <f t="shared" si="103"/>
        <v>0</v>
      </c>
      <c r="R75" s="5">
        <f t="shared" si="104"/>
        <v>0</v>
      </c>
      <c r="S75" s="2">
        <f t="shared" si="105"/>
        <v>0</v>
      </c>
      <c r="T75" s="2">
        <f t="shared" si="106"/>
        <v>0</v>
      </c>
      <c r="U75" s="102">
        <f t="shared" si="107"/>
        <v>0</v>
      </c>
      <c r="V75" s="102">
        <f t="shared" si="108"/>
        <v>0</v>
      </c>
      <c r="W75" s="6">
        <f t="shared" si="109"/>
        <v>0</v>
      </c>
      <c r="X75" s="5">
        <f t="shared" si="110"/>
        <v>0</v>
      </c>
      <c r="Y75" s="6">
        <f t="shared" si="111"/>
        <v>0</v>
      </c>
      <c r="Z75" s="5" t="e">
        <f t="shared" si="112"/>
        <v>#DIV/0!</v>
      </c>
      <c r="AA75" s="21">
        <f t="shared" si="113"/>
        <v>0</v>
      </c>
      <c r="AB75" s="6">
        <f t="shared" si="114"/>
        <v>0</v>
      </c>
      <c r="AC75" s="5" t="e">
        <f t="shared" si="115"/>
        <v>#DIV/0!</v>
      </c>
      <c r="AD75" s="6">
        <f t="shared" si="116"/>
        <v>0</v>
      </c>
      <c r="AE75" s="5">
        <f t="shared" si="117"/>
        <v>0</v>
      </c>
      <c r="AF75" s="21">
        <f t="shared" si="118"/>
        <v>0</v>
      </c>
      <c r="AG75" s="6">
        <f t="shared" si="119"/>
        <v>0</v>
      </c>
      <c r="AH75" s="5">
        <f t="shared" si="120"/>
        <v>0</v>
      </c>
      <c r="AI75" s="21">
        <f t="shared" si="121"/>
        <v>0</v>
      </c>
      <c r="AJ75" s="6">
        <f t="shared" si="122"/>
        <v>0</v>
      </c>
      <c r="AK75" s="5">
        <f t="shared" si="123"/>
        <v>0</v>
      </c>
      <c r="AL75" s="21">
        <f t="shared" si="124"/>
        <v>0</v>
      </c>
      <c r="AM75" s="21">
        <f t="shared" si="125"/>
        <v>0</v>
      </c>
      <c r="AN75" s="6">
        <f t="shared" si="126"/>
        <v>0</v>
      </c>
      <c r="AO75" s="5">
        <f t="shared" si="127"/>
        <v>0</v>
      </c>
      <c r="AP75" s="6">
        <f t="shared" si="128"/>
        <v>0</v>
      </c>
      <c r="AQ75" s="5">
        <f t="shared" si="129"/>
        <v>0</v>
      </c>
      <c r="AR75" s="2">
        <f t="shared" si="130"/>
        <v>0</v>
      </c>
      <c r="AS75" s="5">
        <f t="shared" si="131"/>
        <v>0</v>
      </c>
      <c r="AT75" s="21">
        <f t="shared" si="132"/>
        <v>0</v>
      </c>
      <c r="AU75" s="20">
        <f t="shared" si="133"/>
        <v>0</v>
      </c>
      <c r="AV75" s="20">
        <f t="shared" si="134"/>
        <v>1</v>
      </c>
      <c r="AW75" s="199">
        <f t="shared" si="135"/>
        <v>0</v>
      </c>
      <c r="AX75" s="24">
        <f t="shared" si="136"/>
        <v>0</v>
      </c>
      <c r="AY75" s="5">
        <f t="shared" si="137"/>
        <v>0</v>
      </c>
      <c r="AZ75" s="5">
        <f t="shared" si="138"/>
        <v>0</v>
      </c>
      <c r="BA75" s="5">
        <f t="shared" si="139"/>
        <v>0</v>
      </c>
      <c r="BB75" s="5">
        <f t="shared" si="140"/>
        <v>0</v>
      </c>
      <c r="BC75" s="5">
        <f t="shared" si="141"/>
        <v>0</v>
      </c>
      <c r="BD75" s="5">
        <f t="shared" si="142"/>
        <v>0</v>
      </c>
      <c r="BE75" s="199">
        <f t="shared" si="143"/>
        <v>0</v>
      </c>
      <c r="BF75" s="21">
        <f t="shared" si="144"/>
        <v>0</v>
      </c>
      <c r="BG75" s="6">
        <f t="shared" si="145"/>
        <v>0</v>
      </c>
      <c r="BH75" s="5" t="e">
        <f t="shared" si="146"/>
        <v>#DIV/0!</v>
      </c>
      <c r="BI75" s="6">
        <f t="shared" si="147"/>
        <v>0</v>
      </c>
      <c r="BJ75" s="5" t="e">
        <f t="shared" si="148"/>
        <v>#DIV/0!</v>
      </c>
      <c r="BK75" s="20">
        <f t="shared" si="149"/>
        <v>-9.9999999999999998E-13</v>
      </c>
      <c r="BL75" s="20">
        <f t="shared" si="150"/>
        <v>0</v>
      </c>
      <c r="BM75" s="6">
        <f t="shared" si="151"/>
        <v>0</v>
      </c>
      <c r="BN75" s="5">
        <f t="shared" si="152"/>
        <v>0</v>
      </c>
      <c r="BO75" s="333">
        <f t="shared" si="153"/>
        <v>0</v>
      </c>
      <c r="BP75" s="334">
        <f t="shared" si="154"/>
        <v>0</v>
      </c>
      <c r="BQ75" s="6">
        <f t="shared" si="155"/>
        <v>0</v>
      </c>
      <c r="BR75" s="5">
        <f t="shared" si="156"/>
        <v>0</v>
      </c>
      <c r="BS75" s="6">
        <f t="shared" si="157"/>
        <v>0</v>
      </c>
      <c r="BT75" s="5">
        <f t="shared" si="158"/>
        <v>0</v>
      </c>
      <c r="BU75" s="181">
        <f t="shared" si="159"/>
        <v>0</v>
      </c>
      <c r="BV75" s="154">
        <f t="shared" si="160"/>
        <v>0</v>
      </c>
      <c r="BW75" s="181">
        <f t="shared" si="161"/>
        <v>0</v>
      </c>
      <c r="BX75" s="180">
        <f t="shared" si="162"/>
        <v>0</v>
      </c>
      <c r="BY75" s="181">
        <f t="shared" si="163"/>
        <v>0</v>
      </c>
      <c r="BZ75" s="154">
        <f t="shared" si="164"/>
        <v>0</v>
      </c>
      <c r="CA75" s="182">
        <f t="shared" si="165"/>
        <v>0</v>
      </c>
      <c r="CB75" s="2">
        <f t="shared" si="166"/>
        <v>0</v>
      </c>
      <c r="CC75" s="2">
        <f t="shared" si="167"/>
        <v>0</v>
      </c>
      <c r="CD75" s="2">
        <f t="shared" si="168"/>
        <v>0</v>
      </c>
      <c r="CE75" s="2">
        <f t="shared" si="169"/>
        <v>0</v>
      </c>
      <c r="CF75" s="6">
        <f t="shared" si="170"/>
        <v>0</v>
      </c>
      <c r="CG75" s="6">
        <f t="shared" si="171"/>
        <v>0</v>
      </c>
      <c r="CH75" s="6">
        <f t="shared" si="172"/>
        <v>0</v>
      </c>
      <c r="CI75" s="20">
        <f t="shared" si="173"/>
        <v>0</v>
      </c>
      <c r="CJ75" s="133">
        <f t="shared" si="174"/>
        <v>2521</v>
      </c>
      <c r="CK75" s="5">
        <f t="shared" si="175"/>
        <v>0</v>
      </c>
      <c r="CL75" s="302" t="s">
        <v>19</v>
      </c>
      <c r="CM75" s="298" t="s">
        <v>13</v>
      </c>
      <c r="CN75" s="298" t="s">
        <v>1224</v>
      </c>
      <c r="CO75" s="298">
        <v>23</v>
      </c>
      <c r="CP75" s="298" t="s">
        <v>1340</v>
      </c>
      <c r="CQ75" s="298" t="s">
        <v>1131</v>
      </c>
      <c r="CR75" s="298" t="s">
        <v>644</v>
      </c>
      <c r="CS75" s="298" t="s">
        <v>1341</v>
      </c>
      <c r="CT75" s="298" t="s">
        <v>680</v>
      </c>
      <c r="CU75" s="299">
        <v>47118</v>
      </c>
      <c r="CV75" s="298">
        <v>0</v>
      </c>
      <c r="CW75" s="298">
        <v>0</v>
      </c>
      <c r="CX75" s="298">
        <v>0</v>
      </c>
      <c r="CY75" s="298">
        <v>0</v>
      </c>
      <c r="CZ75" s="298">
        <v>0</v>
      </c>
      <c r="DA75" s="298">
        <v>0</v>
      </c>
      <c r="DB75" s="298">
        <v>0</v>
      </c>
      <c r="DC75" s="298">
        <v>0</v>
      </c>
      <c r="DD75" s="298">
        <v>0</v>
      </c>
      <c r="DE75" s="298">
        <v>0</v>
      </c>
      <c r="DF75" s="298">
        <v>0</v>
      </c>
      <c r="DG75" s="298">
        <v>0</v>
      </c>
      <c r="DH75" s="298">
        <v>0</v>
      </c>
      <c r="DI75" s="298">
        <v>0</v>
      </c>
      <c r="DJ75" s="298">
        <v>0</v>
      </c>
      <c r="DK75" s="298">
        <v>0</v>
      </c>
      <c r="DL75" s="298">
        <v>0</v>
      </c>
      <c r="DM75" s="298">
        <v>0</v>
      </c>
      <c r="DN75" s="298">
        <v>0</v>
      </c>
      <c r="DO75" s="298">
        <v>0</v>
      </c>
      <c r="DP75" s="298">
        <v>0</v>
      </c>
      <c r="DQ75" s="298">
        <v>0</v>
      </c>
      <c r="DR75" s="298">
        <v>0</v>
      </c>
      <c r="DS75" s="298">
        <v>0</v>
      </c>
      <c r="DT75" s="298">
        <v>0</v>
      </c>
      <c r="DU75" s="298">
        <v>0</v>
      </c>
      <c r="DV75" s="303" t="s">
        <v>548</v>
      </c>
    </row>
    <row r="76" spans="1:126" ht="24.95" customHeight="1" thickBot="1" x14ac:dyDescent="0.3">
      <c r="A76" s="29" t="str">
        <f t="shared" si="176"/>
        <v>75º</v>
      </c>
      <c r="B76" s="69" t="str">
        <f t="shared" ref="B76:B139" si="178">CP76</f>
        <v>Luiz Sá</v>
      </c>
      <c r="C76" s="269" t="str">
        <f t="shared" ref="C76:C139" si="179">CM76</f>
        <v>BRA</v>
      </c>
      <c r="D76" s="99" t="str">
        <f t="shared" ref="D76:D139" si="180">CR76</f>
        <v>Pé Direito</v>
      </c>
      <c r="E76" s="28" t="str">
        <f t="shared" ref="E76:E139" si="181">CN76</f>
        <v>FLU</v>
      </c>
      <c r="F76" s="169">
        <f t="shared" ref="F76:F139" si="182">CO76</f>
        <v>21</v>
      </c>
      <c r="G76" s="2" t="str">
        <f t="shared" ref="G76:G139" si="183">CQ76</f>
        <v>140m € - 1,4M €</v>
      </c>
      <c r="H76" s="154">
        <f t="shared" ref="H76:H139" si="184">IFERROR(SUBSTITUTE(CT76," cm","")/100,0)</f>
        <v>1.85</v>
      </c>
      <c r="I76" s="64">
        <f t="shared" ref="I76:I139" si="185">IF(CU76="-", "Sem Data Final", CU76)</f>
        <v>47483</v>
      </c>
      <c r="J76" s="304" t="str">
        <f t="shared" ref="J76:J139" si="186">IFERROR(CS76,0)</f>
        <v>3m € p/m</v>
      </c>
      <c r="K76" s="96">
        <f t="shared" si="177"/>
        <v>3.5222222222222221</v>
      </c>
      <c r="L76" s="146">
        <f t="shared" ref="L76:L139" si="187">IFERROR(CW76/90,0)</f>
        <v>0</v>
      </c>
      <c r="M76" s="6">
        <f t="shared" ref="M76:M139" si="188">CV76</f>
        <v>0</v>
      </c>
      <c r="N76" s="5">
        <f t="shared" ref="N76:N139" si="189">IFERROR((CW76/M76),5400)</f>
        <v>5400</v>
      </c>
      <c r="O76" s="21">
        <f t="shared" ref="O76:O139" si="190">IFERROR((M76*1)/L76,0)</f>
        <v>0</v>
      </c>
      <c r="P76" s="2">
        <f t="shared" ref="P76:P139" si="191">DL76</f>
        <v>0</v>
      </c>
      <c r="Q76" s="2">
        <f t="shared" ref="Q76:Q139" si="192">DM76</f>
        <v>0</v>
      </c>
      <c r="R76" s="5">
        <f t="shared" ref="R76:R139" si="193">IFERROR((Q76/L76),0)</f>
        <v>0</v>
      </c>
      <c r="S76" s="2">
        <f t="shared" ref="S76:S139" si="194">IFERROR(P76-Q76,0)</f>
        <v>0</v>
      </c>
      <c r="T76" s="2">
        <f t="shared" ref="T76:T139" si="195">IFERROR(Q76-S76,0)</f>
        <v>0</v>
      </c>
      <c r="U76" s="102">
        <f t="shared" ref="U76:U139" si="196">IFERROR(((P76-Q76)*1)/P76,0)</f>
        <v>0</v>
      </c>
      <c r="V76" s="102">
        <f t="shared" ref="V76:V139" si="197">IFERROR((Q76*1)/P76,0)</f>
        <v>0</v>
      </c>
      <c r="W76" s="6">
        <f t="shared" ref="W76:W139" si="198">DL76-DJ76</f>
        <v>0</v>
      </c>
      <c r="X76" s="5">
        <f t="shared" ref="X76:X139" si="199">IFERROR(W76/L76,0)</f>
        <v>0</v>
      </c>
      <c r="Y76" s="6">
        <f t="shared" ref="Y76:Y139" si="200">DJ76</f>
        <v>0</v>
      </c>
      <c r="Z76" s="5" t="e">
        <f t="shared" ref="Z76:Z139" si="201">Y76/L76</f>
        <v>#DIV/0!</v>
      </c>
      <c r="AA76" s="21">
        <f t="shared" ref="AA76:AA139" si="202">IFERROR(Y76/W76,0)</f>
        <v>0</v>
      </c>
      <c r="AB76" s="6">
        <f t="shared" ref="AB76:AB139" si="203">DK76</f>
        <v>0</v>
      </c>
      <c r="AC76" s="5" t="e">
        <f t="shared" ref="AC76:AC139" si="204">AB76/L76</f>
        <v>#DIV/0!</v>
      </c>
      <c r="AD76" s="6">
        <f t="shared" ref="AD76:AD139" si="205">CY76</f>
        <v>0</v>
      </c>
      <c r="AE76" s="5">
        <f t="shared" ref="AE76:AE139" si="206">IFERROR(AD76/L76,0)</f>
        <v>0</v>
      </c>
      <c r="AF76" s="21">
        <f t="shared" ref="AF76:AF139" si="207">IFERROR((AD76*1)/AP76,0)</f>
        <v>0</v>
      </c>
      <c r="AG76" s="6">
        <f t="shared" ref="AG76:AG139" si="208">CZ76</f>
        <v>0</v>
      </c>
      <c r="AH76" s="5">
        <f t="shared" ref="AH76:AH139" si="209">IFERROR(AG76/L76,0)</f>
        <v>0</v>
      </c>
      <c r="AI76" s="21">
        <f t="shared" ref="AI76:AI139" si="210">IFERROR((AG76*1)/AP76,0)</f>
        <v>0</v>
      </c>
      <c r="AJ76" s="6">
        <f t="shared" ref="AJ76:AJ139" si="211">DA76</f>
        <v>0</v>
      </c>
      <c r="AK76" s="5">
        <f t="shared" ref="AK76:AK139" si="212">IFERROR(AJ76/R76,0)</f>
        <v>0</v>
      </c>
      <c r="AL76" s="21">
        <f t="shared" ref="AL76:AL139" si="213">IFERROR((AJ76*1)/AP76,0)</f>
        <v>0</v>
      </c>
      <c r="AM76" s="21">
        <f t="shared" ref="AM76:AM139" si="214">IFERROR((AN76*1)/L76,0)</f>
        <v>0</v>
      </c>
      <c r="AN76" s="6">
        <f t="shared" ref="AN76:AN139" si="215">DE76</f>
        <v>0</v>
      </c>
      <c r="AO76" s="5">
        <f t="shared" ref="AO76:AO139" si="216">IFERROR(AN76/L76,0)</f>
        <v>0</v>
      </c>
      <c r="AP76" s="6">
        <f t="shared" ref="AP76:AP139" si="217">IFERROR(CY76+CZ76+DA76,0)</f>
        <v>0</v>
      </c>
      <c r="AQ76" s="5">
        <f t="shared" ref="AQ76:AQ139" si="218">IFERROR(AP76/L76,0)</f>
        <v>0</v>
      </c>
      <c r="AR76" s="2">
        <f t="shared" ref="AR76:AR139" si="219">IFERROR((CZ76+DA76+CY76+CX76),0)</f>
        <v>0</v>
      </c>
      <c r="AS76" s="5">
        <f t="shared" ref="AS76:AS139" si="220">IFERROR(AR76/L76,0)</f>
        <v>0</v>
      </c>
      <c r="AT76" s="21">
        <f t="shared" ref="AT76:AT139" si="221">IFERROR(AP76/AR76,0)</f>
        <v>0</v>
      </c>
      <c r="AU76" s="20">
        <f t="shared" ref="AU76:AU139" si="222">IFERROR(((CZ76+DA76+BI76)*1)/(AR76-CY76),0)</f>
        <v>0</v>
      </c>
      <c r="AV76" s="20">
        <f t="shared" ref="AV76:AV139" si="223">IFERROR((BN76*1)/AS76,1)</f>
        <v>1</v>
      </c>
      <c r="AW76" s="199">
        <f t="shared" ref="AW76:AW139" si="224">IFERROR((AG76*2+AJ76*1.5+AD76*1)/AR76,0)</f>
        <v>0</v>
      </c>
      <c r="AX76" s="24">
        <f t="shared" ref="AX76:AX139" si="225">IFERROR(CW76/CX76,0)</f>
        <v>0</v>
      </c>
      <c r="AY76" s="5">
        <f t="shared" ref="AY76:AY139" si="226">IFERROR((CX76+CY76+CZ76+DA76)/CX76,0)</f>
        <v>0</v>
      </c>
      <c r="AZ76" s="5">
        <f t="shared" ref="AZ76:AZ139" si="227">IFERROR((CX76+CZ76+DA76)/CX76,0)</f>
        <v>0</v>
      </c>
      <c r="BA76" s="5">
        <f t="shared" ref="BA76:BA139" si="228">IF(DN76="-","Sem Dados",VALUE(SUBSTITUTE(DN76,".",","))
)</f>
        <v>0</v>
      </c>
      <c r="BB76" s="5">
        <f t="shared" ref="BB76:BB139" si="229">IFERROR(BA76/L76,0)</f>
        <v>0</v>
      </c>
      <c r="BC76" s="5">
        <f t="shared" ref="BC76:BC139" si="230">IFERROR(BA76-(BI76*0.79),-100)</f>
        <v>0</v>
      </c>
      <c r="BD76" s="5">
        <f t="shared" ref="BD76:BD139" si="231">IFERROR(BC76/L76,0)</f>
        <v>0</v>
      </c>
      <c r="BE76" s="199">
        <f t="shared" ref="BE76:BE139" si="232">IFERROR(BB76/AO76,BB76)</f>
        <v>0</v>
      </c>
      <c r="BF76" s="21">
        <f t="shared" ref="BF76:BF139" si="233">IFERROR(BA76/(BA76+CX76),0)</f>
        <v>0</v>
      </c>
      <c r="BG76" s="6">
        <f t="shared" ref="BG76:BG139" si="234">DT76</f>
        <v>0</v>
      </c>
      <c r="BH76" s="5" t="e">
        <f t="shared" ref="BH76:BH139" si="235">BG76/L76</f>
        <v>#DIV/0!</v>
      </c>
      <c r="BI76" s="6">
        <f t="shared" ref="BI76:BI139" si="236">DU76</f>
        <v>0</v>
      </c>
      <c r="BJ76" s="5" t="e">
        <f t="shared" ref="BJ76:BJ139" si="237">BI76/L76</f>
        <v>#DIV/0!</v>
      </c>
      <c r="BK76" s="20">
        <f t="shared" ref="BK76:BK139" si="238">IFERROR((DU76*1)/DT76,-0.000000000001)</f>
        <v>-9.9999999999999998E-13</v>
      </c>
      <c r="BL76" s="20">
        <f t="shared" ref="BL76:BL139" si="239">IFERROR((CX76*1)/SUM(CX:CX),0)</f>
        <v>0</v>
      </c>
      <c r="BM76" s="6">
        <f t="shared" ref="BM76:BM139" si="240">CX76</f>
        <v>0</v>
      </c>
      <c r="BN76" s="5">
        <f t="shared" ref="BN76:BN139" si="241">IFERROR(BM76/L76,0)</f>
        <v>0</v>
      </c>
      <c r="BO76" s="333">
        <f t="shared" ref="BO76:BO139" si="242">DP76</f>
        <v>0</v>
      </c>
      <c r="BP76" s="334">
        <f t="shared" ref="BP76:BP139" si="243">IFERROR(BO76/L76,0)</f>
        <v>0</v>
      </c>
      <c r="BQ76" s="6">
        <f t="shared" ref="BQ76:BQ139" si="244">IFERROR(BR76*L76,0)</f>
        <v>0</v>
      </c>
      <c r="BR76" s="5">
        <f t="shared" ref="BR76:BR139" si="245">DC76</f>
        <v>0</v>
      </c>
      <c r="BS76" s="6">
        <f t="shared" ref="BS76:BS139" si="246">IFERROR(BT76*L76,0)</f>
        <v>0</v>
      </c>
      <c r="BT76" s="5">
        <f t="shared" ref="BT76:BT139" si="247">DD76</f>
        <v>0</v>
      </c>
      <c r="BU76" s="181">
        <f t="shared" ref="BU76:BU139" si="248">IFERROR((DB76+DQ76+(DS76*2.5)+DF76+DP76),0)</f>
        <v>0</v>
      </c>
      <c r="BV76" s="154">
        <f t="shared" ref="BV76:BV139" si="249">IFERROR(BU76/L76,0)</f>
        <v>0</v>
      </c>
      <c r="BW76" s="181">
        <f t="shared" ref="BW76:BW139" si="250">IFERROR((DO76+DR76+(DS76*2.5)),0)</f>
        <v>0</v>
      </c>
      <c r="BX76" s="180">
        <f t="shared" ref="BX76:BX139" si="251">IFERROR(BW76/L76,0)</f>
        <v>0</v>
      </c>
      <c r="BY76" s="181">
        <f t="shared" ref="BY76:BY139" si="252">IFERROR((DB76-DO76)+(DQ76-DR76)+(DS76*2.5)+(DF76),0)</f>
        <v>0</v>
      </c>
      <c r="BZ76" s="154">
        <f t="shared" ref="BZ76:BZ139" si="253">IFERROR(BY76/L76,0)</f>
        <v>0</v>
      </c>
      <c r="CA76" s="182">
        <f t="shared" ref="CA76:CA139" si="254">IFERROR((BW76*1)/BU76,0)</f>
        <v>0</v>
      </c>
      <c r="CB76" s="2">
        <f t="shared" ref="CB76:CB139" si="255">DF76</f>
        <v>0</v>
      </c>
      <c r="CC76" s="2">
        <f t="shared" ref="CC76:CC139" si="256">DG76</f>
        <v>0</v>
      </c>
      <c r="CD76" s="2">
        <f t="shared" ref="CD76:CD139" si="257">IFERROR(CB76+CC76,0)</f>
        <v>0</v>
      </c>
      <c r="CE76" s="2">
        <f t="shared" ref="CE76:CE139" si="258">DI76</f>
        <v>0</v>
      </c>
      <c r="CF76" s="6">
        <f t="shared" ref="CF76:CF139" si="259">DH76</f>
        <v>0</v>
      </c>
      <c r="CG76" s="6">
        <f t="shared" ref="CG76:CG139" si="260">IFERROR(CY76+CX76+CZ76+DA76+DT76+DL76+DF76+(DD76*1.33)+(DE76*2)+(DP76*2.5)+DQ76+DB76,0)</f>
        <v>0</v>
      </c>
      <c r="CH76" s="6">
        <f t="shared" ref="CH76:CH139" si="261">IFERROR(CY76+CZ76+DA76+DU76+DM76+DR76+DO76,0)</f>
        <v>0</v>
      </c>
      <c r="CI76" s="20">
        <f t="shared" ref="CI76:CI139" si="262">IFERROR((CH76*1)/CG76,0)</f>
        <v>0</v>
      </c>
      <c r="CJ76" s="133">
        <f t="shared" ref="CJ76:CJ139" si="263">SUM(AR:AR)</f>
        <v>2521</v>
      </c>
      <c r="CK76" s="5">
        <f t="shared" ref="CK76:CK139" si="264">IFERROR(VALUE(SUBSTITUTE(DV76, ".", ",")),0)</f>
        <v>0</v>
      </c>
      <c r="CL76" s="300" t="s">
        <v>1235</v>
      </c>
      <c r="CM76" s="296" t="s">
        <v>13</v>
      </c>
      <c r="CN76" s="296" t="s">
        <v>1311</v>
      </c>
      <c r="CO76" s="296">
        <v>21</v>
      </c>
      <c r="CP76" s="296" t="s">
        <v>1342</v>
      </c>
      <c r="CQ76" s="296" t="s">
        <v>766</v>
      </c>
      <c r="CR76" s="296" t="s">
        <v>644</v>
      </c>
      <c r="CS76" s="296" t="s">
        <v>1231</v>
      </c>
      <c r="CT76" s="296" t="s">
        <v>587</v>
      </c>
      <c r="CU76" s="297">
        <v>47483</v>
      </c>
      <c r="CV76" s="296">
        <v>0</v>
      </c>
      <c r="CW76" s="296">
        <v>0</v>
      </c>
      <c r="CX76" s="296">
        <v>0</v>
      </c>
      <c r="CY76" s="296">
        <v>0</v>
      </c>
      <c r="CZ76" s="296">
        <v>0</v>
      </c>
      <c r="DA76" s="296">
        <v>0</v>
      </c>
      <c r="DB76" s="296">
        <v>0</v>
      </c>
      <c r="DC76" s="296">
        <v>0</v>
      </c>
      <c r="DD76" s="296">
        <v>0</v>
      </c>
      <c r="DE76" s="296">
        <v>0</v>
      </c>
      <c r="DF76" s="296">
        <v>0</v>
      </c>
      <c r="DG76" s="296">
        <v>0</v>
      </c>
      <c r="DH76" s="296">
        <v>0</v>
      </c>
      <c r="DI76" s="296">
        <v>0</v>
      </c>
      <c r="DJ76" s="296">
        <v>0</v>
      </c>
      <c r="DK76" s="296">
        <v>0</v>
      </c>
      <c r="DL76" s="296">
        <v>0</v>
      </c>
      <c r="DM76" s="296">
        <v>0</v>
      </c>
      <c r="DN76" s="296">
        <v>0</v>
      </c>
      <c r="DO76" s="296">
        <v>0</v>
      </c>
      <c r="DP76" s="296">
        <v>0</v>
      </c>
      <c r="DQ76" s="296">
        <v>0</v>
      </c>
      <c r="DR76" s="296">
        <v>0</v>
      </c>
      <c r="DS76" s="296">
        <v>0</v>
      </c>
      <c r="DT76" s="296">
        <v>0</v>
      </c>
      <c r="DU76" s="296">
        <v>0</v>
      </c>
      <c r="DV76" s="301" t="s">
        <v>548</v>
      </c>
    </row>
    <row r="77" spans="1:126" ht="24.95" customHeight="1" thickBot="1" x14ac:dyDescent="0.3">
      <c r="A77" s="29" t="str">
        <f t="shared" si="176"/>
        <v>76º</v>
      </c>
      <c r="B77" s="69" t="str">
        <f t="shared" si="178"/>
        <v>Pedro</v>
      </c>
      <c r="C77" s="269" t="str">
        <f t="shared" si="179"/>
        <v>BRA</v>
      </c>
      <c r="D77" s="99" t="str">
        <f t="shared" si="180"/>
        <v>Pé Direito</v>
      </c>
      <c r="E77" s="28" t="str">
        <f t="shared" si="181"/>
        <v>CRI</v>
      </c>
      <c r="F77" s="169">
        <f t="shared" si="182"/>
        <v>23</v>
      </c>
      <c r="G77" s="2" t="str">
        <f t="shared" si="183"/>
        <v>0 €</v>
      </c>
      <c r="H77" s="154">
        <f t="shared" si="184"/>
        <v>1.94</v>
      </c>
      <c r="I77" s="64">
        <f t="shared" si="185"/>
        <v>47118</v>
      </c>
      <c r="J77" s="304" t="str">
        <f t="shared" si="186"/>
        <v>2,3m € p/m</v>
      </c>
      <c r="K77" s="96">
        <f t="shared" si="177"/>
        <v>3.5222222222222221</v>
      </c>
      <c r="L77" s="146">
        <f t="shared" si="187"/>
        <v>0</v>
      </c>
      <c r="M77" s="6">
        <f t="shared" si="188"/>
        <v>0</v>
      </c>
      <c r="N77" s="5">
        <f t="shared" si="189"/>
        <v>5400</v>
      </c>
      <c r="O77" s="21">
        <f t="shared" si="190"/>
        <v>0</v>
      </c>
      <c r="P77" s="2">
        <f t="shared" si="191"/>
        <v>0</v>
      </c>
      <c r="Q77" s="2">
        <f t="shared" si="192"/>
        <v>0</v>
      </c>
      <c r="R77" s="5">
        <f t="shared" si="193"/>
        <v>0</v>
      </c>
      <c r="S77" s="2">
        <f t="shared" si="194"/>
        <v>0</v>
      </c>
      <c r="T77" s="2">
        <f t="shared" si="195"/>
        <v>0</v>
      </c>
      <c r="U77" s="102">
        <f t="shared" si="196"/>
        <v>0</v>
      </c>
      <c r="V77" s="102">
        <f t="shared" si="197"/>
        <v>0</v>
      </c>
      <c r="W77" s="6">
        <f t="shared" si="198"/>
        <v>0</v>
      </c>
      <c r="X77" s="5">
        <f t="shared" si="199"/>
        <v>0</v>
      </c>
      <c r="Y77" s="6">
        <f t="shared" si="200"/>
        <v>0</v>
      </c>
      <c r="Z77" s="5" t="e">
        <f t="shared" si="201"/>
        <v>#DIV/0!</v>
      </c>
      <c r="AA77" s="21">
        <f t="shared" si="202"/>
        <v>0</v>
      </c>
      <c r="AB77" s="6">
        <f t="shared" si="203"/>
        <v>0</v>
      </c>
      <c r="AC77" s="5" t="e">
        <f t="shared" si="204"/>
        <v>#DIV/0!</v>
      </c>
      <c r="AD77" s="6">
        <f t="shared" si="205"/>
        <v>0</v>
      </c>
      <c r="AE77" s="5">
        <f t="shared" si="206"/>
        <v>0</v>
      </c>
      <c r="AF77" s="21">
        <f t="shared" si="207"/>
        <v>0</v>
      </c>
      <c r="AG77" s="6">
        <f t="shared" si="208"/>
        <v>0</v>
      </c>
      <c r="AH77" s="5">
        <f t="shared" si="209"/>
        <v>0</v>
      </c>
      <c r="AI77" s="21">
        <f t="shared" si="210"/>
        <v>0</v>
      </c>
      <c r="AJ77" s="6">
        <f t="shared" si="211"/>
        <v>0</v>
      </c>
      <c r="AK77" s="5">
        <f t="shared" si="212"/>
        <v>0</v>
      </c>
      <c r="AL77" s="21">
        <f t="shared" si="213"/>
        <v>0</v>
      </c>
      <c r="AM77" s="21">
        <f t="shared" si="214"/>
        <v>0</v>
      </c>
      <c r="AN77" s="6">
        <f t="shared" si="215"/>
        <v>0</v>
      </c>
      <c r="AO77" s="5">
        <f t="shared" si="216"/>
        <v>0</v>
      </c>
      <c r="AP77" s="6">
        <f t="shared" si="217"/>
        <v>0</v>
      </c>
      <c r="AQ77" s="5">
        <f t="shared" si="218"/>
        <v>0</v>
      </c>
      <c r="AR77" s="2">
        <f t="shared" si="219"/>
        <v>0</v>
      </c>
      <c r="AS77" s="5">
        <f t="shared" si="220"/>
        <v>0</v>
      </c>
      <c r="AT77" s="21">
        <f t="shared" si="221"/>
        <v>0</v>
      </c>
      <c r="AU77" s="20">
        <f t="shared" si="222"/>
        <v>0</v>
      </c>
      <c r="AV77" s="20">
        <f t="shared" si="223"/>
        <v>1</v>
      </c>
      <c r="AW77" s="199">
        <f t="shared" si="224"/>
        <v>0</v>
      </c>
      <c r="AX77" s="24">
        <f t="shared" si="225"/>
        <v>0</v>
      </c>
      <c r="AY77" s="5">
        <f t="shared" si="226"/>
        <v>0</v>
      </c>
      <c r="AZ77" s="5">
        <f t="shared" si="227"/>
        <v>0</v>
      </c>
      <c r="BA77" s="5">
        <f t="shared" si="228"/>
        <v>0</v>
      </c>
      <c r="BB77" s="5">
        <f t="shared" si="229"/>
        <v>0</v>
      </c>
      <c r="BC77" s="5">
        <f t="shared" si="230"/>
        <v>0</v>
      </c>
      <c r="BD77" s="5">
        <f t="shared" si="231"/>
        <v>0</v>
      </c>
      <c r="BE77" s="199">
        <f t="shared" si="232"/>
        <v>0</v>
      </c>
      <c r="BF77" s="21">
        <f t="shared" si="233"/>
        <v>0</v>
      </c>
      <c r="BG77" s="6">
        <f t="shared" si="234"/>
        <v>0</v>
      </c>
      <c r="BH77" s="5" t="e">
        <f t="shared" si="235"/>
        <v>#DIV/0!</v>
      </c>
      <c r="BI77" s="6">
        <f t="shared" si="236"/>
        <v>0</v>
      </c>
      <c r="BJ77" s="5" t="e">
        <f t="shared" si="237"/>
        <v>#DIV/0!</v>
      </c>
      <c r="BK77" s="20">
        <f t="shared" si="238"/>
        <v>-9.9999999999999998E-13</v>
      </c>
      <c r="BL77" s="20">
        <f t="shared" si="239"/>
        <v>0</v>
      </c>
      <c r="BM77" s="6">
        <f t="shared" si="240"/>
        <v>0</v>
      </c>
      <c r="BN77" s="5">
        <f t="shared" si="241"/>
        <v>0</v>
      </c>
      <c r="BO77" s="333">
        <f t="shared" si="242"/>
        <v>0</v>
      </c>
      <c r="BP77" s="334">
        <f t="shared" si="243"/>
        <v>0</v>
      </c>
      <c r="BQ77" s="6">
        <f t="shared" si="244"/>
        <v>0</v>
      </c>
      <c r="BR77" s="5">
        <f t="shared" si="245"/>
        <v>0</v>
      </c>
      <c r="BS77" s="6">
        <f t="shared" si="246"/>
        <v>0</v>
      </c>
      <c r="BT77" s="5">
        <f t="shared" si="247"/>
        <v>0</v>
      </c>
      <c r="BU77" s="181">
        <f t="shared" si="248"/>
        <v>0</v>
      </c>
      <c r="BV77" s="154">
        <f t="shared" si="249"/>
        <v>0</v>
      </c>
      <c r="BW77" s="181">
        <f t="shared" si="250"/>
        <v>0</v>
      </c>
      <c r="BX77" s="180">
        <f t="shared" si="251"/>
        <v>0</v>
      </c>
      <c r="BY77" s="181">
        <f t="shared" si="252"/>
        <v>0</v>
      </c>
      <c r="BZ77" s="154">
        <f t="shared" si="253"/>
        <v>0</v>
      </c>
      <c r="CA77" s="182">
        <f t="shared" si="254"/>
        <v>0</v>
      </c>
      <c r="CB77" s="2">
        <f t="shared" si="255"/>
        <v>0</v>
      </c>
      <c r="CC77" s="2">
        <f t="shared" si="256"/>
        <v>0</v>
      </c>
      <c r="CD77" s="2">
        <f t="shared" si="257"/>
        <v>0</v>
      </c>
      <c r="CE77" s="2">
        <f t="shared" si="258"/>
        <v>0</v>
      </c>
      <c r="CF77" s="6">
        <f t="shared" si="259"/>
        <v>0</v>
      </c>
      <c r="CG77" s="6">
        <f t="shared" si="260"/>
        <v>0</v>
      </c>
      <c r="CH77" s="6">
        <f t="shared" si="261"/>
        <v>0</v>
      </c>
      <c r="CI77" s="20">
        <f t="shared" si="262"/>
        <v>0</v>
      </c>
      <c r="CJ77" s="133">
        <f t="shared" si="263"/>
        <v>2521</v>
      </c>
      <c r="CK77" s="5">
        <f t="shared" si="264"/>
        <v>0</v>
      </c>
      <c r="CL77" s="302" t="s">
        <v>19</v>
      </c>
      <c r="CM77" s="298" t="s">
        <v>13</v>
      </c>
      <c r="CN77" s="298" t="s">
        <v>1343</v>
      </c>
      <c r="CO77" s="298">
        <v>23</v>
      </c>
      <c r="CP77" s="298" t="s">
        <v>1344</v>
      </c>
      <c r="CQ77" s="298" t="s">
        <v>1131</v>
      </c>
      <c r="CR77" s="298" t="s">
        <v>644</v>
      </c>
      <c r="CS77" s="298" t="s">
        <v>1159</v>
      </c>
      <c r="CT77" s="298" t="s">
        <v>910</v>
      </c>
      <c r="CU77" s="299">
        <v>47118</v>
      </c>
      <c r="CV77" s="298">
        <v>0</v>
      </c>
      <c r="CW77" s="298">
        <v>0</v>
      </c>
      <c r="CX77" s="298">
        <v>0</v>
      </c>
      <c r="CY77" s="298">
        <v>0</v>
      </c>
      <c r="CZ77" s="298">
        <v>0</v>
      </c>
      <c r="DA77" s="298">
        <v>0</v>
      </c>
      <c r="DB77" s="298">
        <v>0</v>
      </c>
      <c r="DC77" s="298">
        <v>0</v>
      </c>
      <c r="DD77" s="298">
        <v>0</v>
      </c>
      <c r="DE77" s="298">
        <v>0</v>
      </c>
      <c r="DF77" s="298">
        <v>0</v>
      </c>
      <c r="DG77" s="298">
        <v>0</v>
      </c>
      <c r="DH77" s="298">
        <v>0</v>
      </c>
      <c r="DI77" s="298">
        <v>0</v>
      </c>
      <c r="DJ77" s="298">
        <v>0</v>
      </c>
      <c r="DK77" s="298">
        <v>0</v>
      </c>
      <c r="DL77" s="298">
        <v>0</v>
      </c>
      <c r="DM77" s="298">
        <v>0</v>
      </c>
      <c r="DN77" s="298">
        <v>0</v>
      </c>
      <c r="DO77" s="298">
        <v>0</v>
      </c>
      <c r="DP77" s="298">
        <v>0</v>
      </c>
      <c r="DQ77" s="298">
        <v>0</v>
      </c>
      <c r="DR77" s="298">
        <v>0</v>
      </c>
      <c r="DS77" s="298">
        <v>0</v>
      </c>
      <c r="DT77" s="298">
        <v>0</v>
      </c>
      <c r="DU77" s="298">
        <v>0</v>
      </c>
      <c r="DV77" s="303" t="s">
        <v>548</v>
      </c>
    </row>
    <row r="78" spans="1:126" ht="24.95" customHeight="1" thickBot="1" x14ac:dyDescent="0.3">
      <c r="A78" s="29" t="str">
        <f t="shared" si="176"/>
        <v>77º</v>
      </c>
      <c r="B78" s="69" t="str">
        <f t="shared" si="178"/>
        <v>Ezequiel</v>
      </c>
      <c r="C78" s="269" t="str">
        <f t="shared" si="179"/>
        <v>BRA</v>
      </c>
      <c r="D78" s="99" t="str">
        <f t="shared" si="180"/>
        <v>Pé Direito</v>
      </c>
      <c r="E78" s="28" t="str">
        <f t="shared" si="181"/>
        <v>VIT</v>
      </c>
      <c r="F78" s="169">
        <f t="shared" si="182"/>
        <v>22</v>
      </c>
      <c r="G78" s="2" t="str">
        <f t="shared" si="183"/>
        <v>0 €</v>
      </c>
      <c r="H78" s="154">
        <f t="shared" si="184"/>
        <v>1.88</v>
      </c>
      <c r="I78" s="64">
        <f t="shared" si="185"/>
        <v>47118</v>
      </c>
      <c r="J78" s="304" t="str">
        <f t="shared" si="186"/>
        <v>875 € p/m</v>
      </c>
      <c r="K78" s="96">
        <f t="shared" si="177"/>
        <v>3.5222222222222221</v>
      </c>
      <c r="L78" s="146">
        <f t="shared" si="187"/>
        <v>0</v>
      </c>
      <c r="M78" s="6">
        <f t="shared" si="188"/>
        <v>0</v>
      </c>
      <c r="N78" s="5">
        <f t="shared" si="189"/>
        <v>5400</v>
      </c>
      <c r="O78" s="21">
        <f t="shared" si="190"/>
        <v>0</v>
      </c>
      <c r="P78" s="2">
        <f t="shared" si="191"/>
        <v>0</v>
      </c>
      <c r="Q78" s="2">
        <f t="shared" si="192"/>
        <v>0</v>
      </c>
      <c r="R78" s="5">
        <f t="shared" si="193"/>
        <v>0</v>
      </c>
      <c r="S78" s="2">
        <f t="shared" si="194"/>
        <v>0</v>
      </c>
      <c r="T78" s="2">
        <f t="shared" si="195"/>
        <v>0</v>
      </c>
      <c r="U78" s="102">
        <f t="shared" si="196"/>
        <v>0</v>
      </c>
      <c r="V78" s="102">
        <f t="shared" si="197"/>
        <v>0</v>
      </c>
      <c r="W78" s="6">
        <f t="shared" si="198"/>
        <v>0</v>
      </c>
      <c r="X78" s="5">
        <f t="shared" si="199"/>
        <v>0</v>
      </c>
      <c r="Y78" s="6">
        <f t="shared" si="200"/>
        <v>0</v>
      </c>
      <c r="Z78" s="5" t="e">
        <f t="shared" si="201"/>
        <v>#DIV/0!</v>
      </c>
      <c r="AA78" s="21">
        <f t="shared" si="202"/>
        <v>0</v>
      </c>
      <c r="AB78" s="6">
        <f t="shared" si="203"/>
        <v>0</v>
      </c>
      <c r="AC78" s="5" t="e">
        <f t="shared" si="204"/>
        <v>#DIV/0!</v>
      </c>
      <c r="AD78" s="6">
        <f t="shared" si="205"/>
        <v>0</v>
      </c>
      <c r="AE78" s="5">
        <f t="shared" si="206"/>
        <v>0</v>
      </c>
      <c r="AF78" s="21">
        <f t="shared" si="207"/>
        <v>0</v>
      </c>
      <c r="AG78" s="6">
        <f t="shared" si="208"/>
        <v>0</v>
      </c>
      <c r="AH78" s="5">
        <f t="shared" si="209"/>
        <v>0</v>
      </c>
      <c r="AI78" s="21">
        <f t="shared" si="210"/>
        <v>0</v>
      </c>
      <c r="AJ78" s="6">
        <f t="shared" si="211"/>
        <v>0</v>
      </c>
      <c r="AK78" s="5">
        <f t="shared" si="212"/>
        <v>0</v>
      </c>
      <c r="AL78" s="21">
        <f t="shared" si="213"/>
        <v>0</v>
      </c>
      <c r="AM78" s="21">
        <f t="shared" si="214"/>
        <v>0</v>
      </c>
      <c r="AN78" s="6">
        <f t="shared" si="215"/>
        <v>0</v>
      </c>
      <c r="AO78" s="5">
        <f t="shared" si="216"/>
        <v>0</v>
      </c>
      <c r="AP78" s="6">
        <f t="shared" si="217"/>
        <v>0</v>
      </c>
      <c r="AQ78" s="5">
        <f t="shared" si="218"/>
        <v>0</v>
      </c>
      <c r="AR78" s="2">
        <f t="shared" si="219"/>
        <v>0</v>
      </c>
      <c r="AS78" s="5">
        <f t="shared" si="220"/>
        <v>0</v>
      </c>
      <c r="AT78" s="21">
        <f t="shared" si="221"/>
        <v>0</v>
      </c>
      <c r="AU78" s="20">
        <f t="shared" si="222"/>
        <v>0</v>
      </c>
      <c r="AV78" s="20">
        <f t="shared" si="223"/>
        <v>1</v>
      </c>
      <c r="AW78" s="199">
        <f t="shared" si="224"/>
        <v>0</v>
      </c>
      <c r="AX78" s="24">
        <f t="shared" si="225"/>
        <v>0</v>
      </c>
      <c r="AY78" s="5">
        <f t="shared" si="226"/>
        <v>0</v>
      </c>
      <c r="AZ78" s="5">
        <f t="shared" si="227"/>
        <v>0</v>
      </c>
      <c r="BA78" s="5">
        <f t="shared" si="228"/>
        <v>0</v>
      </c>
      <c r="BB78" s="5">
        <f t="shared" si="229"/>
        <v>0</v>
      </c>
      <c r="BC78" s="5">
        <f t="shared" si="230"/>
        <v>0</v>
      </c>
      <c r="BD78" s="5">
        <f t="shared" si="231"/>
        <v>0</v>
      </c>
      <c r="BE78" s="199">
        <f t="shared" si="232"/>
        <v>0</v>
      </c>
      <c r="BF78" s="21">
        <f t="shared" si="233"/>
        <v>0</v>
      </c>
      <c r="BG78" s="6">
        <f t="shared" si="234"/>
        <v>0</v>
      </c>
      <c r="BH78" s="5" t="e">
        <f t="shared" si="235"/>
        <v>#DIV/0!</v>
      </c>
      <c r="BI78" s="6">
        <f t="shared" si="236"/>
        <v>0</v>
      </c>
      <c r="BJ78" s="5" t="e">
        <f t="shared" si="237"/>
        <v>#DIV/0!</v>
      </c>
      <c r="BK78" s="20">
        <f t="shared" si="238"/>
        <v>-9.9999999999999998E-13</v>
      </c>
      <c r="BL78" s="20">
        <f t="shared" si="239"/>
        <v>0</v>
      </c>
      <c r="BM78" s="6">
        <f t="shared" si="240"/>
        <v>0</v>
      </c>
      <c r="BN78" s="5">
        <f t="shared" si="241"/>
        <v>0</v>
      </c>
      <c r="BO78" s="333">
        <f t="shared" si="242"/>
        <v>0</v>
      </c>
      <c r="BP78" s="334">
        <f t="shared" si="243"/>
        <v>0</v>
      </c>
      <c r="BQ78" s="6">
        <f t="shared" si="244"/>
        <v>0</v>
      </c>
      <c r="BR78" s="5">
        <f t="shared" si="245"/>
        <v>0</v>
      </c>
      <c r="BS78" s="6">
        <f t="shared" si="246"/>
        <v>0</v>
      </c>
      <c r="BT78" s="5">
        <f t="shared" si="247"/>
        <v>0</v>
      </c>
      <c r="BU78" s="181">
        <f t="shared" si="248"/>
        <v>0</v>
      </c>
      <c r="BV78" s="154">
        <f t="shared" si="249"/>
        <v>0</v>
      </c>
      <c r="BW78" s="181">
        <f t="shared" si="250"/>
        <v>0</v>
      </c>
      <c r="BX78" s="180">
        <f t="shared" si="251"/>
        <v>0</v>
      </c>
      <c r="BY78" s="181">
        <f t="shared" si="252"/>
        <v>0</v>
      </c>
      <c r="BZ78" s="154">
        <f t="shared" si="253"/>
        <v>0</v>
      </c>
      <c r="CA78" s="182">
        <f t="shared" si="254"/>
        <v>0</v>
      </c>
      <c r="CB78" s="2">
        <f t="shared" si="255"/>
        <v>0</v>
      </c>
      <c r="CC78" s="2">
        <f t="shared" si="256"/>
        <v>0</v>
      </c>
      <c r="CD78" s="2">
        <f t="shared" si="257"/>
        <v>0</v>
      </c>
      <c r="CE78" s="2">
        <f t="shared" si="258"/>
        <v>0</v>
      </c>
      <c r="CF78" s="6">
        <f t="shared" si="259"/>
        <v>0</v>
      </c>
      <c r="CG78" s="6">
        <f t="shared" si="260"/>
        <v>0</v>
      </c>
      <c r="CH78" s="6">
        <f t="shared" si="261"/>
        <v>0</v>
      </c>
      <c r="CI78" s="20">
        <f t="shared" si="262"/>
        <v>0</v>
      </c>
      <c r="CJ78" s="133">
        <f t="shared" si="263"/>
        <v>2521</v>
      </c>
      <c r="CK78" s="5">
        <f t="shared" si="264"/>
        <v>0</v>
      </c>
      <c r="CL78" s="300" t="s">
        <v>1345</v>
      </c>
      <c r="CM78" s="296" t="s">
        <v>13</v>
      </c>
      <c r="CN78" s="296" t="s">
        <v>1333</v>
      </c>
      <c r="CO78" s="296">
        <v>22</v>
      </c>
      <c r="CP78" s="296" t="s">
        <v>1330</v>
      </c>
      <c r="CQ78" s="296" t="s">
        <v>1131</v>
      </c>
      <c r="CR78" s="296" t="s">
        <v>644</v>
      </c>
      <c r="CS78" s="296" t="s">
        <v>1305</v>
      </c>
      <c r="CT78" s="296" t="s">
        <v>552</v>
      </c>
      <c r="CU78" s="297">
        <v>47118</v>
      </c>
      <c r="CV78" s="296">
        <v>0</v>
      </c>
      <c r="CW78" s="296">
        <v>0</v>
      </c>
      <c r="CX78" s="296">
        <v>0</v>
      </c>
      <c r="CY78" s="296">
        <v>0</v>
      </c>
      <c r="CZ78" s="296">
        <v>0</v>
      </c>
      <c r="DA78" s="296">
        <v>0</v>
      </c>
      <c r="DB78" s="296">
        <v>0</v>
      </c>
      <c r="DC78" s="296">
        <v>0</v>
      </c>
      <c r="DD78" s="296">
        <v>0</v>
      </c>
      <c r="DE78" s="296">
        <v>0</v>
      </c>
      <c r="DF78" s="296">
        <v>0</v>
      </c>
      <c r="DG78" s="296">
        <v>0</v>
      </c>
      <c r="DH78" s="296">
        <v>0</v>
      </c>
      <c r="DI78" s="296">
        <v>0</v>
      </c>
      <c r="DJ78" s="296">
        <v>0</v>
      </c>
      <c r="DK78" s="296">
        <v>0</v>
      </c>
      <c r="DL78" s="296">
        <v>0</v>
      </c>
      <c r="DM78" s="296">
        <v>0</v>
      </c>
      <c r="DN78" s="296">
        <v>0</v>
      </c>
      <c r="DO78" s="296">
        <v>0</v>
      </c>
      <c r="DP78" s="296">
        <v>0</v>
      </c>
      <c r="DQ78" s="296">
        <v>0</v>
      </c>
      <c r="DR78" s="296">
        <v>0</v>
      </c>
      <c r="DS78" s="296">
        <v>0</v>
      </c>
      <c r="DT78" s="296">
        <v>0</v>
      </c>
      <c r="DU78" s="296">
        <v>0</v>
      </c>
      <c r="DV78" s="301" t="s">
        <v>548</v>
      </c>
    </row>
    <row r="79" spans="1:126" ht="24.95" customHeight="1" thickBot="1" x14ac:dyDescent="0.3">
      <c r="A79" s="29" t="str">
        <f t="shared" si="176"/>
        <v>78º</v>
      </c>
      <c r="B79" s="69" t="str">
        <f t="shared" si="178"/>
        <v>Joaquim Horn</v>
      </c>
      <c r="C79" s="269" t="str">
        <f t="shared" si="179"/>
        <v>BRA</v>
      </c>
      <c r="D79" s="99" t="str">
        <f t="shared" si="180"/>
        <v>Pé Direito</v>
      </c>
      <c r="E79" s="28" t="str">
        <f t="shared" si="181"/>
        <v>JUV</v>
      </c>
      <c r="F79" s="169">
        <f t="shared" si="182"/>
        <v>21</v>
      </c>
      <c r="G79" s="2" t="str">
        <f t="shared" si="183"/>
        <v>0 €</v>
      </c>
      <c r="H79" s="154">
        <f t="shared" si="184"/>
        <v>1.89</v>
      </c>
      <c r="I79" s="64">
        <f t="shared" si="185"/>
        <v>47483</v>
      </c>
      <c r="J79" s="304" t="str">
        <f t="shared" si="186"/>
        <v>725 € p/m</v>
      </c>
      <c r="K79" s="96">
        <f t="shared" si="177"/>
        <v>3.5222222222222221</v>
      </c>
      <c r="L79" s="146">
        <f t="shared" si="187"/>
        <v>0</v>
      </c>
      <c r="M79" s="6">
        <f t="shared" si="188"/>
        <v>0</v>
      </c>
      <c r="N79" s="5">
        <f t="shared" si="189"/>
        <v>5400</v>
      </c>
      <c r="O79" s="21">
        <f t="shared" si="190"/>
        <v>0</v>
      </c>
      <c r="P79" s="2">
        <f t="shared" si="191"/>
        <v>0</v>
      </c>
      <c r="Q79" s="2">
        <f t="shared" si="192"/>
        <v>0</v>
      </c>
      <c r="R79" s="5">
        <f t="shared" si="193"/>
        <v>0</v>
      </c>
      <c r="S79" s="2">
        <f t="shared" si="194"/>
        <v>0</v>
      </c>
      <c r="T79" s="2">
        <f t="shared" si="195"/>
        <v>0</v>
      </c>
      <c r="U79" s="102">
        <f t="shared" si="196"/>
        <v>0</v>
      </c>
      <c r="V79" s="102">
        <f t="shared" si="197"/>
        <v>0</v>
      </c>
      <c r="W79" s="6">
        <f t="shared" si="198"/>
        <v>0</v>
      </c>
      <c r="X79" s="5">
        <f t="shared" si="199"/>
        <v>0</v>
      </c>
      <c r="Y79" s="6">
        <f t="shared" si="200"/>
        <v>0</v>
      </c>
      <c r="Z79" s="5" t="e">
        <f t="shared" si="201"/>
        <v>#DIV/0!</v>
      </c>
      <c r="AA79" s="21">
        <f t="shared" si="202"/>
        <v>0</v>
      </c>
      <c r="AB79" s="6">
        <f t="shared" si="203"/>
        <v>0</v>
      </c>
      <c r="AC79" s="5" t="e">
        <f t="shared" si="204"/>
        <v>#DIV/0!</v>
      </c>
      <c r="AD79" s="6">
        <f t="shared" si="205"/>
        <v>0</v>
      </c>
      <c r="AE79" s="5">
        <f t="shared" si="206"/>
        <v>0</v>
      </c>
      <c r="AF79" s="21">
        <f t="shared" si="207"/>
        <v>0</v>
      </c>
      <c r="AG79" s="6">
        <f t="shared" si="208"/>
        <v>0</v>
      </c>
      <c r="AH79" s="5">
        <f t="shared" si="209"/>
        <v>0</v>
      </c>
      <c r="AI79" s="21">
        <f t="shared" si="210"/>
        <v>0</v>
      </c>
      <c r="AJ79" s="6">
        <f t="shared" si="211"/>
        <v>0</v>
      </c>
      <c r="AK79" s="5">
        <f t="shared" si="212"/>
        <v>0</v>
      </c>
      <c r="AL79" s="21">
        <f t="shared" si="213"/>
        <v>0</v>
      </c>
      <c r="AM79" s="21">
        <f t="shared" si="214"/>
        <v>0</v>
      </c>
      <c r="AN79" s="6">
        <f t="shared" si="215"/>
        <v>0</v>
      </c>
      <c r="AO79" s="5">
        <f t="shared" si="216"/>
        <v>0</v>
      </c>
      <c r="AP79" s="6">
        <f t="shared" si="217"/>
        <v>0</v>
      </c>
      <c r="AQ79" s="5">
        <f t="shared" si="218"/>
        <v>0</v>
      </c>
      <c r="AR79" s="2">
        <f t="shared" si="219"/>
        <v>0</v>
      </c>
      <c r="AS79" s="5">
        <f t="shared" si="220"/>
        <v>0</v>
      </c>
      <c r="AT79" s="21">
        <f t="shared" si="221"/>
        <v>0</v>
      </c>
      <c r="AU79" s="20">
        <f t="shared" si="222"/>
        <v>0</v>
      </c>
      <c r="AV79" s="20">
        <f t="shared" si="223"/>
        <v>1</v>
      </c>
      <c r="AW79" s="199">
        <f t="shared" si="224"/>
        <v>0</v>
      </c>
      <c r="AX79" s="24">
        <f t="shared" si="225"/>
        <v>0</v>
      </c>
      <c r="AY79" s="5">
        <f t="shared" si="226"/>
        <v>0</v>
      </c>
      <c r="AZ79" s="5">
        <f t="shared" si="227"/>
        <v>0</v>
      </c>
      <c r="BA79" s="5">
        <f t="shared" si="228"/>
        <v>0</v>
      </c>
      <c r="BB79" s="5">
        <f t="shared" si="229"/>
        <v>0</v>
      </c>
      <c r="BC79" s="5">
        <f t="shared" si="230"/>
        <v>0</v>
      </c>
      <c r="BD79" s="5">
        <f t="shared" si="231"/>
        <v>0</v>
      </c>
      <c r="BE79" s="199">
        <f t="shared" si="232"/>
        <v>0</v>
      </c>
      <c r="BF79" s="21">
        <f t="shared" si="233"/>
        <v>0</v>
      </c>
      <c r="BG79" s="6">
        <f t="shared" si="234"/>
        <v>0</v>
      </c>
      <c r="BH79" s="5" t="e">
        <f t="shared" si="235"/>
        <v>#DIV/0!</v>
      </c>
      <c r="BI79" s="6">
        <f t="shared" si="236"/>
        <v>0</v>
      </c>
      <c r="BJ79" s="5" t="e">
        <f t="shared" si="237"/>
        <v>#DIV/0!</v>
      </c>
      <c r="BK79" s="20">
        <f t="shared" si="238"/>
        <v>-9.9999999999999998E-13</v>
      </c>
      <c r="BL79" s="20">
        <f t="shared" si="239"/>
        <v>0</v>
      </c>
      <c r="BM79" s="6">
        <f t="shared" si="240"/>
        <v>0</v>
      </c>
      <c r="BN79" s="5">
        <f t="shared" si="241"/>
        <v>0</v>
      </c>
      <c r="BO79" s="333">
        <f t="shared" si="242"/>
        <v>0</v>
      </c>
      <c r="BP79" s="334">
        <f t="shared" si="243"/>
        <v>0</v>
      </c>
      <c r="BQ79" s="6">
        <f t="shared" si="244"/>
        <v>0</v>
      </c>
      <c r="BR79" s="5">
        <f t="shared" si="245"/>
        <v>0</v>
      </c>
      <c r="BS79" s="6">
        <f t="shared" si="246"/>
        <v>0</v>
      </c>
      <c r="BT79" s="5">
        <f t="shared" si="247"/>
        <v>0</v>
      </c>
      <c r="BU79" s="181">
        <f t="shared" si="248"/>
        <v>0</v>
      </c>
      <c r="BV79" s="154">
        <f t="shared" si="249"/>
        <v>0</v>
      </c>
      <c r="BW79" s="181">
        <f t="shared" si="250"/>
        <v>0</v>
      </c>
      <c r="BX79" s="180">
        <f t="shared" si="251"/>
        <v>0</v>
      </c>
      <c r="BY79" s="181">
        <f t="shared" si="252"/>
        <v>0</v>
      </c>
      <c r="BZ79" s="154">
        <f t="shared" si="253"/>
        <v>0</v>
      </c>
      <c r="CA79" s="182">
        <f t="shared" si="254"/>
        <v>0</v>
      </c>
      <c r="CB79" s="2">
        <f t="shared" si="255"/>
        <v>0</v>
      </c>
      <c r="CC79" s="2">
        <f t="shared" si="256"/>
        <v>0</v>
      </c>
      <c r="CD79" s="2">
        <f t="shared" si="257"/>
        <v>0</v>
      </c>
      <c r="CE79" s="2">
        <f t="shared" si="258"/>
        <v>0</v>
      </c>
      <c r="CF79" s="6">
        <f t="shared" si="259"/>
        <v>0</v>
      </c>
      <c r="CG79" s="6">
        <f t="shared" si="260"/>
        <v>0</v>
      </c>
      <c r="CH79" s="6">
        <f t="shared" si="261"/>
        <v>0</v>
      </c>
      <c r="CI79" s="20">
        <f t="shared" si="262"/>
        <v>0</v>
      </c>
      <c r="CJ79" s="133">
        <f t="shared" si="263"/>
        <v>2521</v>
      </c>
      <c r="CK79" s="5">
        <f t="shared" si="264"/>
        <v>0</v>
      </c>
      <c r="CL79" s="302" t="s">
        <v>1235</v>
      </c>
      <c r="CM79" s="298" t="s">
        <v>13</v>
      </c>
      <c r="CN79" s="298" t="s">
        <v>1307</v>
      </c>
      <c r="CO79" s="298">
        <v>21</v>
      </c>
      <c r="CP79" s="298" t="s">
        <v>1346</v>
      </c>
      <c r="CQ79" s="298" t="s">
        <v>1131</v>
      </c>
      <c r="CR79" s="298" t="s">
        <v>644</v>
      </c>
      <c r="CS79" s="298" t="s">
        <v>1347</v>
      </c>
      <c r="CT79" s="298" t="s">
        <v>593</v>
      </c>
      <c r="CU79" s="299">
        <v>47483</v>
      </c>
      <c r="CV79" s="298">
        <v>0</v>
      </c>
      <c r="CW79" s="298">
        <v>0</v>
      </c>
      <c r="CX79" s="298">
        <v>0</v>
      </c>
      <c r="CY79" s="298">
        <v>0</v>
      </c>
      <c r="CZ79" s="298">
        <v>0</v>
      </c>
      <c r="DA79" s="298">
        <v>0</v>
      </c>
      <c r="DB79" s="298">
        <v>0</v>
      </c>
      <c r="DC79" s="298">
        <v>0</v>
      </c>
      <c r="DD79" s="298">
        <v>0</v>
      </c>
      <c r="DE79" s="298">
        <v>0</v>
      </c>
      <c r="DF79" s="298">
        <v>0</v>
      </c>
      <c r="DG79" s="298">
        <v>0</v>
      </c>
      <c r="DH79" s="298">
        <v>0</v>
      </c>
      <c r="DI79" s="298">
        <v>0</v>
      </c>
      <c r="DJ79" s="298">
        <v>0</v>
      </c>
      <c r="DK79" s="298">
        <v>0</v>
      </c>
      <c r="DL79" s="298">
        <v>0</v>
      </c>
      <c r="DM79" s="298">
        <v>0</v>
      </c>
      <c r="DN79" s="298">
        <v>0</v>
      </c>
      <c r="DO79" s="298">
        <v>0</v>
      </c>
      <c r="DP79" s="298">
        <v>0</v>
      </c>
      <c r="DQ79" s="298">
        <v>0</v>
      </c>
      <c r="DR79" s="298">
        <v>0</v>
      </c>
      <c r="DS79" s="298">
        <v>0</v>
      </c>
      <c r="DT79" s="298">
        <v>0</v>
      </c>
      <c r="DU79" s="298">
        <v>0</v>
      </c>
      <c r="DV79" s="303" t="s">
        <v>548</v>
      </c>
    </row>
    <row r="80" spans="1:126" ht="24.95" customHeight="1" thickBot="1" x14ac:dyDescent="0.3">
      <c r="A80" s="29" t="str">
        <f t="shared" si="176"/>
        <v>79º</v>
      </c>
      <c r="B80" s="69" t="str">
        <f t="shared" si="178"/>
        <v>Cláudio Vitor</v>
      </c>
      <c r="C80" s="269" t="str">
        <f t="shared" si="179"/>
        <v>BRA</v>
      </c>
      <c r="D80" s="99" t="str">
        <f t="shared" si="180"/>
        <v>Pé Direito</v>
      </c>
      <c r="E80" s="28" t="str">
        <f t="shared" si="181"/>
        <v>PAY</v>
      </c>
      <c r="F80" s="169">
        <f t="shared" si="182"/>
        <v>25</v>
      </c>
      <c r="G80" s="2" t="str">
        <f t="shared" si="183"/>
        <v>0 € - 1m €</v>
      </c>
      <c r="H80" s="154">
        <f t="shared" si="184"/>
        <v>1.87</v>
      </c>
      <c r="I80" s="64">
        <f t="shared" si="185"/>
        <v>47118</v>
      </c>
      <c r="J80" s="304" t="str">
        <f t="shared" si="186"/>
        <v>1,9m € p/m</v>
      </c>
      <c r="K80" s="96">
        <f t="shared" si="177"/>
        <v>3.5222222222222221</v>
      </c>
      <c r="L80" s="146">
        <f t="shared" si="187"/>
        <v>0</v>
      </c>
      <c r="M80" s="6">
        <f t="shared" si="188"/>
        <v>0</v>
      </c>
      <c r="N80" s="5">
        <f t="shared" si="189"/>
        <v>5400</v>
      </c>
      <c r="O80" s="21">
        <f t="shared" si="190"/>
        <v>0</v>
      </c>
      <c r="P80" s="2">
        <f t="shared" si="191"/>
        <v>0</v>
      </c>
      <c r="Q80" s="2">
        <f t="shared" si="192"/>
        <v>0</v>
      </c>
      <c r="R80" s="5">
        <f t="shared" si="193"/>
        <v>0</v>
      </c>
      <c r="S80" s="2">
        <f t="shared" si="194"/>
        <v>0</v>
      </c>
      <c r="T80" s="2">
        <f t="shared" si="195"/>
        <v>0</v>
      </c>
      <c r="U80" s="102">
        <f t="shared" si="196"/>
        <v>0</v>
      </c>
      <c r="V80" s="102">
        <f t="shared" si="197"/>
        <v>0</v>
      </c>
      <c r="W80" s="6">
        <f t="shared" si="198"/>
        <v>0</v>
      </c>
      <c r="X80" s="5">
        <f t="shared" si="199"/>
        <v>0</v>
      </c>
      <c r="Y80" s="6">
        <f t="shared" si="200"/>
        <v>0</v>
      </c>
      <c r="Z80" s="5" t="e">
        <f t="shared" si="201"/>
        <v>#DIV/0!</v>
      </c>
      <c r="AA80" s="21">
        <f t="shared" si="202"/>
        <v>0</v>
      </c>
      <c r="AB80" s="6">
        <f t="shared" si="203"/>
        <v>0</v>
      </c>
      <c r="AC80" s="5" t="e">
        <f t="shared" si="204"/>
        <v>#DIV/0!</v>
      </c>
      <c r="AD80" s="6">
        <f t="shared" si="205"/>
        <v>0</v>
      </c>
      <c r="AE80" s="5">
        <f t="shared" si="206"/>
        <v>0</v>
      </c>
      <c r="AF80" s="21">
        <f t="shared" si="207"/>
        <v>0</v>
      </c>
      <c r="AG80" s="6">
        <f t="shared" si="208"/>
        <v>0</v>
      </c>
      <c r="AH80" s="5">
        <f t="shared" si="209"/>
        <v>0</v>
      </c>
      <c r="AI80" s="21">
        <f t="shared" si="210"/>
        <v>0</v>
      </c>
      <c r="AJ80" s="6">
        <f t="shared" si="211"/>
        <v>0</v>
      </c>
      <c r="AK80" s="5">
        <f t="shared" si="212"/>
        <v>0</v>
      </c>
      <c r="AL80" s="21">
        <f t="shared" si="213"/>
        <v>0</v>
      </c>
      <c r="AM80" s="21">
        <f t="shared" si="214"/>
        <v>0</v>
      </c>
      <c r="AN80" s="6">
        <f t="shared" si="215"/>
        <v>0</v>
      </c>
      <c r="AO80" s="5">
        <f t="shared" si="216"/>
        <v>0</v>
      </c>
      <c r="AP80" s="6">
        <f t="shared" si="217"/>
        <v>0</v>
      </c>
      <c r="AQ80" s="5">
        <f t="shared" si="218"/>
        <v>0</v>
      </c>
      <c r="AR80" s="2">
        <f t="shared" si="219"/>
        <v>0</v>
      </c>
      <c r="AS80" s="5">
        <f t="shared" si="220"/>
        <v>0</v>
      </c>
      <c r="AT80" s="21">
        <f t="shared" si="221"/>
        <v>0</v>
      </c>
      <c r="AU80" s="20">
        <f t="shared" si="222"/>
        <v>0</v>
      </c>
      <c r="AV80" s="20">
        <f t="shared" si="223"/>
        <v>1</v>
      </c>
      <c r="AW80" s="199">
        <f t="shared" si="224"/>
        <v>0</v>
      </c>
      <c r="AX80" s="24">
        <f t="shared" si="225"/>
        <v>0</v>
      </c>
      <c r="AY80" s="5">
        <f t="shared" si="226"/>
        <v>0</v>
      </c>
      <c r="AZ80" s="5">
        <f t="shared" si="227"/>
        <v>0</v>
      </c>
      <c r="BA80" s="5">
        <f t="shared" si="228"/>
        <v>0</v>
      </c>
      <c r="BB80" s="5">
        <f t="shared" si="229"/>
        <v>0</v>
      </c>
      <c r="BC80" s="5">
        <f t="shared" si="230"/>
        <v>0</v>
      </c>
      <c r="BD80" s="5">
        <f t="shared" si="231"/>
        <v>0</v>
      </c>
      <c r="BE80" s="199">
        <f t="shared" si="232"/>
        <v>0</v>
      </c>
      <c r="BF80" s="21">
        <f t="shared" si="233"/>
        <v>0</v>
      </c>
      <c r="BG80" s="6">
        <f t="shared" si="234"/>
        <v>0</v>
      </c>
      <c r="BH80" s="5" t="e">
        <f t="shared" si="235"/>
        <v>#DIV/0!</v>
      </c>
      <c r="BI80" s="6">
        <f t="shared" si="236"/>
        <v>0</v>
      </c>
      <c r="BJ80" s="5" t="e">
        <f t="shared" si="237"/>
        <v>#DIV/0!</v>
      </c>
      <c r="BK80" s="20">
        <f t="shared" si="238"/>
        <v>-9.9999999999999998E-13</v>
      </c>
      <c r="BL80" s="20">
        <f t="shared" si="239"/>
        <v>0</v>
      </c>
      <c r="BM80" s="6">
        <f t="shared" si="240"/>
        <v>0</v>
      </c>
      <c r="BN80" s="5">
        <f t="shared" si="241"/>
        <v>0</v>
      </c>
      <c r="BO80" s="333">
        <f t="shared" si="242"/>
        <v>0</v>
      </c>
      <c r="BP80" s="334">
        <f t="shared" si="243"/>
        <v>0</v>
      </c>
      <c r="BQ80" s="6">
        <f t="shared" si="244"/>
        <v>0</v>
      </c>
      <c r="BR80" s="5">
        <f t="shared" si="245"/>
        <v>0</v>
      </c>
      <c r="BS80" s="6">
        <f t="shared" si="246"/>
        <v>0</v>
      </c>
      <c r="BT80" s="5">
        <f t="shared" si="247"/>
        <v>0</v>
      </c>
      <c r="BU80" s="181">
        <f t="shared" si="248"/>
        <v>0</v>
      </c>
      <c r="BV80" s="154">
        <f t="shared" si="249"/>
        <v>0</v>
      </c>
      <c r="BW80" s="181">
        <f t="shared" si="250"/>
        <v>0</v>
      </c>
      <c r="BX80" s="180">
        <f t="shared" si="251"/>
        <v>0</v>
      </c>
      <c r="BY80" s="181">
        <f t="shared" si="252"/>
        <v>0</v>
      </c>
      <c r="BZ80" s="154">
        <f t="shared" si="253"/>
        <v>0</v>
      </c>
      <c r="CA80" s="182">
        <f t="shared" si="254"/>
        <v>0</v>
      </c>
      <c r="CB80" s="2">
        <f t="shared" si="255"/>
        <v>0</v>
      </c>
      <c r="CC80" s="2">
        <f t="shared" si="256"/>
        <v>0</v>
      </c>
      <c r="CD80" s="2">
        <f t="shared" si="257"/>
        <v>0</v>
      </c>
      <c r="CE80" s="2">
        <f t="shared" si="258"/>
        <v>0</v>
      </c>
      <c r="CF80" s="6">
        <f t="shared" si="259"/>
        <v>0</v>
      </c>
      <c r="CG80" s="6">
        <f t="shared" si="260"/>
        <v>0</v>
      </c>
      <c r="CH80" s="6">
        <f t="shared" si="261"/>
        <v>0</v>
      </c>
      <c r="CI80" s="20">
        <f t="shared" si="262"/>
        <v>0</v>
      </c>
      <c r="CJ80" s="133">
        <f t="shared" si="263"/>
        <v>2521</v>
      </c>
      <c r="CK80" s="5">
        <f t="shared" si="264"/>
        <v>0</v>
      </c>
      <c r="CL80" s="300"/>
      <c r="CM80" s="296" t="s">
        <v>13</v>
      </c>
      <c r="CN80" s="296" t="s">
        <v>1348</v>
      </c>
      <c r="CO80" s="296">
        <v>25</v>
      </c>
      <c r="CP80" s="296" t="s">
        <v>1349</v>
      </c>
      <c r="CQ80" s="296" t="s">
        <v>1350</v>
      </c>
      <c r="CR80" s="296" t="s">
        <v>644</v>
      </c>
      <c r="CS80" s="296" t="s">
        <v>1351</v>
      </c>
      <c r="CT80" s="296" t="s">
        <v>911</v>
      </c>
      <c r="CU80" s="297">
        <v>47118</v>
      </c>
      <c r="CV80" s="296">
        <v>0</v>
      </c>
      <c r="CW80" s="296">
        <v>0</v>
      </c>
      <c r="CX80" s="296">
        <v>0</v>
      </c>
      <c r="CY80" s="296">
        <v>0</v>
      </c>
      <c r="CZ80" s="296">
        <v>0</v>
      </c>
      <c r="DA80" s="296">
        <v>0</v>
      </c>
      <c r="DB80" s="296">
        <v>0</v>
      </c>
      <c r="DC80" s="296">
        <v>0</v>
      </c>
      <c r="DD80" s="296">
        <v>0</v>
      </c>
      <c r="DE80" s="296">
        <v>0</v>
      </c>
      <c r="DF80" s="296">
        <v>0</v>
      </c>
      <c r="DG80" s="296">
        <v>0</v>
      </c>
      <c r="DH80" s="296">
        <v>0</v>
      </c>
      <c r="DI80" s="296">
        <v>0</v>
      </c>
      <c r="DJ80" s="296">
        <v>0</v>
      </c>
      <c r="DK80" s="296">
        <v>0</v>
      </c>
      <c r="DL80" s="296">
        <v>0</v>
      </c>
      <c r="DM80" s="296">
        <v>0</v>
      </c>
      <c r="DN80" s="296">
        <v>0</v>
      </c>
      <c r="DO80" s="296">
        <v>0</v>
      </c>
      <c r="DP80" s="296">
        <v>0</v>
      </c>
      <c r="DQ80" s="296">
        <v>0</v>
      </c>
      <c r="DR80" s="296">
        <v>0</v>
      </c>
      <c r="DS80" s="296">
        <v>0</v>
      </c>
      <c r="DT80" s="296">
        <v>0</v>
      </c>
      <c r="DU80" s="296">
        <v>0</v>
      </c>
      <c r="DV80" s="301" t="s">
        <v>548</v>
      </c>
    </row>
    <row r="81" spans="1:126" ht="24.95" customHeight="1" thickBot="1" x14ac:dyDescent="0.3">
      <c r="A81" s="29" t="str">
        <f t="shared" si="176"/>
        <v>80º</v>
      </c>
      <c r="B81" s="69" t="str">
        <f t="shared" si="178"/>
        <v>Luiz Xavier</v>
      </c>
      <c r="C81" s="269" t="str">
        <f t="shared" si="179"/>
        <v>BRA</v>
      </c>
      <c r="D81" s="99" t="str">
        <f t="shared" si="180"/>
        <v>Pé Direito</v>
      </c>
      <c r="E81" s="28" t="str">
        <f t="shared" si="181"/>
        <v>Belenenses</v>
      </c>
      <c r="F81" s="169">
        <f t="shared" si="182"/>
        <v>20</v>
      </c>
      <c r="G81" s="2" t="str">
        <f t="shared" si="183"/>
        <v>1,5m € - 14m €</v>
      </c>
      <c r="H81" s="154">
        <f t="shared" si="184"/>
        <v>1.9</v>
      </c>
      <c r="I81" s="64">
        <f t="shared" si="185"/>
        <v>47299</v>
      </c>
      <c r="J81" s="304" t="str">
        <f t="shared" si="186"/>
        <v>4,8m € p/m</v>
      </c>
      <c r="K81" s="96">
        <f t="shared" si="177"/>
        <v>3.5222222222222221</v>
      </c>
      <c r="L81" s="146">
        <f t="shared" si="187"/>
        <v>0</v>
      </c>
      <c r="M81" s="6">
        <f t="shared" si="188"/>
        <v>0</v>
      </c>
      <c r="N81" s="5">
        <f t="shared" si="189"/>
        <v>5400</v>
      </c>
      <c r="O81" s="21">
        <f t="shared" si="190"/>
        <v>0</v>
      </c>
      <c r="P81" s="2">
        <f t="shared" si="191"/>
        <v>0</v>
      </c>
      <c r="Q81" s="2">
        <f t="shared" si="192"/>
        <v>0</v>
      </c>
      <c r="R81" s="5">
        <f t="shared" si="193"/>
        <v>0</v>
      </c>
      <c r="S81" s="2">
        <f t="shared" si="194"/>
        <v>0</v>
      </c>
      <c r="T81" s="2">
        <f t="shared" si="195"/>
        <v>0</v>
      </c>
      <c r="U81" s="102">
        <f t="shared" si="196"/>
        <v>0</v>
      </c>
      <c r="V81" s="102">
        <f t="shared" si="197"/>
        <v>0</v>
      </c>
      <c r="W81" s="6">
        <f t="shared" si="198"/>
        <v>0</v>
      </c>
      <c r="X81" s="5">
        <f t="shared" si="199"/>
        <v>0</v>
      </c>
      <c r="Y81" s="6">
        <f t="shared" si="200"/>
        <v>0</v>
      </c>
      <c r="Z81" s="5" t="e">
        <f t="shared" si="201"/>
        <v>#DIV/0!</v>
      </c>
      <c r="AA81" s="21">
        <f t="shared" si="202"/>
        <v>0</v>
      </c>
      <c r="AB81" s="6">
        <f t="shared" si="203"/>
        <v>0</v>
      </c>
      <c r="AC81" s="5" t="e">
        <f t="shared" si="204"/>
        <v>#DIV/0!</v>
      </c>
      <c r="AD81" s="6">
        <f t="shared" si="205"/>
        <v>0</v>
      </c>
      <c r="AE81" s="5">
        <f t="shared" si="206"/>
        <v>0</v>
      </c>
      <c r="AF81" s="21">
        <f t="shared" si="207"/>
        <v>0</v>
      </c>
      <c r="AG81" s="6">
        <f t="shared" si="208"/>
        <v>0</v>
      </c>
      <c r="AH81" s="5">
        <f t="shared" si="209"/>
        <v>0</v>
      </c>
      <c r="AI81" s="21">
        <f t="shared" si="210"/>
        <v>0</v>
      </c>
      <c r="AJ81" s="6">
        <f t="shared" si="211"/>
        <v>0</v>
      </c>
      <c r="AK81" s="5">
        <f t="shared" si="212"/>
        <v>0</v>
      </c>
      <c r="AL81" s="21">
        <f t="shared" si="213"/>
        <v>0</v>
      </c>
      <c r="AM81" s="21">
        <f t="shared" si="214"/>
        <v>0</v>
      </c>
      <c r="AN81" s="6">
        <f t="shared" si="215"/>
        <v>0</v>
      </c>
      <c r="AO81" s="5">
        <f t="shared" si="216"/>
        <v>0</v>
      </c>
      <c r="AP81" s="6">
        <f t="shared" si="217"/>
        <v>0</v>
      </c>
      <c r="AQ81" s="5">
        <f t="shared" si="218"/>
        <v>0</v>
      </c>
      <c r="AR81" s="2">
        <f t="shared" si="219"/>
        <v>0</v>
      </c>
      <c r="AS81" s="5">
        <f t="shared" si="220"/>
        <v>0</v>
      </c>
      <c r="AT81" s="21">
        <f t="shared" si="221"/>
        <v>0</v>
      </c>
      <c r="AU81" s="20">
        <f t="shared" si="222"/>
        <v>0</v>
      </c>
      <c r="AV81" s="20">
        <f t="shared" si="223"/>
        <v>1</v>
      </c>
      <c r="AW81" s="199">
        <f t="shared" si="224"/>
        <v>0</v>
      </c>
      <c r="AX81" s="24">
        <f t="shared" si="225"/>
        <v>0</v>
      </c>
      <c r="AY81" s="5">
        <f t="shared" si="226"/>
        <v>0</v>
      </c>
      <c r="AZ81" s="5">
        <f t="shared" si="227"/>
        <v>0</v>
      </c>
      <c r="BA81" s="5">
        <f t="shared" si="228"/>
        <v>0</v>
      </c>
      <c r="BB81" s="5">
        <f t="shared" si="229"/>
        <v>0</v>
      </c>
      <c r="BC81" s="5">
        <f t="shared" si="230"/>
        <v>0</v>
      </c>
      <c r="BD81" s="5">
        <f t="shared" si="231"/>
        <v>0</v>
      </c>
      <c r="BE81" s="199">
        <f t="shared" si="232"/>
        <v>0</v>
      </c>
      <c r="BF81" s="21">
        <f t="shared" si="233"/>
        <v>0</v>
      </c>
      <c r="BG81" s="6">
        <f t="shared" si="234"/>
        <v>0</v>
      </c>
      <c r="BH81" s="5" t="e">
        <f t="shared" si="235"/>
        <v>#DIV/0!</v>
      </c>
      <c r="BI81" s="6">
        <f t="shared" si="236"/>
        <v>0</v>
      </c>
      <c r="BJ81" s="5" t="e">
        <f t="shared" si="237"/>
        <v>#DIV/0!</v>
      </c>
      <c r="BK81" s="20">
        <f t="shared" si="238"/>
        <v>-9.9999999999999998E-13</v>
      </c>
      <c r="BL81" s="20">
        <f t="shared" si="239"/>
        <v>0</v>
      </c>
      <c r="BM81" s="6">
        <f t="shared" si="240"/>
        <v>0</v>
      </c>
      <c r="BN81" s="5">
        <f t="shared" si="241"/>
        <v>0</v>
      </c>
      <c r="BO81" s="333">
        <f t="shared" si="242"/>
        <v>0</v>
      </c>
      <c r="BP81" s="334">
        <f t="shared" si="243"/>
        <v>0</v>
      </c>
      <c r="BQ81" s="6">
        <f t="shared" si="244"/>
        <v>0</v>
      </c>
      <c r="BR81" s="5">
        <f t="shared" si="245"/>
        <v>0</v>
      </c>
      <c r="BS81" s="6">
        <f t="shared" si="246"/>
        <v>0</v>
      </c>
      <c r="BT81" s="5">
        <f t="shared" si="247"/>
        <v>0</v>
      </c>
      <c r="BU81" s="181">
        <f t="shared" si="248"/>
        <v>0</v>
      </c>
      <c r="BV81" s="154">
        <f t="shared" si="249"/>
        <v>0</v>
      </c>
      <c r="BW81" s="181">
        <f t="shared" si="250"/>
        <v>0</v>
      </c>
      <c r="BX81" s="180">
        <f t="shared" si="251"/>
        <v>0</v>
      </c>
      <c r="BY81" s="181">
        <f t="shared" si="252"/>
        <v>0</v>
      </c>
      <c r="BZ81" s="154">
        <f t="shared" si="253"/>
        <v>0</v>
      </c>
      <c r="CA81" s="182">
        <f t="shared" si="254"/>
        <v>0</v>
      </c>
      <c r="CB81" s="2">
        <f t="shared" si="255"/>
        <v>0</v>
      </c>
      <c r="CC81" s="2">
        <f t="shared" si="256"/>
        <v>0</v>
      </c>
      <c r="CD81" s="2">
        <f t="shared" si="257"/>
        <v>0</v>
      </c>
      <c r="CE81" s="2">
        <f t="shared" si="258"/>
        <v>0</v>
      </c>
      <c r="CF81" s="6">
        <f t="shared" si="259"/>
        <v>0</v>
      </c>
      <c r="CG81" s="6">
        <f t="shared" si="260"/>
        <v>0</v>
      </c>
      <c r="CH81" s="6">
        <f t="shared" si="261"/>
        <v>0</v>
      </c>
      <c r="CI81" s="20">
        <f t="shared" si="262"/>
        <v>0</v>
      </c>
      <c r="CJ81" s="133">
        <f t="shared" si="263"/>
        <v>2521</v>
      </c>
      <c r="CK81" s="5">
        <f t="shared" si="264"/>
        <v>0</v>
      </c>
      <c r="CL81" s="302"/>
      <c r="CM81" s="298" t="s">
        <v>13</v>
      </c>
      <c r="CN81" s="298" t="s">
        <v>1352</v>
      </c>
      <c r="CO81" s="298">
        <v>20</v>
      </c>
      <c r="CP81" s="298" t="s">
        <v>1353</v>
      </c>
      <c r="CQ81" s="298" t="s">
        <v>1354</v>
      </c>
      <c r="CR81" s="298" t="s">
        <v>644</v>
      </c>
      <c r="CS81" s="298" t="s">
        <v>1355</v>
      </c>
      <c r="CT81" s="298" t="s">
        <v>682</v>
      </c>
      <c r="CU81" s="299">
        <v>47299</v>
      </c>
      <c r="CV81" s="298">
        <v>0</v>
      </c>
      <c r="CW81" s="298">
        <v>0</v>
      </c>
      <c r="CX81" s="298">
        <v>0</v>
      </c>
      <c r="CY81" s="298">
        <v>0</v>
      </c>
      <c r="CZ81" s="298">
        <v>0</v>
      </c>
      <c r="DA81" s="298">
        <v>0</v>
      </c>
      <c r="DB81" s="298">
        <v>0</v>
      </c>
      <c r="DC81" s="298">
        <v>0</v>
      </c>
      <c r="DD81" s="298">
        <v>0</v>
      </c>
      <c r="DE81" s="298">
        <v>0</v>
      </c>
      <c r="DF81" s="298">
        <v>0</v>
      </c>
      <c r="DG81" s="298">
        <v>0</v>
      </c>
      <c r="DH81" s="298">
        <v>0</v>
      </c>
      <c r="DI81" s="298">
        <v>0</v>
      </c>
      <c r="DJ81" s="298">
        <v>0</v>
      </c>
      <c r="DK81" s="298">
        <v>0</v>
      </c>
      <c r="DL81" s="298">
        <v>0</v>
      </c>
      <c r="DM81" s="298">
        <v>0</v>
      </c>
      <c r="DN81" s="298">
        <v>0</v>
      </c>
      <c r="DO81" s="298">
        <v>0</v>
      </c>
      <c r="DP81" s="298">
        <v>0</v>
      </c>
      <c r="DQ81" s="298">
        <v>0</v>
      </c>
      <c r="DR81" s="298">
        <v>0</v>
      </c>
      <c r="DS81" s="298">
        <v>0</v>
      </c>
      <c r="DT81" s="298">
        <v>0</v>
      </c>
      <c r="DU81" s="298">
        <v>0</v>
      </c>
      <c r="DV81" s="303" t="s">
        <v>548</v>
      </c>
    </row>
    <row r="82" spans="1:126" ht="24.95" customHeight="1" thickBot="1" x14ac:dyDescent="0.3">
      <c r="A82" s="29" t="str">
        <f t="shared" si="176"/>
        <v>81º</v>
      </c>
      <c r="B82" s="69" t="str">
        <f t="shared" si="178"/>
        <v>Guilherme Alves</v>
      </c>
      <c r="C82" s="269" t="str">
        <f t="shared" si="179"/>
        <v>BRA</v>
      </c>
      <c r="D82" s="99" t="str">
        <f t="shared" si="180"/>
        <v>Pé Direito</v>
      </c>
      <c r="E82" s="28" t="str">
        <f t="shared" si="181"/>
        <v>SBE</v>
      </c>
      <c r="F82" s="169">
        <f t="shared" si="182"/>
        <v>20</v>
      </c>
      <c r="G82" s="2" t="str">
        <f t="shared" si="183"/>
        <v>0 €</v>
      </c>
      <c r="H82" s="154">
        <f t="shared" si="184"/>
        <v>1.92</v>
      </c>
      <c r="I82" s="64">
        <f t="shared" si="185"/>
        <v>47118</v>
      </c>
      <c r="J82" s="304" t="str">
        <f t="shared" si="186"/>
        <v>1,2m € p/m</v>
      </c>
      <c r="K82" s="96">
        <f t="shared" si="177"/>
        <v>3.5222222222222221</v>
      </c>
      <c r="L82" s="146">
        <f t="shared" si="187"/>
        <v>19</v>
      </c>
      <c r="M82" s="6">
        <f t="shared" si="188"/>
        <v>0</v>
      </c>
      <c r="N82" s="5">
        <f t="shared" si="189"/>
        <v>5400</v>
      </c>
      <c r="O82" s="21">
        <f t="shared" si="190"/>
        <v>0</v>
      </c>
      <c r="P82" s="2">
        <f t="shared" si="191"/>
        <v>380</v>
      </c>
      <c r="Q82" s="2">
        <f t="shared" si="192"/>
        <v>226</v>
      </c>
      <c r="R82" s="5">
        <f t="shared" si="193"/>
        <v>11.894736842105264</v>
      </c>
      <c r="S82" s="2">
        <f t="shared" si="194"/>
        <v>154</v>
      </c>
      <c r="T82" s="2">
        <f t="shared" si="195"/>
        <v>72</v>
      </c>
      <c r="U82" s="102">
        <f t="shared" si="196"/>
        <v>0.40526315789473683</v>
      </c>
      <c r="V82" s="102">
        <f t="shared" si="197"/>
        <v>0.59473684210526312</v>
      </c>
      <c r="W82" s="6">
        <f t="shared" si="198"/>
        <v>380</v>
      </c>
      <c r="X82" s="5">
        <f t="shared" si="199"/>
        <v>20</v>
      </c>
      <c r="Y82" s="6">
        <f t="shared" si="200"/>
        <v>0</v>
      </c>
      <c r="Z82" s="5">
        <f t="shared" si="201"/>
        <v>0</v>
      </c>
      <c r="AA82" s="21">
        <f t="shared" si="202"/>
        <v>0</v>
      </c>
      <c r="AB82" s="6">
        <f t="shared" si="203"/>
        <v>0</v>
      </c>
      <c r="AC82" s="5">
        <f t="shared" si="204"/>
        <v>0</v>
      </c>
      <c r="AD82" s="6">
        <f t="shared" si="205"/>
        <v>0</v>
      </c>
      <c r="AE82" s="5">
        <f t="shared" si="206"/>
        <v>0</v>
      </c>
      <c r="AF82" s="21">
        <f t="shared" si="207"/>
        <v>0</v>
      </c>
      <c r="AG82" s="6">
        <f t="shared" si="208"/>
        <v>0</v>
      </c>
      <c r="AH82" s="5">
        <f t="shared" si="209"/>
        <v>0</v>
      </c>
      <c r="AI82" s="21">
        <f t="shared" si="210"/>
        <v>0</v>
      </c>
      <c r="AJ82" s="6">
        <f t="shared" si="211"/>
        <v>0</v>
      </c>
      <c r="AK82" s="5">
        <f t="shared" si="212"/>
        <v>0</v>
      </c>
      <c r="AL82" s="21">
        <f t="shared" si="213"/>
        <v>0</v>
      </c>
      <c r="AM82" s="21">
        <f t="shared" si="214"/>
        <v>0.10526315789473684</v>
      </c>
      <c r="AN82" s="6">
        <f t="shared" si="215"/>
        <v>2</v>
      </c>
      <c r="AO82" s="5">
        <f t="shared" si="216"/>
        <v>0.10526315789473684</v>
      </c>
      <c r="AP82" s="6">
        <f t="shared" si="217"/>
        <v>0</v>
      </c>
      <c r="AQ82" s="5">
        <f t="shared" si="218"/>
        <v>0</v>
      </c>
      <c r="AR82" s="2">
        <f t="shared" si="219"/>
        <v>28</v>
      </c>
      <c r="AS82" s="5">
        <f t="shared" si="220"/>
        <v>1.4736842105263157</v>
      </c>
      <c r="AT82" s="21">
        <f t="shared" si="221"/>
        <v>0</v>
      </c>
      <c r="AU82" s="20">
        <f t="shared" si="222"/>
        <v>0</v>
      </c>
      <c r="AV82" s="20">
        <f t="shared" si="223"/>
        <v>1</v>
      </c>
      <c r="AW82" s="199">
        <f t="shared" si="224"/>
        <v>0</v>
      </c>
      <c r="AX82" s="24">
        <f t="shared" si="225"/>
        <v>61.071428571428569</v>
      </c>
      <c r="AY82" s="5">
        <f t="shared" si="226"/>
        <v>1</v>
      </c>
      <c r="AZ82" s="5">
        <f t="shared" si="227"/>
        <v>1</v>
      </c>
      <c r="BA82" s="5">
        <f t="shared" si="228"/>
        <v>0</v>
      </c>
      <c r="BB82" s="5">
        <f t="shared" si="229"/>
        <v>0</v>
      </c>
      <c r="BC82" s="5">
        <f t="shared" si="230"/>
        <v>0</v>
      </c>
      <c r="BD82" s="5">
        <f t="shared" si="231"/>
        <v>0</v>
      </c>
      <c r="BE82" s="199">
        <f t="shared" si="232"/>
        <v>0</v>
      </c>
      <c r="BF82" s="21">
        <f t="shared" si="233"/>
        <v>0</v>
      </c>
      <c r="BG82" s="6">
        <f t="shared" si="234"/>
        <v>0</v>
      </c>
      <c r="BH82" s="5">
        <f t="shared" si="235"/>
        <v>0</v>
      </c>
      <c r="BI82" s="6">
        <f t="shared" si="236"/>
        <v>0</v>
      </c>
      <c r="BJ82" s="5">
        <f t="shared" si="237"/>
        <v>0</v>
      </c>
      <c r="BK82" s="20">
        <f t="shared" si="238"/>
        <v>-9.9999999999999998E-13</v>
      </c>
      <c r="BL82" s="20">
        <f t="shared" si="239"/>
        <v>1.8880647336480108E-2</v>
      </c>
      <c r="BM82" s="6">
        <f t="shared" si="240"/>
        <v>28</v>
      </c>
      <c r="BN82" s="5">
        <f t="shared" si="241"/>
        <v>1.4736842105263157</v>
      </c>
      <c r="BO82" s="333">
        <f t="shared" si="242"/>
        <v>0</v>
      </c>
      <c r="BP82" s="334">
        <f t="shared" si="243"/>
        <v>0</v>
      </c>
      <c r="BQ82" s="6">
        <f t="shared" si="244"/>
        <v>0</v>
      </c>
      <c r="BR82" s="5">
        <f t="shared" si="245"/>
        <v>0</v>
      </c>
      <c r="BS82" s="6">
        <f t="shared" si="246"/>
        <v>0</v>
      </c>
      <c r="BT82" s="5">
        <f t="shared" si="247"/>
        <v>0</v>
      </c>
      <c r="BU82" s="181">
        <f t="shared" si="248"/>
        <v>0</v>
      </c>
      <c r="BV82" s="154">
        <f t="shared" si="249"/>
        <v>0</v>
      </c>
      <c r="BW82" s="181">
        <f t="shared" si="250"/>
        <v>0</v>
      </c>
      <c r="BX82" s="180">
        <f t="shared" si="251"/>
        <v>0</v>
      </c>
      <c r="BY82" s="181">
        <f t="shared" si="252"/>
        <v>0</v>
      </c>
      <c r="BZ82" s="154">
        <f t="shared" si="253"/>
        <v>0</v>
      </c>
      <c r="CA82" s="182">
        <f t="shared" si="254"/>
        <v>0</v>
      </c>
      <c r="CB82" s="2">
        <f t="shared" si="255"/>
        <v>0</v>
      </c>
      <c r="CC82" s="2">
        <f t="shared" si="256"/>
        <v>0</v>
      </c>
      <c r="CD82" s="2">
        <f t="shared" si="257"/>
        <v>0</v>
      </c>
      <c r="CE82" s="2">
        <f t="shared" si="258"/>
        <v>7</v>
      </c>
      <c r="CF82" s="6">
        <f t="shared" si="259"/>
        <v>0</v>
      </c>
      <c r="CG82" s="6">
        <f t="shared" si="260"/>
        <v>412</v>
      </c>
      <c r="CH82" s="6">
        <f t="shared" si="261"/>
        <v>226</v>
      </c>
      <c r="CI82" s="20">
        <f t="shared" si="262"/>
        <v>0.54854368932038833</v>
      </c>
      <c r="CJ82" s="133">
        <f t="shared" si="263"/>
        <v>2521</v>
      </c>
      <c r="CK82" s="5">
        <f t="shared" si="264"/>
        <v>6.88</v>
      </c>
      <c r="CL82" s="300"/>
      <c r="CM82" s="296" t="s">
        <v>13</v>
      </c>
      <c r="CN82" s="296" t="s">
        <v>1356</v>
      </c>
      <c r="CO82" s="296">
        <v>20</v>
      </c>
      <c r="CP82" s="296" t="s">
        <v>1357</v>
      </c>
      <c r="CQ82" s="296" t="s">
        <v>1131</v>
      </c>
      <c r="CR82" s="296" t="s">
        <v>644</v>
      </c>
      <c r="CS82" s="296" t="s">
        <v>1163</v>
      </c>
      <c r="CT82" s="296" t="s">
        <v>549</v>
      </c>
      <c r="CU82" s="297">
        <v>47118</v>
      </c>
      <c r="CV82" s="296">
        <v>0</v>
      </c>
      <c r="CW82" s="296">
        <v>1710</v>
      </c>
      <c r="CX82" s="296">
        <v>28</v>
      </c>
      <c r="CY82" s="296">
        <v>0</v>
      </c>
      <c r="CZ82" s="296">
        <v>0</v>
      </c>
      <c r="DA82" s="296">
        <v>0</v>
      </c>
      <c r="DB82" s="296">
        <v>0</v>
      </c>
      <c r="DC82" s="296">
        <v>0</v>
      </c>
      <c r="DD82" s="296">
        <v>0</v>
      </c>
      <c r="DE82" s="296">
        <v>2</v>
      </c>
      <c r="DF82" s="296">
        <v>0</v>
      </c>
      <c r="DG82" s="296">
        <v>0</v>
      </c>
      <c r="DH82" s="296">
        <v>0</v>
      </c>
      <c r="DI82" s="296">
        <v>7</v>
      </c>
      <c r="DJ82" s="296">
        <v>0</v>
      </c>
      <c r="DK82" s="296">
        <v>0</v>
      </c>
      <c r="DL82" s="296">
        <v>380</v>
      </c>
      <c r="DM82" s="296">
        <v>226</v>
      </c>
      <c r="DN82" s="296">
        <v>0</v>
      </c>
      <c r="DO82" s="296">
        <v>0</v>
      </c>
      <c r="DP82" s="296">
        <v>0</v>
      </c>
      <c r="DQ82" s="296">
        <v>0</v>
      </c>
      <c r="DR82" s="296">
        <v>0</v>
      </c>
      <c r="DS82" s="296">
        <v>0</v>
      </c>
      <c r="DT82" s="296">
        <v>0</v>
      </c>
      <c r="DU82" s="296">
        <v>0</v>
      </c>
      <c r="DV82" s="301">
        <v>6.88</v>
      </c>
    </row>
    <row r="83" spans="1:126" ht="24.95" customHeight="1" thickBot="1" x14ac:dyDescent="0.3">
      <c r="A83" s="29" t="str">
        <f t="shared" si="176"/>
        <v>82º</v>
      </c>
      <c r="B83" s="69" t="str">
        <f t="shared" si="178"/>
        <v>Arthur Jampa</v>
      </c>
      <c r="C83" s="269" t="str">
        <f t="shared" si="179"/>
        <v>BRA</v>
      </c>
      <c r="D83" s="99" t="str">
        <f t="shared" si="180"/>
        <v>Pé Direito</v>
      </c>
      <c r="E83" s="28" t="str">
        <f t="shared" si="181"/>
        <v>BAH</v>
      </c>
      <c r="F83" s="169">
        <f t="shared" si="182"/>
        <v>20</v>
      </c>
      <c r="G83" s="2" t="str">
        <f t="shared" si="183"/>
        <v>0 €</v>
      </c>
      <c r="H83" s="154">
        <f t="shared" si="184"/>
        <v>1.89</v>
      </c>
      <c r="I83" s="64">
        <f t="shared" si="185"/>
        <v>47118</v>
      </c>
      <c r="J83" s="304" t="str">
        <f t="shared" si="186"/>
        <v>1,5m € p/m</v>
      </c>
      <c r="K83" s="96">
        <f t="shared" si="177"/>
        <v>3.5222222222222221</v>
      </c>
      <c r="L83" s="146">
        <f t="shared" si="187"/>
        <v>0</v>
      </c>
      <c r="M83" s="6">
        <f t="shared" si="188"/>
        <v>0</v>
      </c>
      <c r="N83" s="5">
        <f t="shared" si="189"/>
        <v>5400</v>
      </c>
      <c r="O83" s="21">
        <f t="shared" si="190"/>
        <v>0</v>
      </c>
      <c r="P83" s="2">
        <f t="shared" si="191"/>
        <v>0</v>
      </c>
      <c r="Q83" s="2">
        <f t="shared" si="192"/>
        <v>0</v>
      </c>
      <c r="R83" s="5">
        <f t="shared" si="193"/>
        <v>0</v>
      </c>
      <c r="S83" s="2">
        <f t="shared" si="194"/>
        <v>0</v>
      </c>
      <c r="T83" s="2">
        <f t="shared" si="195"/>
        <v>0</v>
      </c>
      <c r="U83" s="102">
        <f t="shared" si="196"/>
        <v>0</v>
      </c>
      <c r="V83" s="102">
        <f t="shared" si="197"/>
        <v>0</v>
      </c>
      <c r="W83" s="6">
        <f t="shared" si="198"/>
        <v>0</v>
      </c>
      <c r="X83" s="5">
        <f t="shared" si="199"/>
        <v>0</v>
      </c>
      <c r="Y83" s="6">
        <f t="shared" si="200"/>
        <v>0</v>
      </c>
      <c r="Z83" s="5" t="e">
        <f t="shared" si="201"/>
        <v>#DIV/0!</v>
      </c>
      <c r="AA83" s="21">
        <f t="shared" si="202"/>
        <v>0</v>
      </c>
      <c r="AB83" s="6">
        <f t="shared" si="203"/>
        <v>0</v>
      </c>
      <c r="AC83" s="5" t="e">
        <f t="shared" si="204"/>
        <v>#DIV/0!</v>
      </c>
      <c r="AD83" s="6">
        <f t="shared" si="205"/>
        <v>0</v>
      </c>
      <c r="AE83" s="5">
        <f t="shared" si="206"/>
        <v>0</v>
      </c>
      <c r="AF83" s="21">
        <f t="shared" si="207"/>
        <v>0</v>
      </c>
      <c r="AG83" s="6">
        <f t="shared" si="208"/>
        <v>0</v>
      </c>
      <c r="AH83" s="5">
        <f t="shared" si="209"/>
        <v>0</v>
      </c>
      <c r="AI83" s="21">
        <f t="shared" si="210"/>
        <v>0</v>
      </c>
      <c r="AJ83" s="6">
        <f t="shared" si="211"/>
        <v>0</v>
      </c>
      <c r="AK83" s="5">
        <f t="shared" si="212"/>
        <v>0</v>
      </c>
      <c r="AL83" s="21">
        <f t="shared" si="213"/>
        <v>0</v>
      </c>
      <c r="AM83" s="21">
        <f t="shared" si="214"/>
        <v>0</v>
      </c>
      <c r="AN83" s="6">
        <f t="shared" si="215"/>
        <v>0</v>
      </c>
      <c r="AO83" s="5">
        <f t="shared" si="216"/>
        <v>0</v>
      </c>
      <c r="AP83" s="6">
        <f t="shared" si="217"/>
        <v>0</v>
      </c>
      <c r="AQ83" s="5">
        <f t="shared" si="218"/>
        <v>0</v>
      </c>
      <c r="AR83" s="2">
        <f t="shared" si="219"/>
        <v>0</v>
      </c>
      <c r="AS83" s="5">
        <f t="shared" si="220"/>
        <v>0</v>
      </c>
      <c r="AT83" s="21">
        <f t="shared" si="221"/>
        <v>0</v>
      </c>
      <c r="AU83" s="20">
        <f t="shared" si="222"/>
        <v>0</v>
      </c>
      <c r="AV83" s="20">
        <f t="shared" si="223"/>
        <v>1</v>
      </c>
      <c r="AW83" s="199">
        <f t="shared" si="224"/>
        <v>0</v>
      </c>
      <c r="AX83" s="24">
        <f t="shared" si="225"/>
        <v>0</v>
      </c>
      <c r="AY83" s="5">
        <f t="shared" si="226"/>
        <v>0</v>
      </c>
      <c r="AZ83" s="5">
        <f t="shared" si="227"/>
        <v>0</v>
      </c>
      <c r="BA83" s="5">
        <f t="shared" si="228"/>
        <v>0</v>
      </c>
      <c r="BB83" s="5">
        <f t="shared" si="229"/>
        <v>0</v>
      </c>
      <c r="BC83" s="5">
        <f t="shared" si="230"/>
        <v>0</v>
      </c>
      <c r="BD83" s="5">
        <f t="shared" si="231"/>
        <v>0</v>
      </c>
      <c r="BE83" s="199">
        <f t="shared" si="232"/>
        <v>0</v>
      </c>
      <c r="BF83" s="21">
        <f t="shared" si="233"/>
        <v>0</v>
      </c>
      <c r="BG83" s="6">
        <f t="shared" si="234"/>
        <v>0</v>
      </c>
      <c r="BH83" s="5" t="e">
        <f t="shared" si="235"/>
        <v>#DIV/0!</v>
      </c>
      <c r="BI83" s="6">
        <f t="shared" si="236"/>
        <v>0</v>
      </c>
      <c r="BJ83" s="5" t="e">
        <f t="shared" si="237"/>
        <v>#DIV/0!</v>
      </c>
      <c r="BK83" s="20">
        <f t="shared" si="238"/>
        <v>-9.9999999999999998E-13</v>
      </c>
      <c r="BL83" s="20">
        <f t="shared" si="239"/>
        <v>0</v>
      </c>
      <c r="BM83" s="6">
        <f t="shared" si="240"/>
        <v>0</v>
      </c>
      <c r="BN83" s="5">
        <f t="shared" si="241"/>
        <v>0</v>
      </c>
      <c r="BO83" s="333">
        <f t="shared" si="242"/>
        <v>0</v>
      </c>
      <c r="BP83" s="334">
        <f t="shared" si="243"/>
        <v>0</v>
      </c>
      <c r="BQ83" s="6">
        <f t="shared" si="244"/>
        <v>0</v>
      </c>
      <c r="BR83" s="5">
        <f t="shared" si="245"/>
        <v>0</v>
      </c>
      <c r="BS83" s="6">
        <f t="shared" si="246"/>
        <v>0</v>
      </c>
      <c r="BT83" s="5">
        <f t="shared" si="247"/>
        <v>0</v>
      </c>
      <c r="BU83" s="181">
        <f t="shared" si="248"/>
        <v>0</v>
      </c>
      <c r="BV83" s="154">
        <f t="shared" si="249"/>
        <v>0</v>
      </c>
      <c r="BW83" s="181">
        <f t="shared" si="250"/>
        <v>0</v>
      </c>
      <c r="BX83" s="180">
        <f t="shared" si="251"/>
        <v>0</v>
      </c>
      <c r="BY83" s="181">
        <f t="shared" si="252"/>
        <v>0</v>
      </c>
      <c r="BZ83" s="154">
        <f t="shared" si="253"/>
        <v>0</v>
      </c>
      <c r="CA83" s="182">
        <f t="shared" si="254"/>
        <v>0</v>
      </c>
      <c r="CB83" s="2">
        <f t="shared" si="255"/>
        <v>0</v>
      </c>
      <c r="CC83" s="2">
        <f t="shared" si="256"/>
        <v>0</v>
      </c>
      <c r="CD83" s="2">
        <f t="shared" si="257"/>
        <v>0</v>
      </c>
      <c r="CE83" s="2">
        <f t="shared" si="258"/>
        <v>0</v>
      </c>
      <c r="CF83" s="6">
        <f t="shared" si="259"/>
        <v>0</v>
      </c>
      <c r="CG83" s="6">
        <f t="shared" si="260"/>
        <v>0</v>
      </c>
      <c r="CH83" s="6">
        <f t="shared" si="261"/>
        <v>0</v>
      </c>
      <c r="CI83" s="20">
        <f t="shared" si="262"/>
        <v>0</v>
      </c>
      <c r="CJ83" s="133">
        <f t="shared" si="263"/>
        <v>2521</v>
      </c>
      <c r="CK83" s="5">
        <f t="shared" si="264"/>
        <v>0</v>
      </c>
      <c r="CL83" s="302" t="s">
        <v>19</v>
      </c>
      <c r="CM83" s="298" t="s">
        <v>13</v>
      </c>
      <c r="CN83" s="298" t="s">
        <v>1236</v>
      </c>
      <c r="CO83" s="298">
        <v>20</v>
      </c>
      <c r="CP83" s="298" t="s">
        <v>1358</v>
      </c>
      <c r="CQ83" s="298" t="s">
        <v>1131</v>
      </c>
      <c r="CR83" s="298" t="s">
        <v>644</v>
      </c>
      <c r="CS83" s="298" t="s">
        <v>1182</v>
      </c>
      <c r="CT83" s="298" t="s">
        <v>593</v>
      </c>
      <c r="CU83" s="299">
        <v>47118</v>
      </c>
      <c r="CV83" s="298">
        <v>0</v>
      </c>
      <c r="CW83" s="298">
        <v>0</v>
      </c>
      <c r="CX83" s="298">
        <v>0</v>
      </c>
      <c r="CY83" s="298">
        <v>0</v>
      </c>
      <c r="CZ83" s="298">
        <v>0</v>
      </c>
      <c r="DA83" s="298">
        <v>0</v>
      </c>
      <c r="DB83" s="298">
        <v>0</v>
      </c>
      <c r="DC83" s="298">
        <v>0</v>
      </c>
      <c r="DD83" s="298">
        <v>0</v>
      </c>
      <c r="DE83" s="298">
        <v>0</v>
      </c>
      <c r="DF83" s="298">
        <v>0</v>
      </c>
      <c r="DG83" s="298">
        <v>0</v>
      </c>
      <c r="DH83" s="298">
        <v>0</v>
      </c>
      <c r="DI83" s="298">
        <v>0</v>
      </c>
      <c r="DJ83" s="298">
        <v>0</v>
      </c>
      <c r="DK83" s="298">
        <v>0</v>
      </c>
      <c r="DL83" s="298">
        <v>0</v>
      </c>
      <c r="DM83" s="298">
        <v>0</v>
      </c>
      <c r="DN83" s="298">
        <v>0</v>
      </c>
      <c r="DO83" s="298">
        <v>0</v>
      </c>
      <c r="DP83" s="298">
        <v>0</v>
      </c>
      <c r="DQ83" s="298">
        <v>0</v>
      </c>
      <c r="DR83" s="298">
        <v>0</v>
      </c>
      <c r="DS83" s="298">
        <v>0</v>
      </c>
      <c r="DT83" s="298">
        <v>0</v>
      </c>
      <c r="DU83" s="298">
        <v>0</v>
      </c>
      <c r="DV83" s="303" t="s">
        <v>548</v>
      </c>
    </row>
    <row r="84" spans="1:126" ht="24.95" customHeight="1" thickBot="1" x14ac:dyDescent="0.3">
      <c r="A84" s="29" t="str">
        <f t="shared" si="176"/>
        <v>83º</v>
      </c>
      <c r="B84" s="69" t="str">
        <f t="shared" si="178"/>
        <v>João Nazari</v>
      </c>
      <c r="C84" s="269" t="str">
        <f t="shared" si="179"/>
        <v>BRA</v>
      </c>
      <c r="D84" s="99" t="str">
        <f t="shared" si="180"/>
        <v>Pé Direito</v>
      </c>
      <c r="E84" s="28" t="str">
        <f t="shared" si="181"/>
        <v>FLU</v>
      </c>
      <c r="F84" s="169">
        <f t="shared" si="182"/>
        <v>21</v>
      </c>
      <c r="G84" s="2" t="str">
        <f t="shared" si="183"/>
        <v>0 €</v>
      </c>
      <c r="H84" s="154">
        <f t="shared" si="184"/>
        <v>1.88</v>
      </c>
      <c r="I84" s="64">
        <f t="shared" si="185"/>
        <v>47118</v>
      </c>
      <c r="J84" s="304" t="str">
        <f t="shared" si="186"/>
        <v>1,2m € p/m</v>
      </c>
      <c r="K84" s="96">
        <f t="shared" si="177"/>
        <v>3.5222222222222221</v>
      </c>
      <c r="L84" s="146">
        <f t="shared" si="187"/>
        <v>0</v>
      </c>
      <c r="M84" s="6">
        <f t="shared" si="188"/>
        <v>0</v>
      </c>
      <c r="N84" s="5">
        <f t="shared" si="189"/>
        <v>5400</v>
      </c>
      <c r="O84" s="21">
        <f t="shared" si="190"/>
        <v>0</v>
      </c>
      <c r="P84" s="2">
        <f t="shared" si="191"/>
        <v>0</v>
      </c>
      <c r="Q84" s="2">
        <f t="shared" si="192"/>
        <v>0</v>
      </c>
      <c r="R84" s="5">
        <f t="shared" si="193"/>
        <v>0</v>
      </c>
      <c r="S84" s="2">
        <f t="shared" si="194"/>
        <v>0</v>
      </c>
      <c r="T84" s="2">
        <f t="shared" si="195"/>
        <v>0</v>
      </c>
      <c r="U84" s="102">
        <f t="shared" si="196"/>
        <v>0</v>
      </c>
      <c r="V84" s="102">
        <f t="shared" si="197"/>
        <v>0</v>
      </c>
      <c r="W84" s="6">
        <f t="shared" si="198"/>
        <v>0</v>
      </c>
      <c r="X84" s="5">
        <f t="shared" si="199"/>
        <v>0</v>
      </c>
      <c r="Y84" s="6">
        <f t="shared" si="200"/>
        <v>0</v>
      </c>
      <c r="Z84" s="5" t="e">
        <f t="shared" si="201"/>
        <v>#DIV/0!</v>
      </c>
      <c r="AA84" s="21">
        <f t="shared" si="202"/>
        <v>0</v>
      </c>
      <c r="AB84" s="6">
        <f t="shared" si="203"/>
        <v>0</v>
      </c>
      <c r="AC84" s="5" t="e">
        <f t="shared" si="204"/>
        <v>#DIV/0!</v>
      </c>
      <c r="AD84" s="6">
        <f t="shared" si="205"/>
        <v>0</v>
      </c>
      <c r="AE84" s="5">
        <f t="shared" si="206"/>
        <v>0</v>
      </c>
      <c r="AF84" s="21">
        <f t="shared" si="207"/>
        <v>0</v>
      </c>
      <c r="AG84" s="6">
        <f t="shared" si="208"/>
        <v>0</v>
      </c>
      <c r="AH84" s="5">
        <f t="shared" si="209"/>
        <v>0</v>
      </c>
      <c r="AI84" s="21">
        <f t="shared" si="210"/>
        <v>0</v>
      </c>
      <c r="AJ84" s="6">
        <f t="shared" si="211"/>
        <v>0</v>
      </c>
      <c r="AK84" s="5">
        <f t="shared" si="212"/>
        <v>0</v>
      </c>
      <c r="AL84" s="21">
        <f t="shared" si="213"/>
        <v>0</v>
      </c>
      <c r="AM84" s="21">
        <f t="shared" si="214"/>
        <v>0</v>
      </c>
      <c r="AN84" s="6">
        <f t="shared" si="215"/>
        <v>0</v>
      </c>
      <c r="AO84" s="5">
        <f t="shared" si="216"/>
        <v>0</v>
      </c>
      <c r="AP84" s="6">
        <f t="shared" si="217"/>
        <v>0</v>
      </c>
      <c r="AQ84" s="5">
        <f t="shared" si="218"/>
        <v>0</v>
      </c>
      <c r="AR84" s="2">
        <f t="shared" si="219"/>
        <v>0</v>
      </c>
      <c r="AS84" s="5">
        <f t="shared" si="220"/>
        <v>0</v>
      </c>
      <c r="AT84" s="21">
        <f t="shared" si="221"/>
        <v>0</v>
      </c>
      <c r="AU84" s="20">
        <f t="shared" si="222"/>
        <v>0</v>
      </c>
      <c r="AV84" s="20">
        <f t="shared" si="223"/>
        <v>1</v>
      </c>
      <c r="AW84" s="199">
        <f t="shared" si="224"/>
        <v>0</v>
      </c>
      <c r="AX84" s="24">
        <f t="shared" si="225"/>
        <v>0</v>
      </c>
      <c r="AY84" s="5">
        <f t="shared" si="226"/>
        <v>0</v>
      </c>
      <c r="AZ84" s="5">
        <f t="shared" si="227"/>
        <v>0</v>
      </c>
      <c r="BA84" s="5">
        <f t="shared" si="228"/>
        <v>0</v>
      </c>
      <c r="BB84" s="5">
        <f t="shared" si="229"/>
        <v>0</v>
      </c>
      <c r="BC84" s="5">
        <f t="shared" si="230"/>
        <v>0</v>
      </c>
      <c r="BD84" s="5">
        <f t="shared" si="231"/>
        <v>0</v>
      </c>
      <c r="BE84" s="199">
        <f t="shared" si="232"/>
        <v>0</v>
      </c>
      <c r="BF84" s="21">
        <f t="shared" si="233"/>
        <v>0</v>
      </c>
      <c r="BG84" s="6">
        <f t="shared" si="234"/>
        <v>0</v>
      </c>
      <c r="BH84" s="5" t="e">
        <f t="shared" si="235"/>
        <v>#DIV/0!</v>
      </c>
      <c r="BI84" s="6">
        <f t="shared" si="236"/>
        <v>0</v>
      </c>
      <c r="BJ84" s="5" t="e">
        <f t="shared" si="237"/>
        <v>#DIV/0!</v>
      </c>
      <c r="BK84" s="20">
        <f t="shared" si="238"/>
        <v>-9.9999999999999998E-13</v>
      </c>
      <c r="BL84" s="20">
        <f t="shared" si="239"/>
        <v>0</v>
      </c>
      <c r="BM84" s="6">
        <f t="shared" si="240"/>
        <v>0</v>
      </c>
      <c r="BN84" s="5">
        <f t="shared" si="241"/>
        <v>0</v>
      </c>
      <c r="BO84" s="333">
        <f t="shared" si="242"/>
        <v>0</v>
      </c>
      <c r="BP84" s="334">
        <f t="shared" si="243"/>
        <v>0</v>
      </c>
      <c r="BQ84" s="6">
        <f t="shared" si="244"/>
        <v>0</v>
      </c>
      <c r="BR84" s="5">
        <f t="shared" si="245"/>
        <v>0</v>
      </c>
      <c r="BS84" s="6">
        <f t="shared" si="246"/>
        <v>0</v>
      </c>
      <c r="BT84" s="5">
        <f t="shared" si="247"/>
        <v>0</v>
      </c>
      <c r="BU84" s="181">
        <f t="shared" si="248"/>
        <v>0</v>
      </c>
      <c r="BV84" s="154">
        <f t="shared" si="249"/>
        <v>0</v>
      </c>
      <c r="BW84" s="181">
        <f t="shared" si="250"/>
        <v>0</v>
      </c>
      <c r="BX84" s="180">
        <f t="shared" si="251"/>
        <v>0</v>
      </c>
      <c r="BY84" s="181">
        <f t="shared" si="252"/>
        <v>0</v>
      </c>
      <c r="BZ84" s="154">
        <f t="shared" si="253"/>
        <v>0</v>
      </c>
      <c r="CA84" s="182">
        <f t="shared" si="254"/>
        <v>0</v>
      </c>
      <c r="CB84" s="2">
        <f t="shared" si="255"/>
        <v>0</v>
      </c>
      <c r="CC84" s="2">
        <f t="shared" si="256"/>
        <v>0</v>
      </c>
      <c r="CD84" s="2">
        <f t="shared" si="257"/>
        <v>0</v>
      </c>
      <c r="CE84" s="2">
        <f t="shared" si="258"/>
        <v>0</v>
      </c>
      <c r="CF84" s="6">
        <f t="shared" si="259"/>
        <v>0</v>
      </c>
      <c r="CG84" s="6">
        <f t="shared" si="260"/>
        <v>0</v>
      </c>
      <c r="CH84" s="6">
        <f t="shared" si="261"/>
        <v>0</v>
      </c>
      <c r="CI84" s="20">
        <f t="shared" si="262"/>
        <v>0</v>
      </c>
      <c r="CJ84" s="133">
        <f t="shared" si="263"/>
        <v>2521</v>
      </c>
      <c r="CK84" s="5">
        <f t="shared" si="264"/>
        <v>0</v>
      </c>
      <c r="CL84" s="300" t="s">
        <v>19</v>
      </c>
      <c r="CM84" s="296" t="s">
        <v>13</v>
      </c>
      <c r="CN84" s="296" t="s">
        <v>1311</v>
      </c>
      <c r="CO84" s="296">
        <v>21</v>
      </c>
      <c r="CP84" s="296" t="s">
        <v>1359</v>
      </c>
      <c r="CQ84" s="296" t="s">
        <v>1131</v>
      </c>
      <c r="CR84" s="296" t="s">
        <v>644</v>
      </c>
      <c r="CS84" s="296" t="s">
        <v>1163</v>
      </c>
      <c r="CT84" s="296" t="s">
        <v>552</v>
      </c>
      <c r="CU84" s="297">
        <v>47118</v>
      </c>
      <c r="CV84" s="296">
        <v>0</v>
      </c>
      <c r="CW84" s="296">
        <v>0</v>
      </c>
      <c r="CX84" s="296">
        <v>0</v>
      </c>
      <c r="CY84" s="296">
        <v>0</v>
      </c>
      <c r="CZ84" s="296">
        <v>0</v>
      </c>
      <c r="DA84" s="296">
        <v>0</v>
      </c>
      <c r="DB84" s="296">
        <v>0</v>
      </c>
      <c r="DC84" s="296">
        <v>0</v>
      </c>
      <c r="DD84" s="296">
        <v>0</v>
      </c>
      <c r="DE84" s="296">
        <v>0</v>
      </c>
      <c r="DF84" s="296">
        <v>0</v>
      </c>
      <c r="DG84" s="296">
        <v>0</v>
      </c>
      <c r="DH84" s="296">
        <v>0</v>
      </c>
      <c r="DI84" s="296">
        <v>0</v>
      </c>
      <c r="DJ84" s="296">
        <v>0</v>
      </c>
      <c r="DK84" s="296">
        <v>0</v>
      </c>
      <c r="DL84" s="296">
        <v>0</v>
      </c>
      <c r="DM84" s="296">
        <v>0</v>
      </c>
      <c r="DN84" s="296">
        <v>0</v>
      </c>
      <c r="DO84" s="296">
        <v>0</v>
      </c>
      <c r="DP84" s="296">
        <v>0</v>
      </c>
      <c r="DQ84" s="296">
        <v>0</v>
      </c>
      <c r="DR84" s="296">
        <v>0</v>
      </c>
      <c r="DS84" s="296">
        <v>0</v>
      </c>
      <c r="DT84" s="296">
        <v>0</v>
      </c>
      <c r="DU84" s="296">
        <v>0</v>
      </c>
      <c r="DV84" s="301" t="s">
        <v>548</v>
      </c>
    </row>
    <row r="85" spans="1:126" ht="24.95" customHeight="1" thickBot="1" x14ac:dyDescent="0.3">
      <c r="A85" s="29" t="str">
        <f t="shared" si="176"/>
        <v>84º</v>
      </c>
      <c r="B85" s="69" t="str">
        <f t="shared" si="178"/>
        <v>Gustavo Felix</v>
      </c>
      <c r="C85" s="269" t="str">
        <f t="shared" si="179"/>
        <v>BRA</v>
      </c>
      <c r="D85" s="99" t="str">
        <f t="shared" si="180"/>
        <v>Somente Pé Direito</v>
      </c>
      <c r="E85" s="28" t="str">
        <f t="shared" si="181"/>
        <v>FLU</v>
      </c>
      <c r="F85" s="169">
        <f t="shared" si="182"/>
        <v>21</v>
      </c>
      <c r="G85" s="2" t="str">
        <f t="shared" si="183"/>
        <v>170m € - 1,7M €</v>
      </c>
      <c r="H85" s="154">
        <f t="shared" si="184"/>
        <v>1.89</v>
      </c>
      <c r="I85" s="64">
        <f t="shared" si="185"/>
        <v>47483</v>
      </c>
      <c r="J85" s="304" t="str">
        <f t="shared" si="186"/>
        <v>1,6m € p/m</v>
      </c>
      <c r="K85" s="96">
        <f t="shared" si="177"/>
        <v>3.5222222222222221</v>
      </c>
      <c r="L85" s="146">
        <f t="shared" si="187"/>
        <v>0</v>
      </c>
      <c r="M85" s="6">
        <f t="shared" si="188"/>
        <v>0</v>
      </c>
      <c r="N85" s="5">
        <f t="shared" si="189"/>
        <v>5400</v>
      </c>
      <c r="O85" s="21">
        <f t="shared" si="190"/>
        <v>0</v>
      </c>
      <c r="P85" s="2">
        <f t="shared" si="191"/>
        <v>0</v>
      </c>
      <c r="Q85" s="2">
        <f t="shared" si="192"/>
        <v>0</v>
      </c>
      <c r="R85" s="5">
        <f t="shared" si="193"/>
        <v>0</v>
      </c>
      <c r="S85" s="2">
        <f t="shared" si="194"/>
        <v>0</v>
      </c>
      <c r="T85" s="2">
        <f t="shared" si="195"/>
        <v>0</v>
      </c>
      <c r="U85" s="102">
        <f t="shared" si="196"/>
        <v>0</v>
      </c>
      <c r="V85" s="102">
        <f t="shared" si="197"/>
        <v>0</v>
      </c>
      <c r="W85" s="6">
        <f t="shared" si="198"/>
        <v>0</v>
      </c>
      <c r="X85" s="5">
        <f t="shared" si="199"/>
        <v>0</v>
      </c>
      <c r="Y85" s="6">
        <f t="shared" si="200"/>
        <v>0</v>
      </c>
      <c r="Z85" s="5" t="e">
        <f t="shared" si="201"/>
        <v>#DIV/0!</v>
      </c>
      <c r="AA85" s="21">
        <f t="shared" si="202"/>
        <v>0</v>
      </c>
      <c r="AB85" s="6">
        <f t="shared" si="203"/>
        <v>0</v>
      </c>
      <c r="AC85" s="5" t="e">
        <f t="shared" si="204"/>
        <v>#DIV/0!</v>
      </c>
      <c r="AD85" s="6">
        <f t="shared" si="205"/>
        <v>0</v>
      </c>
      <c r="AE85" s="5">
        <f t="shared" si="206"/>
        <v>0</v>
      </c>
      <c r="AF85" s="21">
        <f t="shared" si="207"/>
        <v>0</v>
      </c>
      <c r="AG85" s="6">
        <f t="shared" si="208"/>
        <v>0</v>
      </c>
      <c r="AH85" s="5">
        <f t="shared" si="209"/>
        <v>0</v>
      </c>
      <c r="AI85" s="21">
        <f t="shared" si="210"/>
        <v>0</v>
      </c>
      <c r="AJ85" s="6">
        <f t="shared" si="211"/>
        <v>0</v>
      </c>
      <c r="AK85" s="5">
        <f t="shared" si="212"/>
        <v>0</v>
      </c>
      <c r="AL85" s="21">
        <f t="shared" si="213"/>
        <v>0</v>
      </c>
      <c r="AM85" s="21">
        <f t="shared" si="214"/>
        <v>0</v>
      </c>
      <c r="AN85" s="6">
        <f t="shared" si="215"/>
        <v>0</v>
      </c>
      <c r="AO85" s="5">
        <f t="shared" si="216"/>
        <v>0</v>
      </c>
      <c r="AP85" s="6">
        <f t="shared" si="217"/>
        <v>0</v>
      </c>
      <c r="AQ85" s="5">
        <f t="shared" si="218"/>
        <v>0</v>
      </c>
      <c r="AR85" s="2">
        <f t="shared" si="219"/>
        <v>0</v>
      </c>
      <c r="AS85" s="5">
        <f t="shared" si="220"/>
        <v>0</v>
      </c>
      <c r="AT85" s="21">
        <f t="shared" si="221"/>
        <v>0</v>
      </c>
      <c r="AU85" s="20">
        <f t="shared" si="222"/>
        <v>0</v>
      </c>
      <c r="AV85" s="20">
        <f t="shared" si="223"/>
        <v>1</v>
      </c>
      <c r="AW85" s="199">
        <f t="shared" si="224"/>
        <v>0</v>
      </c>
      <c r="AX85" s="24">
        <f t="shared" si="225"/>
        <v>0</v>
      </c>
      <c r="AY85" s="5">
        <f t="shared" si="226"/>
        <v>0</v>
      </c>
      <c r="AZ85" s="5">
        <f t="shared" si="227"/>
        <v>0</v>
      </c>
      <c r="BA85" s="5">
        <f t="shared" si="228"/>
        <v>0</v>
      </c>
      <c r="BB85" s="5">
        <f t="shared" si="229"/>
        <v>0</v>
      </c>
      <c r="BC85" s="5">
        <f t="shared" si="230"/>
        <v>0</v>
      </c>
      <c r="BD85" s="5">
        <f t="shared" si="231"/>
        <v>0</v>
      </c>
      <c r="BE85" s="199">
        <f t="shared" si="232"/>
        <v>0</v>
      </c>
      <c r="BF85" s="21">
        <f t="shared" si="233"/>
        <v>0</v>
      </c>
      <c r="BG85" s="6">
        <f t="shared" si="234"/>
        <v>0</v>
      </c>
      <c r="BH85" s="5" t="e">
        <f t="shared" si="235"/>
        <v>#DIV/0!</v>
      </c>
      <c r="BI85" s="6">
        <f t="shared" si="236"/>
        <v>0</v>
      </c>
      <c r="BJ85" s="5" t="e">
        <f t="shared" si="237"/>
        <v>#DIV/0!</v>
      </c>
      <c r="BK85" s="20">
        <f t="shared" si="238"/>
        <v>-9.9999999999999998E-13</v>
      </c>
      <c r="BL85" s="20">
        <f t="shared" si="239"/>
        <v>0</v>
      </c>
      <c r="BM85" s="6">
        <f t="shared" si="240"/>
        <v>0</v>
      </c>
      <c r="BN85" s="5">
        <f t="shared" si="241"/>
        <v>0</v>
      </c>
      <c r="BO85" s="333">
        <f t="shared" si="242"/>
        <v>0</v>
      </c>
      <c r="BP85" s="334">
        <f t="shared" si="243"/>
        <v>0</v>
      </c>
      <c r="BQ85" s="6">
        <f t="shared" si="244"/>
        <v>0</v>
      </c>
      <c r="BR85" s="5">
        <f t="shared" si="245"/>
        <v>0</v>
      </c>
      <c r="BS85" s="6">
        <f t="shared" si="246"/>
        <v>0</v>
      </c>
      <c r="BT85" s="5">
        <f t="shared" si="247"/>
        <v>0</v>
      </c>
      <c r="BU85" s="181">
        <f t="shared" si="248"/>
        <v>0</v>
      </c>
      <c r="BV85" s="154">
        <f t="shared" si="249"/>
        <v>0</v>
      </c>
      <c r="BW85" s="181">
        <f t="shared" si="250"/>
        <v>0</v>
      </c>
      <c r="BX85" s="180">
        <f t="shared" si="251"/>
        <v>0</v>
      </c>
      <c r="BY85" s="181">
        <f t="shared" si="252"/>
        <v>0</v>
      </c>
      <c r="BZ85" s="154">
        <f t="shared" si="253"/>
        <v>0</v>
      </c>
      <c r="CA85" s="182">
        <f t="shared" si="254"/>
        <v>0</v>
      </c>
      <c r="CB85" s="2">
        <f t="shared" si="255"/>
        <v>0</v>
      </c>
      <c r="CC85" s="2">
        <f t="shared" si="256"/>
        <v>0</v>
      </c>
      <c r="CD85" s="2">
        <f t="shared" si="257"/>
        <v>0</v>
      </c>
      <c r="CE85" s="2">
        <f t="shared" si="258"/>
        <v>0</v>
      </c>
      <c r="CF85" s="6">
        <f t="shared" si="259"/>
        <v>0</v>
      </c>
      <c r="CG85" s="6">
        <f t="shared" si="260"/>
        <v>0</v>
      </c>
      <c r="CH85" s="6">
        <f t="shared" si="261"/>
        <v>0</v>
      </c>
      <c r="CI85" s="20">
        <f t="shared" si="262"/>
        <v>0</v>
      </c>
      <c r="CJ85" s="133">
        <f t="shared" si="263"/>
        <v>2521</v>
      </c>
      <c r="CK85" s="5">
        <f t="shared" si="264"/>
        <v>0</v>
      </c>
      <c r="CL85" s="302" t="s">
        <v>1235</v>
      </c>
      <c r="CM85" s="298" t="s">
        <v>13</v>
      </c>
      <c r="CN85" s="298" t="s">
        <v>1311</v>
      </c>
      <c r="CO85" s="298">
        <v>21</v>
      </c>
      <c r="CP85" s="298" t="s">
        <v>1360</v>
      </c>
      <c r="CQ85" s="298" t="s">
        <v>769</v>
      </c>
      <c r="CR85" s="298" t="s">
        <v>645</v>
      </c>
      <c r="CS85" s="298" t="s">
        <v>884</v>
      </c>
      <c r="CT85" s="298" t="s">
        <v>593</v>
      </c>
      <c r="CU85" s="299">
        <v>47483</v>
      </c>
      <c r="CV85" s="298">
        <v>0</v>
      </c>
      <c r="CW85" s="298">
        <v>0</v>
      </c>
      <c r="CX85" s="298">
        <v>0</v>
      </c>
      <c r="CY85" s="298">
        <v>0</v>
      </c>
      <c r="CZ85" s="298">
        <v>0</v>
      </c>
      <c r="DA85" s="298">
        <v>0</v>
      </c>
      <c r="DB85" s="298">
        <v>0</v>
      </c>
      <c r="DC85" s="298">
        <v>0</v>
      </c>
      <c r="DD85" s="298">
        <v>0</v>
      </c>
      <c r="DE85" s="298">
        <v>0</v>
      </c>
      <c r="DF85" s="298">
        <v>0</v>
      </c>
      <c r="DG85" s="298">
        <v>0</v>
      </c>
      <c r="DH85" s="298">
        <v>0</v>
      </c>
      <c r="DI85" s="298">
        <v>0</v>
      </c>
      <c r="DJ85" s="298">
        <v>0</v>
      </c>
      <c r="DK85" s="298">
        <v>0</v>
      </c>
      <c r="DL85" s="298">
        <v>0</v>
      </c>
      <c r="DM85" s="298">
        <v>0</v>
      </c>
      <c r="DN85" s="298">
        <v>0</v>
      </c>
      <c r="DO85" s="298">
        <v>0</v>
      </c>
      <c r="DP85" s="298">
        <v>0</v>
      </c>
      <c r="DQ85" s="298">
        <v>0</v>
      </c>
      <c r="DR85" s="298">
        <v>0</v>
      </c>
      <c r="DS85" s="298">
        <v>0</v>
      </c>
      <c r="DT85" s="298">
        <v>0</v>
      </c>
      <c r="DU85" s="298">
        <v>0</v>
      </c>
      <c r="DV85" s="303" t="s">
        <v>548</v>
      </c>
    </row>
    <row r="86" spans="1:126" ht="24.95" customHeight="1" thickBot="1" x14ac:dyDescent="0.3">
      <c r="A86" s="29" t="str">
        <f t="shared" si="176"/>
        <v>85º</v>
      </c>
      <c r="B86" s="69" t="str">
        <f t="shared" si="178"/>
        <v>João Pedro</v>
      </c>
      <c r="C86" s="269" t="str">
        <f t="shared" si="179"/>
        <v>BRA</v>
      </c>
      <c r="D86" s="99" t="str">
        <f t="shared" si="180"/>
        <v>Pé Direito</v>
      </c>
      <c r="E86" s="28" t="str">
        <f t="shared" si="181"/>
        <v>ATM</v>
      </c>
      <c r="F86" s="169">
        <f t="shared" si="182"/>
        <v>20</v>
      </c>
      <c r="G86" s="2" t="str">
        <f t="shared" si="183"/>
        <v>0 €</v>
      </c>
      <c r="H86" s="154">
        <f t="shared" si="184"/>
        <v>1.99</v>
      </c>
      <c r="I86" s="64">
        <f t="shared" si="185"/>
        <v>47118</v>
      </c>
      <c r="J86" s="304" t="str">
        <f t="shared" si="186"/>
        <v>2,9m € p/m</v>
      </c>
      <c r="K86" s="96">
        <f t="shared" si="177"/>
        <v>3.5222222222222221</v>
      </c>
      <c r="L86" s="146">
        <f t="shared" si="187"/>
        <v>0</v>
      </c>
      <c r="M86" s="6">
        <f t="shared" si="188"/>
        <v>0</v>
      </c>
      <c r="N86" s="5">
        <f t="shared" si="189"/>
        <v>5400</v>
      </c>
      <c r="O86" s="21">
        <f t="shared" si="190"/>
        <v>0</v>
      </c>
      <c r="P86" s="2">
        <f t="shared" si="191"/>
        <v>0</v>
      </c>
      <c r="Q86" s="2">
        <f t="shared" si="192"/>
        <v>0</v>
      </c>
      <c r="R86" s="5">
        <f t="shared" si="193"/>
        <v>0</v>
      </c>
      <c r="S86" s="2">
        <f t="shared" si="194"/>
        <v>0</v>
      </c>
      <c r="T86" s="2">
        <f t="shared" si="195"/>
        <v>0</v>
      </c>
      <c r="U86" s="102">
        <f t="shared" si="196"/>
        <v>0</v>
      </c>
      <c r="V86" s="102">
        <f t="shared" si="197"/>
        <v>0</v>
      </c>
      <c r="W86" s="6">
        <f t="shared" si="198"/>
        <v>0</v>
      </c>
      <c r="X86" s="5">
        <f t="shared" si="199"/>
        <v>0</v>
      </c>
      <c r="Y86" s="6">
        <f t="shared" si="200"/>
        <v>0</v>
      </c>
      <c r="Z86" s="5" t="e">
        <f t="shared" si="201"/>
        <v>#DIV/0!</v>
      </c>
      <c r="AA86" s="21">
        <f t="shared" si="202"/>
        <v>0</v>
      </c>
      <c r="AB86" s="6">
        <f t="shared" si="203"/>
        <v>0</v>
      </c>
      <c r="AC86" s="5" t="e">
        <f t="shared" si="204"/>
        <v>#DIV/0!</v>
      </c>
      <c r="AD86" s="6">
        <f t="shared" si="205"/>
        <v>0</v>
      </c>
      <c r="AE86" s="5">
        <f t="shared" si="206"/>
        <v>0</v>
      </c>
      <c r="AF86" s="21">
        <f t="shared" si="207"/>
        <v>0</v>
      </c>
      <c r="AG86" s="6">
        <f t="shared" si="208"/>
        <v>0</v>
      </c>
      <c r="AH86" s="5">
        <f t="shared" si="209"/>
        <v>0</v>
      </c>
      <c r="AI86" s="21">
        <f t="shared" si="210"/>
        <v>0</v>
      </c>
      <c r="AJ86" s="6">
        <f t="shared" si="211"/>
        <v>0</v>
      </c>
      <c r="AK86" s="5">
        <f t="shared" si="212"/>
        <v>0</v>
      </c>
      <c r="AL86" s="21">
        <f t="shared" si="213"/>
        <v>0</v>
      </c>
      <c r="AM86" s="21">
        <f t="shared" si="214"/>
        <v>0</v>
      </c>
      <c r="AN86" s="6">
        <f t="shared" si="215"/>
        <v>0</v>
      </c>
      <c r="AO86" s="5">
        <f t="shared" si="216"/>
        <v>0</v>
      </c>
      <c r="AP86" s="6">
        <f t="shared" si="217"/>
        <v>0</v>
      </c>
      <c r="AQ86" s="5">
        <f t="shared" si="218"/>
        <v>0</v>
      </c>
      <c r="AR86" s="2">
        <f t="shared" si="219"/>
        <v>0</v>
      </c>
      <c r="AS86" s="5">
        <f t="shared" si="220"/>
        <v>0</v>
      </c>
      <c r="AT86" s="21">
        <f t="shared" si="221"/>
        <v>0</v>
      </c>
      <c r="AU86" s="20">
        <f t="shared" si="222"/>
        <v>0</v>
      </c>
      <c r="AV86" s="20">
        <f t="shared" si="223"/>
        <v>1</v>
      </c>
      <c r="AW86" s="199">
        <f t="shared" si="224"/>
        <v>0</v>
      </c>
      <c r="AX86" s="24">
        <f t="shared" si="225"/>
        <v>0</v>
      </c>
      <c r="AY86" s="5">
        <f t="shared" si="226"/>
        <v>0</v>
      </c>
      <c r="AZ86" s="5">
        <f t="shared" si="227"/>
        <v>0</v>
      </c>
      <c r="BA86" s="5">
        <f t="shared" si="228"/>
        <v>0</v>
      </c>
      <c r="BB86" s="5">
        <f t="shared" si="229"/>
        <v>0</v>
      </c>
      <c r="BC86" s="5">
        <f t="shared" si="230"/>
        <v>0</v>
      </c>
      <c r="BD86" s="5">
        <f t="shared" si="231"/>
        <v>0</v>
      </c>
      <c r="BE86" s="199">
        <f t="shared" si="232"/>
        <v>0</v>
      </c>
      <c r="BF86" s="21">
        <f t="shared" si="233"/>
        <v>0</v>
      </c>
      <c r="BG86" s="6">
        <f t="shared" si="234"/>
        <v>0</v>
      </c>
      <c r="BH86" s="5" t="e">
        <f t="shared" si="235"/>
        <v>#DIV/0!</v>
      </c>
      <c r="BI86" s="6">
        <f t="shared" si="236"/>
        <v>0</v>
      </c>
      <c r="BJ86" s="5" t="e">
        <f t="shared" si="237"/>
        <v>#DIV/0!</v>
      </c>
      <c r="BK86" s="20">
        <f t="shared" si="238"/>
        <v>-9.9999999999999998E-13</v>
      </c>
      <c r="BL86" s="20">
        <f t="shared" si="239"/>
        <v>0</v>
      </c>
      <c r="BM86" s="6">
        <f t="shared" si="240"/>
        <v>0</v>
      </c>
      <c r="BN86" s="5">
        <f t="shared" si="241"/>
        <v>0</v>
      </c>
      <c r="BO86" s="333">
        <f t="shared" si="242"/>
        <v>0</v>
      </c>
      <c r="BP86" s="334">
        <f t="shared" si="243"/>
        <v>0</v>
      </c>
      <c r="BQ86" s="6">
        <f t="shared" si="244"/>
        <v>0</v>
      </c>
      <c r="BR86" s="5">
        <f t="shared" si="245"/>
        <v>0</v>
      </c>
      <c r="BS86" s="6">
        <f t="shared" si="246"/>
        <v>0</v>
      </c>
      <c r="BT86" s="5">
        <f t="shared" si="247"/>
        <v>0</v>
      </c>
      <c r="BU86" s="181">
        <f t="shared" si="248"/>
        <v>0</v>
      </c>
      <c r="BV86" s="154">
        <f t="shared" si="249"/>
        <v>0</v>
      </c>
      <c r="BW86" s="181">
        <f t="shared" si="250"/>
        <v>0</v>
      </c>
      <c r="BX86" s="180">
        <f t="shared" si="251"/>
        <v>0</v>
      </c>
      <c r="BY86" s="181">
        <f t="shared" si="252"/>
        <v>0</v>
      </c>
      <c r="BZ86" s="154">
        <f t="shared" si="253"/>
        <v>0</v>
      </c>
      <c r="CA86" s="182">
        <f t="shared" si="254"/>
        <v>0</v>
      </c>
      <c r="CB86" s="2">
        <f t="shared" si="255"/>
        <v>0</v>
      </c>
      <c r="CC86" s="2">
        <f t="shared" si="256"/>
        <v>0</v>
      </c>
      <c r="CD86" s="2">
        <f t="shared" si="257"/>
        <v>0</v>
      </c>
      <c r="CE86" s="2">
        <f t="shared" si="258"/>
        <v>0</v>
      </c>
      <c r="CF86" s="6">
        <f t="shared" si="259"/>
        <v>0</v>
      </c>
      <c r="CG86" s="6">
        <f t="shared" si="260"/>
        <v>0</v>
      </c>
      <c r="CH86" s="6">
        <f t="shared" si="261"/>
        <v>0</v>
      </c>
      <c r="CI86" s="20">
        <f t="shared" si="262"/>
        <v>0</v>
      </c>
      <c r="CJ86" s="133">
        <f t="shared" si="263"/>
        <v>2521</v>
      </c>
      <c r="CK86" s="5">
        <f t="shared" si="264"/>
        <v>0</v>
      </c>
      <c r="CL86" s="300" t="s">
        <v>19</v>
      </c>
      <c r="CM86" s="296" t="s">
        <v>13</v>
      </c>
      <c r="CN86" s="296" t="s">
        <v>1297</v>
      </c>
      <c r="CO86" s="296">
        <v>20</v>
      </c>
      <c r="CP86" s="296" t="s">
        <v>585</v>
      </c>
      <c r="CQ86" s="296" t="s">
        <v>1131</v>
      </c>
      <c r="CR86" s="296" t="s">
        <v>644</v>
      </c>
      <c r="CS86" s="296" t="s">
        <v>1280</v>
      </c>
      <c r="CT86" s="296" t="s">
        <v>1193</v>
      </c>
      <c r="CU86" s="297">
        <v>47118</v>
      </c>
      <c r="CV86" s="296">
        <v>0</v>
      </c>
      <c r="CW86" s="296">
        <v>0</v>
      </c>
      <c r="CX86" s="296">
        <v>0</v>
      </c>
      <c r="CY86" s="296">
        <v>0</v>
      </c>
      <c r="CZ86" s="296">
        <v>0</v>
      </c>
      <c r="DA86" s="296">
        <v>0</v>
      </c>
      <c r="DB86" s="296">
        <v>0</v>
      </c>
      <c r="DC86" s="296">
        <v>0</v>
      </c>
      <c r="DD86" s="296">
        <v>0</v>
      </c>
      <c r="DE86" s="296">
        <v>0</v>
      </c>
      <c r="DF86" s="296">
        <v>0</v>
      </c>
      <c r="DG86" s="296">
        <v>0</v>
      </c>
      <c r="DH86" s="296">
        <v>0</v>
      </c>
      <c r="DI86" s="296">
        <v>0</v>
      </c>
      <c r="DJ86" s="296">
        <v>0</v>
      </c>
      <c r="DK86" s="296">
        <v>0</v>
      </c>
      <c r="DL86" s="296">
        <v>0</v>
      </c>
      <c r="DM86" s="296">
        <v>0</v>
      </c>
      <c r="DN86" s="296">
        <v>0</v>
      </c>
      <c r="DO86" s="296">
        <v>0</v>
      </c>
      <c r="DP86" s="296">
        <v>0</v>
      </c>
      <c r="DQ86" s="296">
        <v>0</v>
      </c>
      <c r="DR86" s="296">
        <v>0</v>
      </c>
      <c r="DS86" s="296">
        <v>0</v>
      </c>
      <c r="DT86" s="296">
        <v>0</v>
      </c>
      <c r="DU86" s="296">
        <v>0</v>
      </c>
      <c r="DV86" s="301" t="s">
        <v>548</v>
      </c>
    </row>
    <row r="87" spans="1:126" ht="24.95" customHeight="1" thickBot="1" x14ac:dyDescent="0.3">
      <c r="A87" s="29" t="str">
        <f t="shared" si="176"/>
        <v>86º</v>
      </c>
      <c r="B87" s="69" t="str">
        <f t="shared" si="178"/>
        <v>Deivid</v>
      </c>
      <c r="C87" s="269" t="str">
        <f t="shared" si="179"/>
        <v>BRA</v>
      </c>
      <c r="D87" s="99" t="str">
        <f t="shared" si="180"/>
        <v>Pé Direito</v>
      </c>
      <c r="E87" s="28" t="str">
        <f t="shared" si="181"/>
        <v>RFC</v>
      </c>
      <c r="F87" s="169">
        <f t="shared" si="182"/>
        <v>23</v>
      </c>
      <c r="G87" s="2" t="str">
        <f t="shared" si="183"/>
        <v>0 €</v>
      </c>
      <c r="H87" s="154">
        <f t="shared" si="184"/>
        <v>1.96</v>
      </c>
      <c r="I87" s="64">
        <f t="shared" si="185"/>
        <v>47118</v>
      </c>
      <c r="J87" s="304" t="str">
        <f t="shared" si="186"/>
        <v>900 € p/m</v>
      </c>
      <c r="K87" s="96">
        <f t="shared" si="177"/>
        <v>3.5222222222222221</v>
      </c>
      <c r="L87" s="146">
        <f t="shared" si="187"/>
        <v>0</v>
      </c>
      <c r="M87" s="6">
        <f t="shared" si="188"/>
        <v>0</v>
      </c>
      <c r="N87" s="5">
        <f t="shared" si="189"/>
        <v>5400</v>
      </c>
      <c r="O87" s="21">
        <f t="shared" si="190"/>
        <v>0</v>
      </c>
      <c r="P87" s="2">
        <f t="shared" si="191"/>
        <v>0</v>
      </c>
      <c r="Q87" s="2">
        <f t="shared" si="192"/>
        <v>0</v>
      </c>
      <c r="R87" s="5">
        <f t="shared" si="193"/>
        <v>0</v>
      </c>
      <c r="S87" s="2">
        <f t="shared" si="194"/>
        <v>0</v>
      </c>
      <c r="T87" s="2">
        <f t="shared" si="195"/>
        <v>0</v>
      </c>
      <c r="U87" s="102">
        <f t="shared" si="196"/>
        <v>0</v>
      </c>
      <c r="V87" s="102">
        <f t="shared" si="197"/>
        <v>0</v>
      </c>
      <c r="W87" s="6">
        <f t="shared" si="198"/>
        <v>0</v>
      </c>
      <c r="X87" s="5">
        <f t="shared" si="199"/>
        <v>0</v>
      </c>
      <c r="Y87" s="6">
        <f t="shared" si="200"/>
        <v>0</v>
      </c>
      <c r="Z87" s="5" t="e">
        <f t="shared" si="201"/>
        <v>#DIV/0!</v>
      </c>
      <c r="AA87" s="21">
        <f t="shared" si="202"/>
        <v>0</v>
      </c>
      <c r="AB87" s="6">
        <f t="shared" si="203"/>
        <v>0</v>
      </c>
      <c r="AC87" s="5" t="e">
        <f t="shared" si="204"/>
        <v>#DIV/0!</v>
      </c>
      <c r="AD87" s="6">
        <f t="shared" si="205"/>
        <v>0</v>
      </c>
      <c r="AE87" s="5">
        <f t="shared" si="206"/>
        <v>0</v>
      </c>
      <c r="AF87" s="21">
        <f t="shared" si="207"/>
        <v>0</v>
      </c>
      <c r="AG87" s="6">
        <f t="shared" si="208"/>
        <v>0</v>
      </c>
      <c r="AH87" s="5">
        <f t="shared" si="209"/>
        <v>0</v>
      </c>
      <c r="AI87" s="21">
        <f t="shared" si="210"/>
        <v>0</v>
      </c>
      <c r="AJ87" s="6">
        <f t="shared" si="211"/>
        <v>0</v>
      </c>
      <c r="AK87" s="5">
        <f t="shared" si="212"/>
        <v>0</v>
      </c>
      <c r="AL87" s="21">
        <f t="shared" si="213"/>
        <v>0</v>
      </c>
      <c r="AM87" s="21">
        <f t="shared" si="214"/>
        <v>0</v>
      </c>
      <c r="AN87" s="6">
        <f t="shared" si="215"/>
        <v>0</v>
      </c>
      <c r="AO87" s="5">
        <f t="shared" si="216"/>
        <v>0</v>
      </c>
      <c r="AP87" s="6">
        <f t="shared" si="217"/>
        <v>0</v>
      </c>
      <c r="AQ87" s="5">
        <f t="shared" si="218"/>
        <v>0</v>
      </c>
      <c r="AR87" s="2">
        <f t="shared" si="219"/>
        <v>0</v>
      </c>
      <c r="AS87" s="5">
        <f t="shared" si="220"/>
        <v>0</v>
      </c>
      <c r="AT87" s="21">
        <f t="shared" si="221"/>
        <v>0</v>
      </c>
      <c r="AU87" s="20">
        <f t="shared" si="222"/>
        <v>0</v>
      </c>
      <c r="AV87" s="20">
        <f t="shared" si="223"/>
        <v>1</v>
      </c>
      <c r="AW87" s="199">
        <f t="shared" si="224"/>
        <v>0</v>
      </c>
      <c r="AX87" s="24">
        <f t="shared" si="225"/>
        <v>0</v>
      </c>
      <c r="AY87" s="5">
        <f t="shared" si="226"/>
        <v>0</v>
      </c>
      <c r="AZ87" s="5">
        <f t="shared" si="227"/>
        <v>0</v>
      </c>
      <c r="BA87" s="5">
        <f t="shared" si="228"/>
        <v>0</v>
      </c>
      <c r="BB87" s="5">
        <f t="shared" si="229"/>
        <v>0</v>
      </c>
      <c r="BC87" s="5">
        <f t="shared" si="230"/>
        <v>0</v>
      </c>
      <c r="BD87" s="5">
        <f t="shared" si="231"/>
        <v>0</v>
      </c>
      <c r="BE87" s="199">
        <f t="shared" si="232"/>
        <v>0</v>
      </c>
      <c r="BF87" s="21">
        <f t="shared" si="233"/>
        <v>0</v>
      </c>
      <c r="BG87" s="6">
        <f t="shared" si="234"/>
        <v>0</v>
      </c>
      <c r="BH87" s="5" t="e">
        <f t="shared" si="235"/>
        <v>#DIV/0!</v>
      </c>
      <c r="BI87" s="6">
        <f t="shared" si="236"/>
        <v>0</v>
      </c>
      <c r="BJ87" s="5" t="e">
        <f t="shared" si="237"/>
        <v>#DIV/0!</v>
      </c>
      <c r="BK87" s="20">
        <f t="shared" si="238"/>
        <v>-9.9999999999999998E-13</v>
      </c>
      <c r="BL87" s="20">
        <f t="shared" si="239"/>
        <v>0</v>
      </c>
      <c r="BM87" s="6">
        <f t="shared" si="240"/>
        <v>0</v>
      </c>
      <c r="BN87" s="5">
        <f t="shared" si="241"/>
        <v>0</v>
      </c>
      <c r="BO87" s="333">
        <f t="shared" si="242"/>
        <v>0</v>
      </c>
      <c r="BP87" s="334">
        <f t="shared" si="243"/>
        <v>0</v>
      </c>
      <c r="BQ87" s="6">
        <f t="shared" si="244"/>
        <v>0</v>
      </c>
      <c r="BR87" s="5">
        <f t="shared" si="245"/>
        <v>0</v>
      </c>
      <c r="BS87" s="6">
        <f t="shared" si="246"/>
        <v>0</v>
      </c>
      <c r="BT87" s="5">
        <f t="shared" si="247"/>
        <v>0</v>
      </c>
      <c r="BU87" s="181">
        <f t="shared" si="248"/>
        <v>0</v>
      </c>
      <c r="BV87" s="154">
        <f t="shared" si="249"/>
        <v>0</v>
      </c>
      <c r="BW87" s="181">
        <f t="shared" si="250"/>
        <v>0</v>
      </c>
      <c r="BX87" s="180">
        <f t="shared" si="251"/>
        <v>0</v>
      </c>
      <c r="BY87" s="181">
        <f t="shared" si="252"/>
        <v>0</v>
      </c>
      <c r="BZ87" s="154">
        <f t="shared" si="253"/>
        <v>0</v>
      </c>
      <c r="CA87" s="182">
        <f t="shared" si="254"/>
        <v>0</v>
      </c>
      <c r="CB87" s="2">
        <f t="shared" si="255"/>
        <v>0</v>
      </c>
      <c r="CC87" s="2">
        <f t="shared" si="256"/>
        <v>0</v>
      </c>
      <c r="CD87" s="2">
        <f t="shared" si="257"/>
        <v>0</v>
      </c>
      <c r="CE87" s="2">
        <f t="shared" si="258"/>
        <v>0</v>
      </c>
      <c r="CF87" s="6">
        <f t="shared" si="259"/>
        <v>0</v>
      </c>
      <c r="CG87" s="6">
        <f t="shared" si="260"/>
        <v>0</v>
      </c>
      <c r="CH87" s="6">
        <f t="shared" si="261"/>
        <v>0</v>
      </c>
      <c r="CI87" s="20">
        <f t="shared" si="262"/>
        <v>0</v>
      </c>
      <c r="CJ87" s="133">
        <f t="shared" si="263"/>
        <v>2521</v>
      </c>
      <c r="CK87" s="5">
        <f t="shared" si="264"/>
        <v>0</v>
      </c>
      <c r="CL87" s="302" t="s">
        <v>19</v>
      </c>
      <c r="CM87" s="298" t="s">
        <v>13</v>
      </c>
      <c r="CN87" s="298" t="s">
        <v>1361</v>
      </c>
      <c r="CO87" s="298">
        <v>23</v>
      </c>
      <c r="CP87" s="298" t="s">
        <v>1362</v>
      </c>
      <c r="CQ87" s="298" t="s">
        <v>1131</v>
      </c>
      <c r="CR87" s="298" t="s">
        <v>644</v>
      </c>
      <c r="CS87" s="298" t="s">
        <v>1363</v>
      </c>
      <c r="CT87" s="298" t="s">
        <v>833</v>
      </c>
      <c r="CU87" s="299">
        <v>47118</v>
      </c>
      <c r="CV87" s="298">
        <v>0</v>
      </c>
      <c r="CW87" s="298">
        <v>0</v>
      </c>
      <c r="CX87" s="298">
        <v>0</v>
      </c>
      <c r="CY87" s="298">
        <v>0</v>
      </c>
      <c r="CZ87" s="298">
        <v>0</v>
      </c>
      <c r="DA87" s="298">
        <v>0</v>
      </c>
      <c r="DB87" s="298">
        <v>0</v>
      </c>
      <c r="DC87" s="298">
        <v>0</v>
      </c>
      <c r="DD87" s="298">
        <v>0</v>
      </c>
      <c r="DE87" s="298">
        <v>0</v>
      </c>
      <c r="DF87" s="298">
        <v>0</v>
      </c>
      <c r="DG87" s="298">
        <v>0</v>
      </c>
      <c r="DH87" s="298">
        <v>0</v>
      </c>
      <c r="DI87" s="298">
        <v>0</v>
      </c>
      <c r="DJ87" s="298">
        <v>0</v>
      </c>
      <c r="DK87" s="298">
        <v>0</v>
      </c>
      <c r="DL87" s="298">
        <v>0</v>
      </c>
      <c r="DM87" s="298">
        <v>0</v>
      </c>
      <c r="DN87" s="298">
        <v>0</v>
      </c>
      <c r="DO87" s="298">
        <v>0</v>
      </c>
      <c r="DP87" s="298">
        <v>0</v>
      </c>
      <c r="DQ87" s="298">
        <v>0</v>
      </c>
      <c r="DR87" s="298">
        <v>0</v>
      </c>
      <c r="DS87" s="298">
        <v>0</v>
      </c>
      <c r="DT87" s="298">
        <v>0</v>
      </c>
      <c r="DU87" s="298">
        <v>0</v>
      </c>
      <c r="DV87" s="303" t="s">
        <v>548</v>
      </c>
    </row>
    <row r="88" spans="1:126" ht="24.95" customHeight="1" thickBot="1" x14ac:dyDescent="0.3">
      <c r="A88" s="29" t="str">
        <f t="shared" si="176"/>
        <v>87º</v>
      </c>
      <c r="B88" s="69" t="str">
        <f t="shared" si="178"/>
        <v>Kauã Paes</v>
      </c>
      <c r="C88" s="269" t="str">
        <f t="shared" si="179"/>
        <v>BRA</v>
      </c>
      <c r="D88" s="99" t="str">
        <f t="shared" si="180"/>
        <v>Pé Direito</v>
      </c>
      <c r="E88" s="28" t="str">
        <f t="shared" si="181"/>
        <v>VIL</v>
      </c>
      <c r="F88" s="169">
        <f t="shared" si="182"/>
        <v>21</v>
      </c>
      <c r="G88" s="2" t="str">
        <f t="shared" si="183"/>
        <v>0 € - 40m €</v>
      </c>
      <c r="H88" s="154">
        <f t="shared" si="184"/>
        <v>1.92</v>
      </c>
      <c r="I88" s="64">
        <f t="shared" si="185"/>
        <v>48213</v>
      </c>
      <c r="J88" s="304" t="str">
        <f t="shared" si="186"/>
        <v>1,2m € p/m</v>
      </c>
      <c r="K88" s="96">
        <f t="shared" si="177"/>
        <v>3.5222222222222221</v>
      </c>
      <c r="L88" s="146">
        <f t="shared" si="187"/>
        <v>5.5888888888888886</v>
      </c>
      <c r="M88" s="6">
        <f t="shared" si="188"/>
        <v>0</v>
      </c>
      <c r="N88" s="5">
        <f t="shared" si="189"/>
        <v>5400</v>
      </c>
      <c r="O88" s="21">
        <f t="shared" si="190"/>
        <v>0</v>
      </c>
      <c r="P88" s="2">
        <f t="shared" si="191"/>
        <v>153</v>
      </c>
      <c r="Q88" s="2">
        <f t="shared" si="192"/>
        <v>84</v>
      </c>
      <c r="R88" s="5">
        <f t="shared" si="193"/>
        <v>15.029821073558649</v>
      </c>
      <c r="S88" s="2">
        <f t="shared" si="194"/>
        <v>69</v>
      </c>
      <c r="T88" s="2">
        <f t="shared" si="195"/>
        <v>15</v>
      </c>
      <c r="U88" s="102">
        <f t="shared" si="196"/>
        <v>0.45098039215686275</v>
      </c>
      <c r="V88" s="102">
        <f t="shared" si="197"/>
        <v>0.5490196078431373</v>
      </c>
      <c r="W88" s="6">
        <f t="shared" si="198"/>
        <v>153</v>
      </c>
      <c r="X88" s="5">
        <f t="shared" si="199"/>
        <v>27.375745526838969</v>
      </c>
      <c r="Y88" s="6">
        <f t="shared" si="200"/>
        <v>0</v>
      </c>
      <c r="Z88" s="5">
        <f t="shared" si="201"/>
        <v>0</v>
      </c>
      <c r="AA88" s="21">
        <f t="shared" si="202"/>
        <v>0</v>
      </c>
      <c r="AB88" s="6">
        <f t="shared" si="203"/>
        <v>0</v>
      </c>
      <c r="AC88" s="5">
        <f t="shared" si="204"/>
        <v>0</v>
      </c>
      <c r="AD88" s="6">
        <f t="shared" si="205"/>
        <v>1</v>
      </c>
      <c r="AE88" s="5">
        <f t="shared" si="206"/>
        <v>0.17892644135188868</v>
      </c>
      <c r="AF88" s="21">
        <f t="shared" si="207"/>
        <v>0.33333333333333331</v>
      </c>
      <c r="AG88" s="6">
        <f t="shared" si="208"/>
        <v>1</v>
      </c>
      <c r="AH88" s="5">
        <f t="shared" si="209"/>
        <v>0.17892644135188868</v>
      </c>
      <c r="AI88" s="21">
        <f t="shared" si="210"/>
        <v>0.33333333333333331</v>
      </c>
      <c r="AJ88" s="6">
        <f t="shared" si="211"/>
        <v>1</v>
      </c>
      <c r="AK88" s="5">
        <f t="shared" si="212"/>
        <v>6.6534391534391529E-2</v>
      </c>
      <c r="AL88" s="21">
        <f t="shared" si="213"/>
        <v>0.33333333333333331</v>
      </c>
      <c r="AM88" s="21">
        <f t="shared" si="214"/>
        <v>0.71570576540755471</v>
      </c>
      <c r="AN88" s="6">
        <f t="shared" si="215"/>
        <v>4</v>
      </c>
      <c r="AO88" s="5">
        <f t="shared" si="216"/>
        <v>0.71570576540755471</v>
      </c>
      <c r="AP88" s="6">
        <f t="shared" si="217"/>
        <v>3</v>
      </c>
      <c r="AQ88" s="5">
        <f t="shared" si="218"/>
        <v>0.53677932405566608</v>
      </c>
      <c r="AR88" s="2">
        <f t="shared" si="219"/>
        <v>6</v>
      </c>
      <c r="AS88" s="5">
        <f t="shared" si="220"/>
        <v>1.0735586481113322</v>
      </c>
      <c r="AT88" s="21">
        <f t="shared" si="221"/>
        <v>0.5</v>
      </c>
      <c r="AU88" s="20">
        <f t="shared" si="222"/>
        <v>0.4</v>
      </c>
      <c r="AV88" s="20">
        <f t="shared" si="223"/>
        <v>0.5</v>
      </c>
      <c r="AW88" s="199">
        <f t="shared" si="224"/>
        <v>0.75</v>
      </c>
      <c r="AX88" s="24">
        <f t="shared" si="225"/>
        <v>167.66666666666666</v>
      </c>
      <c r="AY88" s="5">
        <f t="shared" si="226"/>
        <v>2</v>
      </c>
      <c r="AZ88" s="5">
        <f t="shared" si="227"/>
        <v>1.6666666666666667</v>
      </c>
      <c r="BA88" s="5">
        <f t="shared" si="228"/>
        <v>0.48</v>
      </c>
      <c r="BB88" s="5">
        <f t="shared" si="229"/>
        <v>8.5884691848906569E-2</v>
      </c>
      <c r="BC88" s="5">
        <f t="shared" si="230"/>
        <v>0.48</v>
      </c>
      <c r="BD88" s="5">
        <f t="shared" si="231"/>
        <v>8.5884691848906569E-2</v>
      </c>
      <c r="BE88" s="199">
        <f t="shared" si="232"/>
        <v>0.12000000000000001</v>
      </c>
      <c r="BF88" s="21">
        <f t="shared" si="233"/>
        <v>0.13793103448275862</v>
      </c>
      <c r="BG88" s="6">
        <f t="shared" si="234"/>
        <v>0</v>
      </c>
      <c r="BH88" s="5">
        <f t="shared" si="235"/>
        <v>0</v>
      </c>
      <c r="BI88" s="6">
        <f t="shared" si="236"/>
        <v>0</v>
      </c>
      <c r="BJ88" s="5">
        <f t="shared" si="237"/>
        <v>0</v>
      </c>
      <c r="BK88" s="20">
        <f t="shared" si="238"/>
        <v>-9.9999999999999998E-13</v>
      </c>
      <c r="BL88" s="20">
        <f t="shared" si="239"/>
        <v>2.0229265003371545E-3</v>
      </c>
      <c r="BM88" s="6">
        <f t="shared" si="240"/>
        <v>3</v>
      </c>
      <c r="BN88" s="5">
        <f t="shared" si="241"/>
        <v>0.53677932405566608</v>
      </c>
      <c r="BO88" s="333">
        <f t="shared" si="242"/>
        <v>0</v>
      </c>
      <c r="BP88" s="334">
        <f t="shared" si="243"/>
        <v>0</v>
      </c>
      <c r="BQ88" s="6">
        <f t="shared" si="244"/>
        <v>8.9422222222222221</v>
      </c>
      <c r="BR88" s="5">
        <f t="shared" si="245"/>
        <v>1.6</v>
      </c>
      <c r="BS88" s="6">
        <f t="shared" si="246"/>
        <v>41.916666666666664</v>
      </c>
      <c r="BT88" s="5">
        <f t="shared" si="247"/>
        <v>7.5</v>
      </c>
      <c r="BU88" s="181">
        <f t="shared" si="248"/>
        <v>0</v>
      </c>
      <c r="BV88" s="154">
        <f t="shared" si="249"/>
        <v>0</v>
      </c>
      <c r="BW88" s="181">
        <f t="shared" si="250"/>
        <v>0</v>
      </c>
      <c r="BX88" s="180">
        <f t="shared" si="251"/>
        <v>0</v>
      </c>
      <c r="BY88" s="181">
        <f t="shared" si="252"/>
        <v>0</v>
      </c>
      <c r="BZ88" s="154">
        <f t="shared" si="253"/>
        <v>0</v>
      </c>
      <c r="CA88" s="182">
        <f t="shared" si="254"/>
        <v>0</v>
      </c>
      <c r="CB88" s="2">
        <f t="shared" si="255"/>
        <v>0</v>
      </c>
      <c r="CC88" s="2">
        <f t="shared" si="256"/>
        <v>0</v>
      </c>
      <c r="CD88" s="2">
        <f t="shared" si="257"/>
        <v>0</v>
      </c>
      <c r="CE88" s="2">
        <f t="shared" si="258"/>
        <v>1</v>
      </c>
      <c r="CF88" s="6">
        <f t="shared" si="259"/>
        <v>0</v>
      </c>
      <c r="CG88" s="6">
        <f t="shared" si="260"/>
        <v>176.97499999999999</v>
      </c>
      <c r="CH88" s="6">
        <f t="shared" si="261"/>
        <v>87</v>
      </c>
      <c r="CI88" s="20">
        <f t="shared" si="262"/>
        <v>0.49159485803079533</v>
      </c>
      <c r="CJ88" s="133">
        <f t="shared" si="263"/>
        <v>2521</v>
      </c>
      <c r="CK88" s="5">
        <f t="shared" si="264"/>
        <v>6.62</v>
      </c>
      <c r="CL88" s="300" t="s">
        <v>1235</v>
      </c>
      <c r="CM88" s="296" t="s">
        <v>13</v>
      </c>
      <c r="CN88" s="296" t="s">
        <v>1364</v>
      </c>
      <c r="CO88" s="296">
        <v>21</v>
      </c>
      <c r="CP88" s="296" t="s">
        <v>1365</v>
      </c>
      <c r="CQ88" s="296" t="s">
        <v>1366</v>
      </c>
      <c r="CR88" s="296" t="s">
        <v>644</v>
      </c>
      <c r="CS88" s="296" t="s">
        <v>1163</v>
      </c>
      <c r="CT88" s="296" t="s">
        <v>549</v>
      </c>
      <c r="CU88" s="297">
        <v>48213</v>
      </c>
      <c r="CV88" s="296">
        <v>0</v>
      </c>
      <c r="CW88" s="296">
        <v>503</v>
      </c>
      <c r="CX88" s="296">
        <v>3</v>
      </c>
      <c r="CY88" s="296">
        <v>1</v>
      </c>
      <c r="CZ88" s="296">
        <v>1</v>
      </c>
      <c r="DA88" s="296">
        <v>1</v>
      </c>
      <c r="DB88" s="296">
        <v>0</v>
      </c>
      <c r="DC88" s="296">
        <v>1.6</v>
      </c>
      <c r="DD88" s="296">
        <v>7.5</v>
      </c>
      <c r="DE88" s="296">
        <v>4</v>
      </c>
      <c r="DF88" s="296">
        <v>0</v>
      </c>
      <c r="DG88" s="296">
        <v>0</v>
      </c>
      <c r="DH88" s="296">
        <v>0</v>
      </c>
      <c r="DI88" s="296">
        <v>1</v>
      </c>
      <c r="DJ88" s="296">
        <v>0</v>
      </c>
      <c r="DK88" s="296">
        <v>0</v>
      </c>
      <c r="DL88" s="296">
        <v>153</v>
      </c>
      <c r="DM88" s="296">
        <v>84</v>
      </c>
      <c r="DN88" s="296" t="s">
        <v>975</v>
      </c>
      <c r="DO88" s="296">
        <v>0</v>
      </c>
      <c r="DP88" s="296">
        <v>0</v>
      </c>
      <c r="DQ88" s="296">
        <v>0</v>
      </c>
      <c r="DR88" s="296">
        <v>0</v>
      </c>
      <c r="DS88" s="296">
        <v>0</v>
      </c>
      <c r="DT88" s="296">
        <v>0</v>
      </c>
      <c r="DU88" s="296">
        <v>0</v>
      </c>
      <c r="DV88" s="301">
        <v>6.62</v>
      </c>
    </row>
    <row r="89" spans="1:126" ht="24.95" customHeight="1" thickBot="1" x14ac:dyDescent="0.3">
      <c r="A89" s="29" t="str">
        <f t="shared" si="176"/>
        <v>88º</v>
      </c>
      <c r="B89" s="69" t="str">
        <f t="shared" si="178"/>
        <v>Igor Carvalho</v>
      </c>
      <c r="C89" s="269" t="str">
        <f t="shared" si="179"/>
        <v>BRA</v>
      </c>
      <c r="D89" s="99" t="str">
        <f t="shared" si="180"/>
        <v>Somente Pé Direito</v>
      </c>
      <c r="E89" s="28" t="str">
        <f t="shared" si="181"/>
        <v>AFE</v>
      </c>
      <c r="F89" s="169">
        <f t="shared" si="182"/>
        <v>22</v>
      </c>
      <c r="G89" s="2" t="str">
        <f t="shared" si="183"/>
        <v>0 €</v>
      </c>
      <c r="H89" s="154">
        <f t="shared" si="184"/>
        <v>1.89</v>
      </c>
      <c r="I89" s="64">
        <f t="shared" si="185"/>
        <v>47118</v>
      </c>
      <c r="J89" s="304" t="str">
        <f t="shared" si="186"/>
        <v>825 € p/m</v>
      </c>
      <c r="K89" s="96">
        <f t="shared" si="177"/>
        <v>3.5222222222222221</v>
      </c>
      <c r="L89" s="146">
        <f t="shared" si="187"/>
        <v>0</v>
      </c>
      <c r="M89" s="6">
        <f t="shared" si="188"/>
        <v>0</v>
      </c>
      <c r="N89" s="5">
        <f t="shared" si="189"/>
        <v>5400</v>
      </c>
      <c r="O89" s="21">
        <f t="shared" si="190"/>
        <v>0</v>
      </c>
      <c r="P89" s="2">
        <f t="shared" si="191"/>
        <v>0</v>
      </c>
      <c r="Q89" s="2">
        <f t="shared" si="192"/>
        <v>0</v>
      </c>
      <c r="R89" s="5">
        <f t="shared" si="193"/>
        <v>0</v>
      </c>
      <c r="S89" s="2">
        <f t="shared" si="194"/>
        <v>0</v>
      </c>
      <c r="T89" s="2">
        <f t="shared" si="195"/>
        <v>0</v>
      </c>
      <c r="U89" s="102">
        <f t="shared" si="196"/>
        <v>0</v>
      </c>
      <c r="V89" s="102">
        <f t="shared" si="197"/>
        <v>0</v>
      </c>
      <c r="W89" s="6">
        <f t="shared" si="198"/>
        <v>0</v>
      </c>
      <c r="X89" s="5">
        <f t="shared" si="199"/>
        <v>0</v>
      </c>
      <c r="Y89" s="6">
        <f t="shared" si="200"/>
        <v>0</v>
      </c>
      <c r="Z89" s="5" t="e">
        <f t="shared" si="201"/>
        <v>#DIV/0!</v>
      </c>
      <c r="AA89" s="21">
        <f t="shared" si="202"/>
        <v>0</v>
      </c>
      <c r="AB89" s="6">
        <f t="shared" si="203"/>
        <v>0</v>
      </c>
      <c r="AC89" s="5" t="e">
        <f t="shared" si="204"/>
        <v>#DIV/0!</v>
      </c>
      <c r="AD89" s="6">
        <f t="shared" si="205"/>
        <v>0</v>
      </c>
      <c r="AE89" s="5">
        <f t="shared" si="206"/>
        <v>0</v>
      </c>
      <c r="AF89" s="21">
        <f t="shared" si="207"/>
        <v>0</v>
      </c>
      <c r="AG89" s="6">
        <f t="shared" si="208"/>
        <v>0</v>
      </c>
      <c r="AH89" s="5">
        <f t="shared" si="209"/>
        <v>0</v>
      </c>
      <c r="AI89" s="21">
        <f t="shared" si="210"/>
        <v>0</v>
      </c>
      <c r="AJ89" s="6">
        <f t="shared" si="211"/>
        <v>0</v>
      </c>
      <c r="AK89" s="5">
        <f t="shared" si="212"/>
        <v>0</v>
      </c>
      <c r="AL89" s="21">
        <f t="shared" si="213"/>
        <v>0</v>
      </c>
      <c r="AM89" s="21">
        <f t="shared" si="214"/>
        <v>0</v>
      </c>
      <c r="AN89" s="6">
        <f t="shared" si="215"/>
        <v>0</v>
      </c>
      <c r="AO89" s="5">
        <f t="shared" si="216"/>
        <v>0</v>
      </c>
      <c r="AP89" s="6">
        <f t="shared" si="217"/>
        <v>0</v>
      </c>
      <c r="AQ89" s="5">
        <f t="shared" si="218"/>
        <v>0</v>
      </c>
      <c r="AR89" s="2">
        <f t="shared" si="219"/>
        <v>0</v>
      </c>
      <c r="AS89" s="5">
        <f t="shared" si="220"/>
        <v>0</v>
      </c>
      <c r="AT89" s="21">
        <f t="shared" si="221"/>
        <v>0</v>
      </c>
      <c r="AU89" s="20">
        <f t="shared" si="222"/>
        <v>0</v>
      </c>
      <c r="AV89" s="20">
        <f t="shared" si="223"/>
        <v>1</v>
      </c>
      <c r="AW89" s="199">
        <f t="shared" si="224"/>
        <v>0</v>
      </c>
      <c r="AX89" s="24">
        <f t="shared" si="225"/>
        <v>0</v>
      </c>
      <c r="AY89" s="5">
        <f t="shared" si="226"/>
        <v>0</v>
      </c>
      <c r="AZ89" s="5">
        <f t="shared" si="227"/>
        <v>0</v>
      </c>
      <c r="BA89" s="5">
        <f t="shared" si="228"/>
        <v>0</v>
      </c>
      <c r="BB89" s="5">
        <f t="shared" si="229"/>
        <v>0</v>
      </c>
      <c r="BC89" s="5">
        <f t="shared" si="230"/>
        <v>0</v>
      </c>
      <c r="BD89" s="5">
        <f t="shared" si="231"/>
        <v>0</v>
      </c>
      <c r="BE89" s="199">
        <f t="shared" si="232"/>
        <v>0</v>
      </c>
      <c r="BF89" s="21">
        <f t="shared" si="233"/>
        <v>0</v>
      </c>
      <c r="BG89" s="6">
        <f t="shared" si="234"/>
        <v>0</v>
      </c>
      <c r="BH89" s="5" t="e">
        <f t="shared" si="235"/>
        <v>#DIV/0!</v>
      </c>
      <c r="BI89" s="6">
        <f t="shared" si="236"/>
        <v>0</v>
      </c>
      <c r="BJ89" s="5" t="e">
        <f t="shared" si="237"/>
        <v>#DIV/0!</v>
      </c>
      <c r="BK89" s="20">
        <f t="shared" si="238"/>
        <v>-9.9999999999999998E-13</v>
      </c>
      <c r="BL89" s="20">
        <f t="shared" si="239"/>
        <v>0</v>
      </c>
      <c r="BM89" s="6">
        <f t="shared" si="240"/>
        <v>0</v>
      </c>
      <c r="BN89" s="5">
        <f t="shared" si="241"/>
        <v>0</v>
      </c>
      <c r="BO89" s="333">
        <f t="shared" si="242"/>
        <v>0</v>
      </c>
      <c r="BP89" s="334">
        <f t="shared" si="243"/>
        <v>0</v>
      </c>
      <c r="BQ89" s="6">
        <f t="shared" si="244"/>
        <v>0</v>
      </c>
      <c r="BR89" s="5">
        <f t="shared" si="245"/>
        <v>0</v>
      </c>
      <c r="BS89" s="6">
        <f t="shared" si="246"/>
        <v>0</v>
      </c>
      <c r="BT89" s="5">
        <f t="shared" si="247"/>
        <v>0</v>
      </c>
      <c r="BU89" s="181">
        <f t="shared" si="248"/>
        <v>0</v>
      </c>
      <c r="BV89" s="154">
        <f t="shared" si="249"/>
        <v>0</v>
      </c>
      <c r="BW89" s="181">
        <f t="shared" si="250"/>
        <v>0</v>
      </c>
      <c r="BX89" s="180">
        <f t="shared" si="251"/>
        <v>0</v>
      </c>
      <c r="BY89" s="181">
        <f t="shared" si="252"/>
        <v>0</v>
      </c>
      <c r="BZ89" s="154">
        <f t="shared" si="253"/>
        <v>0</v>
      </c>
      <c r="CA89" s="182">
        <f t="shared" si="254"/>
        <v>0</v>
      </c>
      <c r="CB89" s="2">
        <f t="shared" si="255"/>
        <v>0</v>
      </c>
      <c r="CC89" s="2">
        <f t="shared" si="256"/>
        <v>0</v>
      </c>
      <c r="CD89" s="2">
        <f t="shared" si="257"/>
        <v>0</v>
      </c>
      <c r="CE89" s="2">
        <f t="shared" si="258"/>
        <v>0</v>
      </c>
      <c r="CF89" s="6">
        <f t="shared" si="259"/>
        <v>0</v>
      </c>
      <c r="CG89" s="6">
        <f t="shared" si="260"/>
        <v>0</v>
      </c>
      <c r="CH89" s="6">
        <f t="shared" si="261"/>
        <v>0</v>
      </c>
      <c r="CI89" s="20">
        <f t="shared" si="262"/>
        <v>0</v>
      </c>
      <c r="CJ89" s="133">
        <f t="shared" si="263"/>
        <v>2521</v>
      </c>
      <c r="CK89" s="5">
        <f t="shared" si="264"/>
        <v>0</v>
      </c>
      <c r="CL89" s="302" t="s">
        <v>19</v>
      </c>
      <c r="CM89" s="298" t="s">
        <v>13</v>
      </c>
      <c r="CN89" s="298" t="s">
        <v>1184</v>
      </c>
      <c r="CO89" s="298">
        <v>22</v>
      </c>
      <c r="CP89" s="298" t="s">
        <v>1367</v>
      </c>
      <c r="CQ89" s="298" t="s">
        <v>1131</v>
      </c>
      <c r="CR89" s="298" t="s">
        <v>645</v>
      </c>
      <c r="CS89" s="298" t="s">
        <v>1309</v>
      </c>
      <c r="CT89" s="298" t="s">
        <v>593</v>
      </c>
      <c r="CU89" s="299">
        <v>47118</v>
      </c>
      <c r="CV89" s="298">
        <v>0</v>
      </c>
      <c r="CW89" s="298">
        <v>0</v>
      </c>
      <c r="CX89" s="298">
        <v>0</v>
      </c>
      <c r="CY89" s="298">
        <v>0</v>
      </c>
      <c r="CZ89" s="298">
        <v>0</v>
      </c>
      <c r="DA89" s="298">
        <v>0</v>
      </c>
      <c r="DB89" s="298">
        <v>0</v>
      </c>
      <c r="DC89" s="298">
        <v>0</v>
      </c>
      <c r="DD89" s="298">
        <v>0</v>
      </c>
      <c r="DE89" s="298">
        <v>0</v>
      </c>
      <c r="DF89" s="298">
        <v>0</v>
      </c>
      <c r="DG89" s="298">
        <v>0</v>
      </c>
      <c r="DH89" s="298">
        <v>0</v>
      </c>
      <c r="DI89" s="298">
        <v>0</v>
      </c>
      <c r="DJ89" s="298">
        <v>0</v>
      </c>
      <c r="DK89" s="298">
        <v>0</v>
      </c>
      <c r="DL89" s="298">
        <v>0</v>
      </c>
      <c r="DM89" s="298">
        <v>0</v>
      </c>
      <c r="DN89" s="298">
        <v>0</v>
      </c>
      <c r="DO89" s="298">
        <v>0</v>
      </c>
      <c r="DP89" s="298">
        <v>0</v>
      </c>
      <c r="DQ89" s="298">
        <v>0</v>
      </c>
      <c r="DR89" s="298">
        <v>0</v>
      </c>
      <c r="DS89" s="298">
        <v>0</v>
      </c>
      <c r="DT89" s="298">
        <v>0</v>
      </c>
      <c r="DU89" s="298">
        <v>0</v>
      </c>
      <c r="DV89" s="303" t="s">
        <v>548</v>
      </c>
    </row>
    <row r="90" spans="1:126" ht="24.95" customHeight="1" thickBot="1" x14ac:dyDescent="0.3">
      <c r="A90" s="29" t="str">
        <f t="shared" si="176"/>
        <v>89º</v>
      </c>
      <c r="B90" s="69" t="str">
        <f t="shared" si="178"/>
        <v>Carlos Eduardo</v>
      </c>
      <c r="C90" s="269" t="str">
        <f t="shared" si="179"/>
        <v>BRA</v>
      </c>
      <c r="D90" s="99" t="str">
        <f t="shared" si="180"/>
        <v>Pé Direito</v>
      </c>
      <c r="E90" s="28" t="str">
        <f t="shared" si="181"/>
        <v>ATP</v>
      </c>
      <c r="F90" s="169">
        <f t="shared" si="182"/>
        <v>22</v>
      </c>
      <c r="G90" s="2" t="str">
        <f t="shared" si="183"/>
        <v>0 €</v>
      </c>
      <c r="H90" s="154">
        <f t="shared" si="184"/>
        <v>1.83</v>
      </c>
      <c r="I90" s="64">
        <f t="shared" si="185"/>
        <v>47848</v>
      </c>
      <c r="J90" s="304" t="str">
        <f t="shared" si="186"/>
        <v>2,7m € p/m</v>
      </c>
      <c r="K90" s="96">
        <f t="shared" si="177"/>
        <v>3.5222222222222221</v>
      </c>
      <c r="L90" s="146">
        <f t="shared" si="187"/>
        <v>0</v>
      </c>
      <c r="M90" s="6">
        <f t="shared" si="188"/>
        <v>0</v>
      </c>
      <c r="N90" s="5">
        <f t="shared" si="189"/>
        <v>5400</v>
      </c>
      <c r="O90" s="21">
        <f t="shared" si="190"/>
        <v>0</v>
      </c>
      <c r="P90" s="2">
        <f t="shared" si="191"/>
        <v>0</v>
      </c>
      <c r="Q90" s="2">
        <f t="shared" si="192"/>
        <v>0</v>
      </c>
      <c r="R90" s="5">
        <f t="shared" si="193"/>
        <v>0</v>
      </c>
      <c r="S90" s="2">
        <f t="shared" si="194"/>
        <v>0</v>
      </c>
      <c r="T90" s="2">
        <f t="shared" si="195"/>
        <v>0</v>
      </c>
      <c r="U90" s="102">
        <f t="shared" si="196"/>
        <v>0</v>
      </c>
      <c r="V90" s="102">
        <f t="shared" si="197"/>
        <v>0</v>
      </c>
      <c r="W90" s="6">
        <f t="shared" si="198"/>
        <v>0</v>
      </c>
      <c r="X90" s="5">
        <f t="shared" si="199"/>
        <v>0</v>
      </c>
      <c r="Y90" s="6">
        <f t="shared" si="200"/>
        <v>0</v>
      </c>
      <c r="Z90" s="5" t="e">
        <f t="shared" si="201"/>
        <v>#DIV/0!</v>
      </c>
      <c r="AA90" s="21">
        <f t="shared" si="202"/>
        <v>0</v>
      </c>
      <c r="AB90" s="6">
        <f t="shared" si="203"/>
        <v>0</v>
      </c>
      <c r="AC90" s="5" t="e">
        <f t="shared" si="204"/>
        <v>#DIV/0!</v>
      </c>
      <c r="AD90" s="6">
        <f t="shared" si="205"/>
        <v>0</v>
      </c>
      <c r="AE90" s="5">
        <f t="shared" si="206"/>
        <v>0</v>
      </c>
      <c r="AF90" s="21">
        <f t="shared" si="207"/>
        <v>0</v>
      </c>
      <c r="AG90" s="6">
        <f t="shared" si="208"/>
        <v>0</v>
      </c>
      <c r="AH90" s="5">
        <f t="shared" si="209"/>
        <v>0</v>
      </c>
      <c r="AI90" s="21">
        <f t="shared" si="210"/>
        <v>0</v>
      </c>
      <c r="AJ90" s="6">
        <f t="shared" si="211"/>
        <v>0</v>
      </c>
      <c r="AK90" s="5">
        <f t="shared" si="212"/>
        <v>0</v>
      </c>
      <c r="AL90" s="21">
        <f t="shared" si="213"/>
        <v>0</v>
      </c>
      <c r="AM90" s="21">
        <f t="shared" si="214"/>
        <v>0</v>
      </c>
      <c r="AN90" s="6">
        <f t="shared" si="215"/>
        <v>0</v>
      </c>
      <c r="AO90" s="5">
        <f t="shared" si="216"/>
        <v>0</v>
      </c>
      <c r="AP90" s="6">
        <f t="shared" si="217"/>
        <v>0</v>
      </c>
      <c r="AQ90" s="5">
        <f t="shared" si="218"/>
        <v>0</v>
      </c>
      <c r="AR90" s="2">
        <f t="shared" si="219"/>
        <v>0</v>
      </c>
      <c r="AS90" s="5">
        <f t="shared" si="220"/>
        <v>0</v>
      </c>
      <c r="AT90" s="21">
        <f t="shared" si="221"/>
        <v>0</v>
      </c>
      <c r="AU90" s="20">
        <f t="shared" si="222"/>
        <v>0</v>
      </c>
      <c r="AV90" s="20">
        <f t="shared" si="223"/>
        <v>1</v>
      </c>
      <c r="AW90" s="199">
        <f t="shared" si="224"/>
        <v>0</v>
      </c>
      <c r="AX90" s="24">
        <f t="shared" si="225"/>
        <v>0</v>
      </c>
      <c r="AY90" s="5">
        <f t="shared" si="226"/>
        <v>0</v>
      </c>
      <c r="AZ90" s="5">
        <f t="shared" si="227"/>
        <v>0</v>
      </c>
      <c r="BA90" s="5">
        <f t="shared" si="228"/>
        <v>0</v>
      </c>
      <c r="BB90" s="5">
        <f t="shared" si="229"/>
        <v>0</v>
      </c>
      <c r="BC90" s="5">
        <f t="shared" si="230"/>
        <v>0</v>
      </c>
      <c r="BD90" s="5">
        <f t="shared" si="231"/>
        <v>0</v>
      </c>
      <c r="BE90" s="199">
        <f t="shared" si="232"/>
        <v>0</v>
      </c>
      <c r="BF90" s="21">
        <f t="shared" si="233"/>
        <v>0</v>
      </c>
      <c r="BG90" s="6">
        <f t="shared" si="234"/>
        <v>0</v>
      </c>
      <c r="BH90" s="5" t="e">
        <f t="shared" si="235"/>
        <v>#DIV/0!</v>
      </c>
      <c r="BI90" s="6">
        <f t="shared" si="236"/>
        <v>0</v>
      </c>
      <c r="BJ90" s="5" t="e">
        <f t="shared" si="237"/>
        <v>#DIV/0!</v>
      </c>
      <c r="BK90" s="20">
        <f t="shared" si="238"/>
        <v>-9.9999999999999998E-13</v>
      </c>
      <c r="BL90" s="20">
        <f t="shared" si="239"/>
        <v>0</v>
      </c>
      <c r="BM90" s="6">
        <f t="shared" si="240"/>
        <v>0</v>
      </c>
      <c r="BN90" s="5">
        <f t="shared" si="241"/>
        <v>0</v>
      </c>
      <c r="BO90" s="333">
        <f t="shared" si="242"/>
        <v>0</v>
      </c>
      <c r="BP90" s="334">
        <f t="shared" si="243"/>
        <v>0</v>
      </c>
      <c r="BQ90" s="6">
        <f t="shared" si="244"/>
        <v>0</v>
      </c>
      <c r="BR90" s="5">
        <f t="shared" si="245"/>
        <v>0</v>
      </c>
      <c r="BS90" s="6">
        <f t="shared" si="246"/>
        <v>0</v>
      </c>
      <c r="BT90" s="5">
        <f t="shared" si="247"/>
        <v>0</v>
      </c>
      <c r="BU90" s="181">
        <f t="shared" si="248"/>
        <v>0</v>
      </c>
      <c r="BV90" s="154">
        <f t="shared" si="249"/>
        <v>0</v>
      </c>
      <c r="BW90" s="181">
        <f t="shared" si="250"/>
        <v>0</v>
      </c>
      <c r="BX90" s="180">
        <f t="shared" si="251"/>
        <v>0</v>
      </c>
      <c r="BY90" s="181">
        <f t="shared" si="252"/>
        <v>0</v>
      </c>
      <c r="BZ90" s="154">
        <f t="shared" si="253"/>
        <v>0</v>
      </c>
      <c r="CA90" s="182">
        <f t="shared" si="254"/>
        <v>0</v>
      </c>
      <c r="CB90" s="2">
        <f t="shared" si="255"/>
        <v>0</v>
      </c>
      <c r="CC90" s="2">
        <f t="shared" si="256"/>
        <v>0</v>
      </c>
      <c r="CD90" s="2">
        <f t="shared" si="257"/>
        <v>0</v>
      </c>
      <c r="CE90" s="2">
        <f t="shared" si="258"/>
        <v>0</v>
      </c>
      <c r="CF90" s="6">
        <f t="shared" si="259"/>
        <v>0</v>
      </c>
      <c r="CG90" s="6">
        <f t="shared" si="260"/>
        <v>0</v>
      </c>
      <c r="CH90" s="6">
        <f t="shared" si="261"/>
        <v>0</v>
      </c>
      <c r="CI90" s="20">
        <f t="shared" si="262"/>
        <v>0</v>
      </c>
      <c r="CJ90" s="133">
        <f t="shared" si="263"/>
        <v>2521</v>
      </c>
      <c r="CK90" s="5">
        <f t="shared" si="264"/>
        <v>0</v>
      </c>
      <c r="CL90" s="300"/>
      <c r="CM90" s="296" t="s">
        <v>13</v>
      </c>
      <c r="CN90" s="296" t="s">
        <v>1368</v>
      </c>
      <c r="CO90" s="296">
        <v>22</v>
      </c>
      <c r="CP90" s="296" t="s">
        <v>1369</v>
      </c>
      <c r="CQ90" s="296" t="s">
        <v>1131</v>
      </c>
      <c r="CR90" s="296" t="s">
        <v>644</v>
      </c>
      <c r="CS90" s="296" t="s">
        <v>1216</v>
      </c>
      <c r="CT90" s="296" t="s">
        <v>586</v>
      </c>
      <c r="CU90" s="297">
        <v>47848</v>
      </c>
      <c r="CV90" s="296">
        <v>0</v>
      </c>
      <c r="CW90" s="296">
        <v>0</v>
      </c>
      <c r="CX90" s="296">
        <v>0</v>
      </c>
      <c r="CY90" s="296">
        <v>0</v>
      </c>
      <c r="CZ90" s="296">
        <v>0</v>
      </c>
      <c r="DA90" s="296">
        <v>0</v>
      </c>
      <c r="DB90" s="296">
        <v>0</v>
      </c>
      <c r="DC90" s="296">
        <v>0</v>
      </c>
      <c r="DD90" s="296">
        <v>0</v>
      </c>
      <c r="DE90" s="296">
        <v>0</v>
      </c>
      <c r="DF90" s="296">
        <v>0</v>
      </c>
      <c r="DG90" s="296">
        <v>0</v>
      </c>
      <c r="DH90" s="296">
        <v>0</v>
      </c>
      <c r="DI90" s="296">
        <v>0</v>
      </c>
      <c r="DJ90" s="296">
        <v>0</v>
      </c>
      <c r="DK90" s="296">
        <v>0</v>
      </c>
      <c r="DL90" s="296">
        <v>0</v>
      </c>
      <c r="DM90" s="296">
        <v>0</v>
      </c>
      <c r="DN90" s="296">
        <v>0</v>
      </c>
      <c r="DO90" s="296">
        <v>0</v>
      </c>
      <c r="DP90" s="296">
        <v>0</v>
      </c>
      <c r="DQ90" s="296">
        <v>0</v>
      </c>
      <c r="DR90" s="296">
        <v>0</v>
      </c>
      <c r="DS90" s="296">
        <v>0</v>
      </c>
      <c r="DT90" s="296">
        <v>0</v>
      </c>
      <c r="DU90" s="296">
        <v>0</v>
      </c>
      <c r="DV90" s="301" t="s">
        <v>548</v>
      </c>
    </row>
    <row r="91" spans="1:126" ht="24.95" customHeight="1" thickBot="1" x14ac:dyDescent="0.3">
      <c r="A91" s="29" t="str">
        <f t="shared" si="176"/>
        <v>90º</v>
      </c>
      <c r="B91" s="69" t="str">
        <f t="shared" si="178"/>
        <v>Pedro Lopes</v>
      </c>
      <c r="C91" s="269" t="str">
        <f t="shared" si="179"/>
        <v>BRA</v>
      </c>
      <c r="D91" s="99" t="str">
        <f t="shared" si="180"/>
        <v>Somente Pé Direito</v>
      </c>
      <c r="E91" s="28" t="str">
        <f t="shared" si="181"/>
        <v>ATP</v>
      </c>
      <c r="F91" s="169">
        <f t="shared" si="182"/>
        <v>19</v>
      </c>
      <c r="G91" s="2" t="str">
        <f t="shared" si="183"/>
        <v>0 €</v>
      </c>
      <c r="H91" s="154">
        <f t="shared" si="184"/>
        <v>1.95</v>
      </c>
      <c r="I91" s="64">
        <f t="shared" si="185"/>
        <v>47848</v>
      </c>
      <c r="J91" s="304" t="str">
        <f t="shared" si="186"/>
        <v>1,1m € p/m</v>
      </c>
      <c r="K91" s="96">
        <f t="shared" si="177"/>
        <v>3.5222222222222221</v>
      </c>
      <c r="L91" s="146">
        <f t="shared" si="187"/>
        <v>0</v>
      </c>
      <c r="M91" s="6">
        <f t="shared" si="188"/>
        <v>0</v>
      </c>
      <c r="N91" s="5">
        <f t="shared" si="189"/>
        <v>5400</v>
      </c>
      <c r="O91" s="21">
        <f t="shared" si="190"/>
        <v>0</v>
      </c>
      <c r="P91" s="2">
        <f t="shared" si="191"/>
        <v>0</v>
      </c>
      <c r="Q91" s="2">
        <f t="shared" si="192"/>
        <v>0</v>
      </c>
      <c r="R91" s="5">
        <f t="shared" si="193"/>
        <v>0</v>
      </c>
      <c r="S91" s="2">
        <f t="shared" si="194"/>
        <v>0</v>
      </c>
      <c r="T91" s="2">
        <f t="shared" si="195"/>
        <v>0</v>
      </c>
      <c r="U91" s="102">
        <f t="shared" si="196"/>
        <v>0</v>
      </c>
      <c r="V91" s="102">
        <f t="shared" si="197"/>
        <v>0</v>
      </c>
      <c r="W91" s="6">
        <f t="shared" si="198"/>
        <v>0</v>
      </c>
      <c r="X91" s="5">
        <f t="shared" si="199"/>
        <v>0</v>
      </c>
      <c r="Y91" s="6">
        <f t="shared" si="200"/>
        <v>0</v>
      </c>
      <c r="Z91" s="5" t="e">
        <f t="shared" si="201"/>
        <v>#DIV/0!</v>
      </c>
      <c r="AA91" s="21">
        <f t="shared" si="202"/>
        <v>0</v>
      </c>
      <c r="AB91" s="6">
        <f t="shared" si="203"/>
        <v>0</v>
      </c>
      <c r="AC91" s="5" t="e">
        <f t="shared" si="204"/>
        <v>#DIV/0!</v>
      </c>
      <c r="AD91" s="6">
        <f t="shared" si="205"/>
        <v>0</v>
      </c>
      <c r="AE91" s="5">
        <f t="shared" si="206"/>
        <v>0</v>
      </c>
      <c r="AF91" s="21">
        <f t="shared" si="207"/>
        <v>0</v>
      </c>
      <c r="AG91" s="6">
        <f t="shared" si="208"/>
        <v>0</v>
      </c>
      <c r="AH91" s="5">
        <f t="shared" si="209"/>
        <v>0</v>
      </c>
      <c r="AI91" s="21">
        <f t="shared" si="210"/>
        <v>0</v>
      </c>
      <c r="AJ91" s="6">
        <f t="shared" si="211"/>
        <v>0</v>
      </c>
      <c r="AK91" s="5">
        <f t="shared" si="212"/>
        <v>0</v>
      </c>
      <c r="AL91" s="21">
        <f t="shared" si="213"/>
        <v>0</v>
      </c>
      <c r="AM91" s="21">
        <f t="shared" si="214"/>
        <v>0</v>
      </c>
      <c r="AN91" s="6">
        <f t="shared" si="215"/>
        <v>0</v>
      </c>
      <c r="AO91" s="5">
        <f t="shared" si="216"/>
        <v>0</v>
      </c>
      <c r="AP91" s="6">
        <f t="shared" si="217"/>
        <v>0</v>
      </c>
      <c r="AQ91" s="5">
        <f t="shared" si="218"/>
        <v>0</v>
      </c>
      <c r="AR91" s="2">
        <f t="shared" si="219"/>
        <v>0</v>
      </c>
      <c r="AS91" s="5">
        <f t="shared" si="220"/>
        <v>0</v>
      </c>
      <c r="AT91" s="21">
        <f t="shared" si="221"/>
        <v>0</v>
      </c>
      <c r="AU91" s="20">
        <f t="shared" si="222"/>
        <v>0</v>
      </c>
      <c r="AV91" s="20">
        <f t="shared" si="223"/>
        <v>1</v>
      </c>
      <c r="AW91" s="199">
        <f t="shared" si="224"/>
        <v>0</v>
      </c>
      <c r="AX91" s="24">
        <f t="shared" si="225"/>
        <v>0</v>
      </c>
      <c r="AY91" s="5">
        <f t="shared" si="226"/>
        <v>0</v>
      </c>
      <c r="AZ91" s="5">
        <f t="shared" si="227"/>
        <v>0</v>
      </c>
      <c r="BA91" s="5">
        <f t="shared" si="228"/>
        <v>0</v>
      </c>
      <c r="BB91" s="5">
        <f t="shared" si="229"/>
        <v>0</v>
      </c>
      <c r="BC91" s="5">
        <f t="shared" si="230"/>
        <v>0</v>
      </c>
      <c r="BD91" s="5">
        <f t="shared" si="231"/>
        <v>0</v>
      </c>
      <c r="BE91" s="199">
        <f t="shared" si="232"/>
        <v>0</v>
      </c>
      <c r="BF91" s="21">
        <f t="shared" si="233"/>
        <v>0</v>
      </c>
      <c r="BG91" s="6">
        <f t="shared" si="234"/>
        <v>0</v>
      </c>
      <c r="BH91" s="5" t="e">
        <f t="shared" si="235"/>
        <v>#DIV/0!</v>
      </c>
      <c r="BI91" s="6">
        <f t="shared" si="236"/>
        <v>0</v>
      </c>
      <c r="BJ91" s="5" t="e">
        <f t="shared" si="237"/>
        <v>#DIV/0!</v>
      </c>
      <c r="BK91" s="20">
        <f t="shared" si="238"/>
        <v>-9.9999999999999998E-13</v>
      </c>
      <c r="BL91" s="20">
        <f t="shared" si="239"/>
        <v>0</v>
      </c>
      <c r="BM91" s="6">
        <f t="shared" si="240"/>
        <v>0</v>
      </c>
      <c r="BN91" s="5">
        <f t="shared" si="241"/>
        <v>0</v>
      </c>
      <c r="BO91" s="333">
        <f t="shared" si="242"/>
        <v>0</v>
      </c>
      <c r="BP91" s="334">
        <f t="shared" si="243"/>
        <v>0</v>
      </c>
      <c r="BQ91" s="6">
        <f t="shared" si="244"/>
        <v>0</v>
      </c>
      <c r="BR91" s="5">
        <f t="shared" si="245"/>
        <v>0</v>
      </c>
      <c r="BS91" s="6">
        <f t="shared" si="246"/>
        <v>0</v>
      </c>
      <c r="BT91" s="5">
        <f t="shared" si="247"/>
        <v>0</v>
      </c>
      <c r="BU91" s="181">
        <f t="shared" si="248"/>
        <v>0</v>
      </c>
      <c r="BV91" s="154">
        <f t="shared" si="249"/>
        <v>0</v>
      </c>
      <c r="BW91" s="181">
        <f t="shared" si="250"/>
        <v>0</v>
      </c>
      <c r="BX91" s="180">
        <f t="shared" si="251"/>
        <v>0</v>
      </c>
      <c r="BY91" s="181">
        <f t="shared" si="252"/>
        <v>0</v>
      </c>
      <c r="BZ91" s="154">
        <f t="shared" si="253"/>
        <v>0</v>
      </c>
      <c r="CA91" s="182">
        <f t="shared" si="254"/>
        <v>0</v>
      </c>
      <c r="CB91" s="2">
        <f t="shared" si="255"/>
        <v>0</v>
      </c>
      <c r="CC91" s="2">
        <f t="shared" si="256"/>
        <v>0</v>
      </c>
      <c r="CD91" s="2">
        <f t="shared" si="257"/>
        <v>0</v>
      </c>
      <c r="CE91" s="2">
        <f t="shared" si="258"/>
        <v>0</v>
      </c>
      <c r="CF91" s="6">
        <f t="shared" si="259"/>
        <v>0</v>
      </c>
      <c r="CG91" s="6">
        <f t="shared" si="260"/>
        <v>0</v>
      </c>
      <c r="CH91" s="6">
        <f t="shared" si="261"/>
        <v>0</v>
      </c>
      <c r="CI91" s="20">
        <f t="shared" si="262"/>
        <v>0</v>
      </c>
      <c r="CJ91" s="133">
        <f t="shared" si="263"/>
        <v>2521</v>
      </c>
      <c r="CK91" s="5">
        <f t="shared" si="264"/>
        <v>0</v>
      </c>
      <c r="CL91" s="302" t="s">
        <v>19</v>
      </c>
      <c r="CM91" s="298" t="s">
        <v>13</v>
      </c>
      <c r="CN91" s="298" t="s">
        <v>1368</v>
      </c>
      <c r="CO91" s="298">
        <v>19</v>
      </c>
      <c r="CP91" s="298" t="s">
        <v>1370</v>
      </c>
      <c r="CQ91" s="298" t="s">
        <v>1131</v>
      </c>
      <c r="CR91" s="298" t="s">
        <v>645</v>
      </c>
      <c r="CS91" s="298" t="s">
        <v>887</v>
      </c>
      <c r="CT91" s="298" t="s">
        <v>680</v>
      </c>
      <c r="CU91" s="299">
        <v>47848</v>
      </c>
      <c r="CV91" s="298">
        <v>0</v>
      </c>
      <c r="CW91" s="298">
        <v>0</v>
      </c>
      <c r="CX91" s="298">
        <v>0</v>
      </c>
      <c r="CY91" s="298">
        <v>0</v>
      </c>
      <c r="CZ91" s="298">
        <v>0</v>
      </c>
      <c r="DA91" s="298">
        <v>0</v>
      </c>
      <c r="DB91" s="298">
        <v>0</v>
      </c>
      <c r="DC91" s="298">
        <v>0</v>
      </c>
      <c r="DD91" s="298">
        <v>0</v>
      </c>
      <c r="DE91" s="298">
        <v>0</v>
      </c>
      <c r="DF91" s="298">
        <v>0</v>
      </c>
      <c r="DG91" s="298">
        <v>0</v>
      </c>
      <c r="DH91" s="298">
        <v>0</v>
      </c>
      <c r="DI91" s="298">
        <v>0</v>
      </c>
      <c r="DJ91" s="298">
        <v>0</v>
      </c>
      <c r="DK91" s="298">
        <v>0</v>
      </c>
      <c r="DL91" s="298">
        <v>0</v>
      </c>
      <c r="DM91" s="298">
        <v>0</v>
      </c>
      <c r="DN91" s="298">
        <v>0</v>
      </c>
      <c r="DO91" s="298">
        <v>0</v>
      </c>
      <c r="DP91" s="298">
        <v>0</v>
      </c>
      <c r="DQ91" s="298">
        <v>0</v>
      </c>
      <c r="DR91" s="298">
        <v>0</v>
      </c>
      <c r="DS91" s="298">
        <v>0</v>
      </c>
      <c r="DT91" s="298">
        <v>0</v>
      </c>
      <c r="DU91" s="298">
        <v>0</v>
      </c>
      <c r="DV91" s="303" t="s">
        <v>548</v>
      </c>
    </row>
    <row r="92" spans="1:126" ht="24.95" customHeight="1" thickBot="1" x14ac:dyDescent="0.3">
      <c r="A92" s="29" t="str">
        <f t="shared" si="176"/>
        <v>91º</v>
      </c>
      <c r="B92" s="69" t="str">
        <f t="shared" si="178"/>
        <v>Ruriel Dutra</v>
      </c>
      <c r="C92" s="269" t="str">
        <f t="shared" si="179"/>
        <v>BRA</v>
      </c>
      <c r="D92" s="99" t="str">
        <f t="shared" si="180"/>
        <v>Pé Direito</v>
      </c>
      <c r="E92" s="28" t="str">
        <f t="shared" si="181"/>
        <v>SAN</v>
      </c>
      <c r="F92" s="169">
        <f t="shared" si="182"/>
        <v>18</v>
      </c>
      <c r="G92" s="2" t="str">
        <f t="shared" si="183"/>
        <v>16m € - 150m €</v>
      </c>
      <c r="H92" s="154">
        <f t="shared" si="184"/>
        <v>1.92</v>
      </c>
      <c r="I92" s="64">
        <f t="shared" si="185"/>
        <v>47118</v>
      </c>
      <c r="J92" s="304" t="str">
        <f t="shared" si="186"/>
        <v>750 € p/m</v>
      </c>
      <c r="K92" s="96">
        <f t="shared" si="177"/>
        <v>3.5222222222222221</v>
      </c>
      <c r="L92" s="146">
        <f t="shared" si="187"/>
        <v>0</v>
      </c>
      <c r="M92" s="6">
        <f t="shared" si="188"/>
        <v>0</v>
      </c>
      <c r="N92" s="5">
        <f t="shared" si="189"/>
        <v>5400</v>
      </c>
      <c r="O92" s="21">
        <f t="shared" si="190"/>
        <v>0</v>
      </c>
      <c r="P92" s="2">
        <f t="shared" si="191"/>
        <v>0</v>
      </c>
      <c r="Q92" s="2">
        <f t="shared" si="192"/>
        <v>0</v>
      </c>
      <c r="R92" s="5">
        <f t="shared" si="193"/>
        <v>0</v>
      </c>
      <c r="S92" s="2">
        <f t="shared" si="194"/>
        <v>0</v>
      </c>
      <c r="T92" s="2">
        <f t="shared" si="195"/>
        <v>0</v>
      </c>
      <c r="U92" s="102">
        <f t="shared" si="196"/>
        <v>0</v>
      </c>
      <c r="V92" s="102">
        <f t="shared" si="197"/>
        <v>0</v>
      </c>
      <c r="W92" s="6">
        <f t="shared" si="198"/>
        <v>0</v>
      </c>
      <c r="X92" s="5">
        <f t="shared" si="199"/>
        <v>0</v>
      </c>
      <c r="Y92" s="6">
        <f t="shared" si="200"/>
        <v>0</v>
      </c>
      <c r="Z92" s="5" t="e">
        <f t="shared" si="201"/>
        <v>#DIV/0!</v>
      </c>
      <c r="AA92" s="21">
        <f t="shared" si="202"/>
        <v>0</v>
      </c>
      <c r="AB92" s="6">
        <f t="shared" si="203"/>
        <v>0</v>
      </c>
      <c r="AC92" s="5" t="e">
        <f t="shared" si="204"/>
        <v>#DIV/0!</v>
      </c>
      <c r="AD92" s="6">
        <f t="shared" si="205"/>
        <v>0</v>
      </c>
      <c r="AE92" s="5">
        <f t="shared" si="206"/>
        <v>0</v>
      </c>
      <c r="AF92" s="21">
        <f t="shared" si="207"/>
        <v>0</v>
      </c>
      <c r="AG92" s="6">
        <f t="shared" si="208"/>
        <v>0</v>
      </c>
      <c r="AH92" s="5">
        <f t="shared" si="209"/>
        <v>0</v>
      </c>
      <c r="AI92" s="21">
        <f t="shared" si="210"/>
        <v>0</v>
      </c>
      <c r="AJ92" s="6">
        <f t="shared" si="211"/>
        <v>0</v>
      </c>
      <c r="AK92" s="5">
        <f t="shared" si="212"/>
        <v>0</v>
      </c>
      <c r="AL92" s="21">
        <f t="shared" si="213"/>
        <v>0</v>
      </c>
      <c r="AM92" s="21">
        <f t="shared" si="214"/>
        <v>0</v>
      </c>
      <c r="AN92" s="6">
        <f t="shared" si="215"/>
        <v>0</v>
      </c>
      <c r="AO92" s="5">
        <f t="shared" si="216"/>
        <v>0</v>
      </c>
      <c r="AP92" s="6">
        <f t="shared" si="217"/>
        <v>0</v>
      </c>
      <c r="AQ92" s="5">
        <f t="shared" si="218"/>
        <v>0</v>
      </c>
      <c r="AR92" s="2">
        <f t="shared" si="219"/>
        <v>0</v>
      </c>
      <c r="AS92" s="5">
        <f t="shared" si="220"/>
        <v>0</v>
      </c>
      <c r="AT92" s="21">
        <f t="shared" si="221"/>
        <v>0</v>
      </c>
      <c r="AU92" s="20">
        <f t="shared" si="222"/>
        <v>0</v>
      </c>
      <c r="AV92" s="20">
        <f t="shared" si="223"/>
        <v>1</v>
      </c>
      <c r="AW92" s="199">
        <f t="shared" si="224"/>
        <v>0</v>
      </c>
      <c r="AX92" s="24">
        <f t="shared" si="225"/>
        <v>0</v>
      </c>
      <c r="AY92" s="5">
        <f t="shared" si="226"/>
        <v>0</v>
      </c>
      <c r="AZ92" s="5">
        <f t="shared" si="227"/>
        <v>0</v>
      </c>
      <c r="BA92" s="5">
        <f t="shared" si="228"/>
        <v>0</v>
      </c>
      <c r="BB92" s="5">
        <f t="shared" si="229"/>
        <v>0</v>
      </c>
      <c r="BC92" s="5">
        <f t="shared" si="230"/>
        <v>0</v>
      </c>
      <c r="BD92" s="5">
        <f t="shared" si="231"/>
        <v>0</v>
      </c>
      <c r="BE92" s="199">
        <f t="shared" si="232"/>
        <v>0</v>
      </c>
      <c r="BF92" s="21">
        <f t="shared" si="233"/>
        <v>0</v>
      </c>
      <c r="BG92" s="6">
        <f t="shared" si="234"/>
        <v>0</v>
      </c>
      <c r="BH92" s="5" t="e">
        <f t="shared" si="235"/>
        <v>#DIV/0!</v>
      </c>
      <c r="BI92" s="6">
        <f t="shared" si="236"/>
        <v>0</v>
      </c>
      <c r="BJ92" s="5" t="e">
        <f t="shared" si="237"/>
        <v>#DIV/0!</v>
      </c>
      <c r="BK92" s="20">
        <f t="shared" si="238"/>
        <v>-9.9999999999999998E-13</v>
      </c>
      <c r="BL92" s="20">
        <f t="shared" si="239"/>
        <v>0</v>
      </c>
      <c r="BM92" s="6">
        <f t="shared" si="240"/>
        <v>0</v>
      </c>
      <c r="BN92" s="5">
        <f t="shared" si="241"/>
        <v>0</v>
      </c>
      <c r="BO92" s="333">
        <f t="shared" si="242"/>
        <v>0</v>
      </c>
      <c r="BP92" s="334">
        <f t="shared" si="243"/>
        <v>0</v>
      </c>
      <c r="BQ92" s="6">
        <f t="shared" si="244"/>
        <v>0</v>
      </c>
      <c r="BR92" s="5">
        <f t="shared" si="245"/>
        <v>0</v>
      </c>
      <c r="BS92" s="6">
        <f t="shared" si="246"/>
        <v>0</v>
      </c>
      <c r="BT92" s="5">
        <f t="shared" si="247"/>
        <v>0</v>
      </c>
      <c r="BU92" s="181">
        <f t="shared" si="248"/>
        <v>0</v>
      </c>
      <c r="BV92" s="154">
        <f t="shared" si="249"/>
        <v>0</v>
      </c>
      <c r="BW92" s="181">
        <f t="shared" si="250"/>
        <v>0</v>
      </c>
      <c r="BX92" s="180">
        <f t="shared" si="251"/>
        <v>0</v>
      </c>
      <c r="BY92" s="181">
        <f t="shared" si="252"/>
        <v>0</v>
      </c>
      <c r="BZ92" s="154">
        <f t="shared" si="253"/>
        <v>0</v>
      </c>
      <c r="CA92" s="182">
        <f t="shared" si="254"/>
        <v>0</v>
      </c>
      <c r="CB92" s="2">
        <f t="shared" si="255"/>
        <v>0</v>
      </c>
      <c r="CC92" s="2">
        <f t="shared" si="256"/>
        <v>0</v>
      </c>
      <c r="CD92" s="2">
        <f t="shared" si="257"/>
        <v>0</v>
      </c>
      <c r="CE92" s="2">
        <f t="shared" si="258"/>
        <v>0</v>
      </c>
      <c r="CF92" s="6">
        <f t="shared" si="259"/>
        <v>0</v>
      </c>
      <c r="CG92" s="6">
        <f t="shared" si="260"/>
        <v>0</v>
      </c>
      <c r="CH92" s="6">
        <f t="shared" si="261"/>
        <v>0</v>
      </c>
      <c r="CI92" s="20">
        <f t="shared" si="262"/>
        <v>0</v>
      </c>
      <c r="CJ92" s="133">
        <f t="shared" si="263"/>
        <v>2521</v>
      </c>
      <c r="CK92" s="5">
        <f t="shared" si="264"/>
        <v>0</v>
      </c>
      <c r="CL92" s="300" t="s">
        <v>1235</v>
      </c>
      <c r="CM92" s="296" t="s">
        <v>13</v>
      </c>
      <c r="CN92" s="296" t="s">
        <v>1245</v>
      </c>
      <c r="CO92" s="296">
        <v>18</v>
      </c>
      <c r="CP92" s="296" t="s">
        <v>1371</v>
      </c>
      <c r="CQ92" s="296" t="s">
        <v>1372</v>
      </c>
      <c r="CR92" s="296" t="s">
        <v>644</v>
      </c>
      <c r="CS92" s="296" t="s">
        <v>1247</v>
      </c>
      <c r="CT92" s="296" t="s">
        <v>549</v>
      </c>
      <c r="CU92" s="297">
        <v>47118</v>
      </c>
      <c r="CV92" s="296">
        <v>0</v>
      </c>
      <c r="CW92" s="296">
        <v>0</v>
      </c>
      <c r="CX92" s="296">
        <v>0</v>
      </c>
      <c r="CY92" s="296">
        <v>0</v>
      </c>
      <c r="CZ92" s="296">
        <v>0</v>
      </c>
      <c r="DA92" s="296">
        <v>0</v>
      </c>
      <c r="DB92" s="296">
        <v>0</v>
      </c>
      <c r="DC92" s="296">
        <v>0</v>
      </c>
      <c r="DD92" s="296">
        <v>0</v>
      </c>
      <c r="DE92" s="296">
        <v>0</v>
      </c>
      <c r="DF92" s="296">
        <v>0</v>
      </c>
      <c r="DG92" s="296">
        <v>0</v>
      </c>
      <c r="DH92" s="296">
        <v>0</v>
      </c>
      <c r="DI92" s="296">
        <v>0</v>
      </c>
      <c r="DJ92" s="296">
        <v>0</v>
      </c>
      <c r="DK92" s="296">
        <v>0</v>
      </c>
      <c r="DL92" s="296">
        <v>0</v>
      </c>
      <c r="DM92" s="296">
        <v>0</v>
      </c>
      <c r="DN92" s="296">
        <v>0</v>
      </c>
      <c r="DO92" s="296">
        <v>0</v>
      </c>
      <c r="DP92" s="296">
        <v>0</v>
      </c>
      <c r="DQ92" s="296">
        <v>0</v>
      </c>
      <c r="DR92" s="296">
        <v>0</v>
      </c>
      <c r="DS92" s="296">
        <v>0</v>
      </c>
      <c r="DT92" s="296">
        <v>0</v>
      </c>
      <c r="DU92" s="296">
        <v>0</v>
      </c>
      <c r="DV92" s="301" t="s">
        <v>548</v>
      </c>
    </row>
    <row r="93" spans="1:126" ht="24.95" customHeight="1" thickBot="1" x14ac:dyDescent="0.3">
      <c r="A93" s="29" t="str">
        <f t="shared" si="176"/>
        <v>92º</v>
      </c>
      <c r="B93" s="69" t="str">
        <f t="shared" si="178"/>
        <v>Gustavo Hobold</v>
      </c>
      <c r="C93" s="269" t="str">
        <f t="shared" si="179"/>
        <v>BRA</v>
      </c>
      <c r="D93" s="99" t="str">
        <f t="shared" si="180"/>
        <v>Pé Esquerdo</v>
      </c>
      <c r="E93" s="28" t="str">
        <f t="shared" si="181"/>
        <v>GN</v>
      </c>
      <c r="F93" s="169">
        <f t="shared" si="182"/>
        <v>21</v>
      </c>
      <c r="G93" s="2" t="str">
        <f t="shared" si="183"/>
        <v>18m € - 55m €</v>
      </c>
      <c r="H93" s="154">
        <f t="shared" si="184"/>
        <v>1.9</v>
      </c>
      <c r="I93" s="64">
        <f t="shared" si="185"/>
        <v>47483</v>
      </c>
      <c r="J93" s="304" t="str">
        <f t="shared" si="186"/>
        <v>550 € p/m</v>
      </c>
      <c r="K93" s="96">
        <f t="shared" si="177"/>
        <v>3.5222222222222221</v>
      </c>
      <c r="L93" s="146">
        <f t="shared" si="187"/>
        <v>0</v>
      </c>
      <c r="M93" s="6">
        <f t="shared" si="188"/>
        <v>0</v>
      </c>
      <c r="N93" s="5">
        <f t="shared" si="189"/>
        <v>5400</v>
      </c>
      <c r="O93" s="21">
        <f t="shared" si="190"/>
        <v>0</v>
      </c>
      <c r="P93" s="2">
        <f t="shared" si="191"/>
        <v>0</v>
      </c>
      <c r="Q93" s="2">
        <f t="shared" si="192"/>
        <v>0</v>
      </c>
      <c r="R93" s="5">
        <f t="shared" si="193"/>
        <v>0</v>
      </c>
      <c r="S93" s="2">
        <f t="shared" si="194"/>
        <v>0</v>
      </c>
      <c r="T93" s="2">
        <f t="shared" si="195"/>
        <v>0</v>
      </c>
      <c r="U93" s="102">
        <f t="shared" si="196"/>
        <v>0</v>
      </c>
      <c r="V93" s="102">
        <f t="shared" si="197"/>
        <v>0</v>
      </c>
      <c r="W93" s="6">
        <f t="shared" si="198"/>
        <v>0</v>
      </c>
      <c r="X93" s="5">
        <f t="shared" si="199"/>
        <v>0</v>
      </c>
      <c r="Y93" s="6">
        <f t="shared" si="200"/>
        <v>0</v>
      </c>
      <c r="Z93" s="5" t="e">
        <f t="shared" si="201"/>
        <v>#DIV/0!</v>
      </c>
      <c r="AA93" s="21">
        <f t="shared" si="202"/>
        <v>0</v>
      </c>
      <c r="AB93" s="6">
        <f t="shared" si="203"/>
        <v>0</v>
      </c>
      <c r="AC93" s="5" t="e">
        <f t="shared" si="204"/>
        <v>#DIV/0!</v>
      </c>
      <c r="AD93" s="6">
        <f t="shared" si="205"/>
        <v>0</v>
      </c>
      <c r="AE93" s="5">
        <f t="shared" si="206"/>
        <v>0</v>
      </c>
      <c r="AF93" s="21">
        <f t="shared" si="207"/>
        <v>0</v>
      </c>
      <c r="AG93" s="6">
        <f t="shared" si="208"/>
        <v>0</v>
      </c>
      <c r="AH93" s="5">
        <f t="shared" si="209"/>
        <v>0</v>
      </c>
      <c r="AI93" s="21">
        <f t="shared" si="210"/>
        <v>0</v>
      </c>
      <c r="AJ93" s="6">
        <f t="shared" si="211"/>
        <v>0</v>
      </c>
      <c r="AK93" s="5">
        <f t="shared" si="212"/>
        <v>0</v>
      </c>
      <c r="AL93" s="21">
        <f t="shared" si="213"/>
        <v>0</v>
      </c>
      <c r="AM93" s="21">
        <f t="shared" si="214"/>
        <v>0</v>
      </c>
      <c r="AN93" s="6">
        <f t="shared" si="215"/>
        <v>0</v>
      </c>
      <c r="AO93" s="5">
        <f t="shared" si="216"/>
        <v>0</v>
      </c>
      <c r="AP93" s="6">
        <f t="shared" si="217"/>
        <v>0</v>
      </c>
      <c r="AQ93" s="5">
        <f t="shared" si="218"/>
        <v>0</v>
      </c>
      <c r="AR93" s="2">
        <f t="shared" si="219"/>
        <v>0</v>
      </c>
      <c r="AS93" s="5">
        <f t="shared" si="220"/>
        <v>0</v>
      </c>
      <c r="AT93" s="21">
        <f t="shared" si="221"/>
        <v>0</v>
      </c>
      <c r="AU93" s="20">
        <f t="shared" si="222"/>
        <v>0</v>
      </c>
      <c r="AV93" s="20">
        <f t="shared" si="223"/>
        <v>1</v>
      </c>
      <c r="AW93" s="199">
        <f t="shared" si="224"/>
        <v>0</v>
      </c>
      <c r="AX93" s="24">
        <f t="shared" si="225"/>
        <v>0</v>
      </c>
      <c r="AY93" s="5">
        <f t="shared" si="226"/>
        <v>0</v>
      </c>
      <c r="AZ93" s="5">
        <f t="shared" si="227"/>
        <v>0</v>
      </c>
      <c r="BA93" s="5">
        <f t="shared" si="228"/>
        <v>0</v>
      </c>
      <c r="BB93" s="5">
        <f t="shared" si="229"/>
        <v>0</v>
      </c>
      <c r="BC93" s="5">
        <f t="shared" si="230"/>
        <v>0</v>
      </c>
      <c r="BD93" s="5">
        <f t="shared" si="231"/>
        <v>0</v>
      </c>
      <c r="BE93" s="199">
        <f t="shared" si="232"/>
        <v>0</v>
      </c>
      <c r="BF93" s="21">
        <f t="shared" si="233"/>
        <v>0</v>
      </c>
      <c r="BG93" s="6">
        <f t="shared" si="234"/>
        <v>0</v>
      </c>
      <c r="BH93" s="5" t="e">
        <f t="shared" si="235"/>
        <v>#DIV/0!</v>
      </c>
      <c r="BI93" s="6">
        <f t="shared" si="236"/>
        <v>0</v>
      </c>
      <c r="BJ93" s="5" t="e">
        <f t="shared" si="237"/>
        <v>#DIV/0!</v>
      </c>
      <c r="BK93" s="20">
        <f t="shared" si="238"/>
        <v>-9.9999999999999998E-13</v>
      </c>
      <c r="BL93" s="20">
        <f t="shared" si="239"/>
        <v>0</v>
      </c>
      <c r="BM93" s="6">
        <f t="shared" si="240"/>
        <v>0</v>
      </c>
      <c r="BN93" s="5">
        <f t="shared" si="241"/>
        <v>0</v>
      </c>
      <c r="BO93" s="333">
        <f t="shared" si="242"/>
        <v>0</v>
      </c>
      <c r="BP93" s="334">
        <f t="shared" si="243"/>
        <v>0</v>
      </c>
      <c r="BQ93" s="6">
        <f t="shared" si="244"/>
        <v>0</v>
      </c>
      <c r="BR93" s="5">
        <f t="shared" si="245"/>
        <v>0</v>
      </c>
      <c r="BS93" s="6">
        <f t="shared" si="246"/>
        <v>0</v>
      </c>
      <c r="BT93" s="5">
        <f t="shared" si="247"/>
        <v>0</v>
      </c>
      <c r="BU93" s="181">
        <f t="shared" si="248"/>
        <v>0</v>
      </c>
      <c r="BV93" s="154">
        <f t="shared" si="249"/>
        <v>0</v>
      </c>
      <c r="BW93" s="181">
        <f t="shared" si="250"/>
        <v>0</v>
      </c>
      <c r="BX93" s="180">
        <f t="shared" si="251"/>
        <v>0</v>
      </c>
      <c r="BY93" s="181">
        <f t="shared" si="252"/>
        <v>0</v>
      </c>
      <c r="BZ93" s="154">
        <f t="shared" si="253"/>
        <v>0</v>
      </c>
      <c r="CA93" s="182">
        <f t="shared" si="254"/>
        <v>0</v>
      </c>
      <c r="CB93" s="2">
        <f t="shared" si="255"/>
        <v>0</v>
      </c>
      <c r="CC93" s="2">
        <f t="shared" si="256"/>
        <v>0</v>
      </c>
      <c r="CD93" s="2">
        <f t="shared" si="257"/>
        <v>0</v>
      </c>
      <c r="CE93" s="2">
        <f t="shared" si="258"/>
        <v>0</v>
      </c>
      <c r="CF93" s="6">
        <f t="shared" si="259"/>
        <v>0</v>
      </c>
      <c r="CG93" s="6">
        <f t="shared" si="260"/>
        <v>0</v>
      </c>
      <c r="CH93" s="6">
        <f t="shared" si="261"/>
        <v>0</v>
      </c>
      <c r="CI93" s="20">
        <f t="shared" si="262"/>
        <v>0</v>
      </c>
      <c r="CJ93" s="133">
        <f t="shared" si="263"/>
        <v>2521</v>
      </c>
      <c r="CK93" s="5">
        <f t="shared" si="264"/>
        <v>0</v>
      </c>
      <c r="CL93" s="302" t="s">
        <v>1235</v>
      </c>
      <c r="CM93" s="298" t="s">
        <v>13</v>
      </c>
      <c r="CN93" s="298" t="s">
        <v>1134</v>
      </c>
      <c r="CO93" s="298">
        <v>21</v>
      </c>
      <c r="CP93" s="298" t="s">
        <v>1373</v>
      </c>
      <c r="CQ93" s="298" t="s">
        <v>1374</v>
      </c>
      <c r="CR93" s="298" t="s">
        <v>652</v>
      </c>
      <c r="CS93" s="298" t="s">
        <v>1375</v>
      </c>
      <c r="CT93" s="298" t="s">
        <v>682</v>
      </c>
      <c r="CU93" s="299">
        <v>47483</v>
      </c>
      <c r="CV93" s="298">
        <v>0</v>
      </c>
      <c r="CW93" s="298">
        <v>0</v>
      </c>
      <c r="CX93" s="298">
        <v>0</v>
      </c>
      <c r="CY93" s="298">
        <v>0</v>
      </c>
      <c r="CZ93" s="298">
        <v>0</v>
      </c>
      <c r="DA93" s="298">
        <v>0</v>
      </c>
      <c r="DB93" s="298">
        <v>0</v>
      </c>
      <c r="DC93" s="298">
        <v>0</v>
      </c>
      <c r="DD93" s="298">
        <v>0</v>
      </c>
      <c r="DE93" s="298">
        <v>0</v>
      </c>
      <c r="DF93" s="298">
        <v>0</v>
      </c>
      <c r="DG93" s="298">
        <v>0</v>
      </c>
      <c r="DH93" s="298">
        <v>0</v>
      </c>
      <c r="DI93" s="298">
        <v>0</v>
      </c>
      <c r="DJ93" s="298">
        <v>0</v>
      </c>
      <c r="DK93" s="298">
        <v>0</v>
      </c>
      <c r="DL93" s="298">
        <v>0</v>
      </c>
      <c r="DM93" s="298">
        <v>0</v>
      </c>
      <c r="DN93" s="298">
        <v>0</v>
      </c>
      <c r="DO93" s="298">
        <v>0</v>
      </c>
      <c r="DP93" s="298">
        <v>0</v>
      </c>
      <c r="DQ93" s="298">
        <v>0</v>
      </c>
      <c r="DR93" s="298">
        <v>0</v>
      </c>
      <c r="DS93" s="298">
        <v>0</v>
      </c>
      <c r="DT93" s="298">
        <v>0</v>
      </c>
      <c r="DU93" s="298">
        <v>0</v>
      </c>
      <c r="DV93" s="303" t="s">
        <v>548</v>
      </c>
    </row>
    <row r="94" spans="1:126" ht="24.95" customHeight="1" thickBot="1" x14ac:dyDescent="0.3">
      <c r="A94" s="29" t="str">
        <f t="shared" si="176"/>
        <v>93º</v>
      </c>
      <c r="B94" s="69" t="str">
        <f t="shared" si="178"/>
        <v>Adriano</v>
      </c>
      <c r="C94" s="269" t="str">
        <f t="shared" si="179"/>
        <v>BRA</v>
      </c>
      <c r="D94" s="99" t="str">
        <f t="shared" si="180"/>
        <v>Pé Direito</v>
      </c>
      <c r="E94" s="28" t="str">
        <f t="shared" si="181"/>
        <v>BTF</v>
      </c>
      <c r="F94" s="169">
        <f t="shared" si="182"/>
        <v>22</v>
      </c>
      <c r="G94" s="2" t="str">
        <f t="shared" si="183"/>
        <v>0 €</v>
      </c>
      <c r="H94" s="154">
        <f t="shared" si="184"/>
        <v>1.89</v>
      </c>
      <c r="I94" s="64">
        <f t="shared" si="185"/>
        <v>47118</v>
      </c>
      <c r="J94" s="304" t="str">
        <f t="shared" si="186"/>
        <v>450 € p/m</v>
      </c>
      <c r="K94" s="96">
        <f t="shared" si="177"/>
        <v>3.5222222222222221</v>
      </c>
      <c r="L94" s="146">
        <f t="shared" si="187"/>
        <v>0</v>
      </c>
      <c r="M94" s="6">
        <f t="shared" si="188"/>
        <v>0</v>
      </c>
      <c r="N94" s="5">
        <f t="shared" si="189"/>
        <v>5400</v>
      </c>
      <c r="O94" s="21">
        <f t="shared" si="190"/>
        <v>0</v>
      </c>
      <c r="P94" s="2">
        <f t="shared" si="191"/>
        <v>0</v>
      </c>
      <c r="Q94" s="2">
        <f t="shared" si="192"/>
        <v>0</v>
      </c>
      <c r="R94" s="5">
        <f t="shared" si="193"/>
        <v>0</v>
      </c>
      <c r="S94" s="2">
        <f t="shared" si="194"/>
        <v>0</v>
      </c>
      <c r="T94" s="2">
        <f t="shared" si="195"/>
        <v>0</v>
      </c>
      <c r="U94" s="102">
        <f t="shared" si="196"/>
        <v>0</v>
      </c>
      <c r="V94" s="102">
        <f t="shared" si="197"/>
        <v>0</v>
      </c>
      <c r="W94" s="6">
        <f t="shared" si="198"/>
        <v>0</v>
      </c>
      <c r="X94" s="5">
        <f t="shared" si="199"/>
        <v>0</v>
      </c>
      <c r="Y94" s="6">
        <f t="shared" si="200"/>
        <v>0</v>
      </c>
      <c r="Z94" s="5" t="e">
        <f t="shared" si="201"/>
        <v>#DIV/0!</v>
      </c>
      <c r="AA94" s="21">
        <f t="shared" si="202"/>
        <v>0</v>
      </c>
      <c r="AB94" s="6">
        <f t="shared" si="203"/>
        <v>0</v>
      </c>
      <c r="AC94" s="5" t="e">
        <f t="shared" si="204"/>
        <v>#DIV/0!</v>
      </c>
      <c r="AD94" s="6">
        <f t="shared" si="205"/>
        <v>0</v>
      </c>
      <c r="AE94" s="5">
        <f t="shared" si="206"/>
        <v>0</v>
      </c>
      <c r="AF94" s="21">
        <f t="shared" si="207"/>
        <v>0</v>
      </c>
      <c r="AG94" s="6">
        <f t="shared" si="208"/>
        <v>0</v>
      </c>
      <c r="AH94" s="5">
        <f t="shared" si="209"/>
        <v>0</v>
      </c>
      <c r="AI94" s="21">
        <f t="shared" si="210"/>
        <v>0</v>
      </c>
      <c r="AJ94" s="6">
        <f t="shared" si="211"/>
        <v>0</v>
      </c>
      <c r="AK94" s="5">
        <f t="shared" si="212"/>
        <v>0</v>
      </c>
      <c r="AL94" s="21">
        <f t="shared" si="213"/>
        <v>0</v>
      </c>
      <c r="AM94" s="21">
        <f t="shared" si="214"/>
        <v>0</v>
      </c>
      <c r="AN94" s="6">
        <f t="shared" si="215"/>
        <v>0</v>
      </c>
      <c r="AO94" s="5">
        <f t="shared" si="216"/>
        <v>0</v>
      </c>
      <c r="AP94" s="6">
        <f t="shared" si="217"/>
        <v>0</v>
      </c>
      <c r="AQ94" s="5">
        <f t="shared" si="218"/>
        <v>0</v>
      </c>
      <c r="AR94" s="2">
        <f t="shared" si="219"/>
        <v>0</v>
      </c>
      <c r="AS94" s="5">
        <f t="shared" si="220"/>
        <v>0</v>
      </c>
      <c r="AT94" s="21">
        <f t="shared" si="221"/>
        <v>0</v>
      </c>
      <c r="AU94" s="20">
        <f t="shared" si="222"/>
        <v>0</v>
      </c>
      <c r="AV94" s="20">
        <f t="shared" si="223"/>
        <v>1</v>
      </c>
      <c r="AW94" s="199">
        <f t="shared" si="224"/>
        <v>0</v>
      </c>
      <c r="AX94" s="24">
        <f t="shared" si="225"/>
        <v>0</v>
      </c>
      <c r="AY94" s="5">
        <f t="shared" si="226"/>
        <v>0</v>
      </c>
      <c r="AZ94" s="5">
        <f t="shared" si="227"/>
        <v>0</v>
      </c>
      <c r="BA94" s="5">
        <f t="shared" si="228"/>
        <v>0</v>
      </c>
      <c r="BB94" s="5">
        <f t="shared" si="229"/>
        <v>0</v>
      </c>
      <c r="BC94" s="5">
        <f t="shared" si="230"/>
        <v>0</v>
      </c>
      <c r="BD94" s="5">
        <f t="shared" si="231"/>
        <v>0</v>
      </c>
      <c r="BE94" s="199">
        <f t="shared" si="232"/>
        <v>0</v>
      </c>
      <c r="BF94" s="21">
        <f t="shared" si="233"/>
        <v>0</v>
      </c>
      <c r="BG94" s="6">
        <f t="shared" si="234"/>
        <v>0</v>
      </c>
      <c r="BH94" s="5" t="e">
        <f t="shared" si="235"/>
        <v>#DIV/0!</v>
      </c>
      <c r="BI94" s="6">
        <f t="shared" si="236"/>
        <v>0</v>
      </c>
      <c r="BJ94" s="5" t="e">
        <f t="shared" si="237"/>
        <v>#DIV/0!</v>
      </c>
      <c r="BK94" s="20">
        <f t="shared" si="238"/>
        <v>-9.9999999999999998E-13</v>
      </c>
      <c r="BL94" s="20">
        <f t="shared" si="239"/>
        <v>0</v>
      </c>
      <c r="BM94" s="6">
        <f t="shared" si="240"/>
        <v>0</v>
      </c>
      <c r="BN94" s="5">
        <f t="shared" si="241"/>
        <v>0</v>
      </c>
      <c r="BO94" s="333">
        <f t="shared" si="242"/>
        <v>0</v>
      </c>
      <c r="BP94" s="334">
        <f t="shared" si="243"/>
        <v>0</v>
      </c>
      <c r="BQ94" s="6">
        <f t="shared" si="244"/>
        <v>0</v>
      </c>
      <c r="BR94" s="5">
        <f t="shared" si="245"/>
        <v>0</v>
      </c>
      <c r="BS94" s="6">
        <f t="shared" si="246"/>
        <v>0</v>
      </c>
      <c r="BT94" s="5">
        <f t="shared" si="247"/>
        <v>0</v>
      </c>
      <c r="BU94" s="181">
        <f t="shared" si="248"/>
        <v>0</v>
      </c>
      <c r="BV94" s="154">
        <f t="shared" si="249"/>
        <v>0</v>
      </c>
      <c r="BW94" s="181">
        <f t="shared" si="250"/>
        <v>0</v>
      </c>
      <c r="BX94" s="180">
        <f t="shared" si="251"/>
        <v>0</v>
      </c>
      <c r="BY94" s="181">
        <f t="shared" si="252"/>
        <v>0</v>
      </c>
      <c r="BZ94" s="154">
        <f t="shared" si="253"/>
        <v>0</v>
      </c>
      <c r="CA94" s="182">
        <f t="shared" si="254"/>
        <v>0</v>
      </c>
      <c r="CB94" s="2">
        <f t="shared" si="255"/>
        <v>0</v>
      </c>
      <c r="CC94" s="2">
        <f t="shared" si="256"/>
        <v>0</v>
      </c>
      <c r="CD94" s="2">
        <f t="shared" si="257"/>
        <v>0</v>
      </c>
      <c r="CE94" s="2">
        <f t="shared" si="258"/>
        <v>0</v>
      </c>
      <c r="CF94" s="6">
        <f t="shared" si="259"/>
        <v>0</v>
      </c>
      <c r="CG94" s="6">
        <f t="shared" si="260"/>
        <v>0</v>
      </c>
      <c r="CH94" s="6">
        <f t="shared" si="261"/>
        <v>0</v>
      </c>
      <c r="CI94" s="20">
        <f t="shared" si="262"/>
        <v>0</v>
      </c>
      <c r="CJ94" s="133">
        <f t="shared" si="263"/>
        <v>2521</v>
      </c>
      <c r="CK94" s="5">
        <f t="shared" si="264"/>
        <v>0</v>
      </c>
      <c r="CL94" s="300" t="s">
        <v>1235</v>
      </c>
      <c r="CM94" s="296" t="s">
        <v>13</v>
      </c>
      <c r="CN94" s="296" t="s">
        <v>1175</v>
      </c>
      <c r="CO94" s="296">
        <v>22</v>
      </c>
      <c r="CP94" s="296" t="s">
        <v>1376</v>
      </c>
      <c r="CQ94" s="296" t="s">
        <v>1131</v>
      </c>
      <c r="CR94" s="296" t="s">
        <v>644</v>
      </c>
      <c r="CS94" s="296" t="s">
        <v>1317</v>
      </c>
      <c r="CT94" s="296" t="s">
        <v>593</v>
      </c>
      <c r="CU94" s="297">
        <v>47118</v>
      </c>
      <c r="CV94" s="296">
        <v>0</v>
      </c>
      <c r="CW94" s="296">
        <v>0</v>
      </c>
      <c r="CX94" s="296">
        <v>0</v>
      </c>
      <c r="CY94" s="296">
        <v>0</v>
      </c>
      <c r="CZ94" s="296">
        <v>0</v>
      </c>
      <c r="DA94" s="296">
        <v>0</v>
      </c>
      <c r="DB94" s="296">
        <v>0</v>
      </c>
      <c r="DC94" s="296">
        <v>0</v>
      </c>
      <c r="DD94" s="296">
        <v>0</v>
      </c>
      <c r="DE94" s="296">
        <v>0</v>
      </c>
      <c r="DF94" s="296">
        <v>0</v>
      </c>
      <c r="DG94" s="296">
        <v>0</v>
      </c>
      <c r="DH94" s="296">
        <v>0</v>
      </c>
      <c r="DI94" s="296">
        <v>0</v>
      </c>
      <c r="DJ94" s="296">
        <v>0</v>
      </c>
      <c r="DK94" s="296">
        <v>0</v>
      </c>
      <c r="DL94" s="296">
        <v>0</v>
      </c>
      <c r="DM94" s="296">
        <v>0</v>
      </c>
      <c r="DN94" s="296">
        <v>0</v>
      </c>
      <c r="DO94" s="296">
        <v>0</v>
      </c>
      <c r="DP94" s="296">
        <v>0</v>
      </c>
      <c r="DQ94" s="296">
        <v>0</v>
      </c>
      <c r="DR94" s="296">
        <v>0</v>
      </c>
      <c r="DS94" s="296">
        <v>0</v>
      </c>
      <c r="DT94" s="296">
        <v>0</v>
      </c>
      <c r="DU94" s="296">
        <v>0</v>
      </c>
      <c r="DV94" s="301" t="s">
        <v>548</v>
      </c>
    </row>
    <row r="95" spans="1:126" ht="24.95" customHeight="1" thickBot="1" x14ac:dyDescent="0.3">
      <c r="A95" s="29" t="str">
        <f t="shared" si="176"/>
        <v>94º</v>
      </c>
      <c r="B95" s="69" t="str">
        <f t="shared" si="178"/>
        <v>Arthur do Vale</v>
      </c>
      <c r="C95" s="269" t="str">
        <f t="shared" si="179"/>
        <v>BRA</v>
      </c>
      <c r="D95" s="99" t="str">
        <f t="shared" si="180"/>
        <v>Pé Direito</v>
      </c>
      <c r="E95" s="28" t="str">
        <f t="shared" si="181"/>
        <v>SAN</v>
      </c>
      <c r="F95" s="169">
        <f t="shared" si="182"/>
        <v>19</v>
      </c>
      <c r="G95" s="2" t="str">
        <f t="shared" si="183"/>
        <v>425m € - 4,4M €</v>
      </c>
      <c r="H95" s="154">
        <f t="shared" si="184"/>
        <v>1.88</v>
      </c>
      <c r="I95" s="64">
        <f t="shared" si="185"/>
        <v>47848</v>
      </c>
      <c r="J95" s="304" t="str">
        <f t="shared" si="186"/>
        <v>1,8m € p/m</v>
      </c>
      <c r="K95" s="96">
        <f t="shared" si="177"/>
        <v>3.5222222222222221</v>
      </c>
      <c r="L95" s="146">
        <f t="shared" si="187"/>
        <v>0</v>
      </c>
      <c r="M95" s="6">
        <f t="shared" si="188"/>
        <v>0</v>
      </c>
      <c r="N95" s="5">
        <f t="shared" si="189"/>
        <v>5400</v>
      </c>
      <c r="O95" s="21">
        <f t="shared" si="190"/>
        <v>0</v>
      </c>
      <c r="P95" s="2">
        <f t="shared" si="191"/>
        <v>0</v>
      </c>
      <c r="Q95" s="2">
        <f t="shared" si="192"/>
        <v>0</v>
      </c>
      <c r="R95" s="5">
        <f t="shared" si="193"/>
        <v>0</v>
      </c>
      <c r="S95" s="2">
        <f t="shared" si="194"/>
        <v>0</v>
      </c>
      <c r="T95" s="2">
        <f t="shared" si="195"/>
        <v>0</v>
      </c>
      <c r="U95" s="102">
        <f t="shared" si="196"/>
        <v>0</v>
      </c>
      <c r="V95" s="102">
        <f t="shared" si="197"/>
        <v>0</v>
      </c>
      <c r="W95" s="6">
        <f t="shared" si="198"/>
        <v>0</v>
      </c>
      <c r="X95" s="5">
        <f t="shared" si="199"/>
        <v>0</v>
      </c>
      <c r="Y95" s="6">
        <f t="shared" si="200"/>
        <v>0</v>
      </c>
      <c r="Z95" s="5" t="e">
        <f t="shared" si="201"/>
        <v>#DIV/0!</v>
      </c>
      <c r="AA95" s="21">
        <f t="shared" si="202"/>
        <v>0</v>
      </c>
      <c r="AB95" s="6">
        <f t="shared" si="203"/>
        <v>0</v>
      </c>
      <c r="AC95" s="5" t="e">
        <f t="shared" si="204"/>
        <v>#DIV/0!</v>
      </c>
      <c r="AD95" s="6">
        <f t="shared" si="205"/>
        <v>0</v>
      </c>
      <c r="AE95" s="5">
        <f t="shared" si="206"/>
        <v>0</v>
      </c>
      <c r="AF95" s="21">
        <f t="shared" si="207"/>
        <v>0</v>
      </c>
      <c r="AG95" s="6">
        <f t="shared" si="208"/>
        <v>0</v>
      </c>
      <c r="AH95" s="5">
        <f t="shared" si="209"/>
        <v>0</v>
      </c>
      <c r="AI95" s="21">
        <f t="shared" si="210"/>
        <v>0</v>
      </c>
      <c r="AJ95" s="6">
        <f t="shared" si="211"/>
        <v>0</v>
      </c>
      <c r="AK95" s="5">
        <f t="shared" si="212"/>
        <v>0</v>
      </c>
      <c r="AL95" s="21">
        <f t="shared" si="213"/>
        <v>0</v>
      </c>
      <c r="AM95" s="21">
        <f t="shared" si="214"/>
        <v>0</v>
      </c>
      <c r="AN95" s="6">
        <f t="shared" si="215"/>
        <v>0</v>
      </c>
      <c r="AO95" s="5">
        <f t="shared" si="216"/>
        <v>0</v>
      </c>
      <c r="AP95" s="6">
        <f t="shared" si="217"/>
        <v>0</v>
      </c>
      <c r="AQ95" s="5">
        <f t="shared" si="218"/>
        <v>0</v>
      </c>
      <c r="AR95" s="2">
        <f t="shared" si="219"/>
        <v>0</v>
      </c>
      <c r="AS95" s="5">
        <f t="shared" si="220"/>
        <v>0</v>
      </c>
      <c r="AT95" s="21">
        <f t="shared" si="221"/>
        <v>0</v>
      </c>
      <c r="AU95" s="20">
        <f t="shared" si="222"/>
        <v>0</v>
      </c>
      <c r="AV95" s="20">
        <f t="shared" si="223"/>
        <v>1</v>
      </c>
      <c r="AW95" s="199">
        <f t="shared" si="224"/>
        <v>0</v>
      </c>
      <c r="AX95" s="24">
        <f t="shared" si="225"/>
        <v>0</v>
      </c>
      <c r="AY95" s="5">
        <f t="shared" si="226"/>
        <v>0</v>
      </c>
      <c r="AZ95" s="5">
        <f t="shared" si="227"/>
        <v>0</v>
      </c>
      <c r="BA95" s="5">
        <f t="shared" si="228"/>
        <v>0</v>
      </c>
      <c r="BB95" s="5">
        <f t="shared" si="229"/>
        <v>0</v>
      </c>
      <c r="BC95" s="5">
        <f t="shared" si="230"/>
        <v>0</v>
      </c>
      <c r="BD95" s="5">
        <f t="shared" si="231"/>
        <v>0</v>
      </c>
      <c r="BE95" s="199">
        <f t="shared" si="232"/>
        <v>0</v>
      </c>
      <c r="BF95" s="21">
        <f t="shared" si="233"/>
        <v>0</v>
      </c>
      <c r="BG95" s="6">
        <f t="shared" si="234"/>
        <v>0</v>
      </c>
      <c r="BH95" s="5" t="e">
        <f t="shared" si="235"/>
        <v>#DIV/0!</v>
      </c>
      <c r="BI95" s="6">
        <f t="shared" si="236"/>
        <v>0</v>
      </c>
      <c r="BJ95" s="5" t="e">
        <f t="shared" si="237"/>
        <v>#DIV/0!</v>
      </c>
      <c r="BK95" s="20">
        <f t="shared" si="238"/>
        <v>-9.9999999999999998E-13</v>
      </c>
      <c r="BL95" s="20">
        <f t="shared" si="239"/>
        <v>0</v>
      </c>
      <c r="BM95" s="6">
        <f t="shared" si="240"/>
        <v>0</v>
      </c>
      <c r="BN95" s="5">
        <f t="shared" si="241"/>
        <v>0</v>
      </c>
      <c r="BO95" s="333">
        <f t="shared" si="242"/>
        <v>0</v>
      </c>
      <c r="BP95" s="334">
        <f t="shared" si="243"/>
        <v>0</v>
      </c>
      <c r="BQ95" s="6">
        <f t="shared" si="244"/>
        <v>0</v>
      </c>
      <c r="BR95" s="5">
        <f t="shared" si="245"/>
        <v>0</v>
      </c>
      <c r="BS95" s="6">
        <f t="shared" si="246"/>
        <v>0</v>
      </c>
      <c r="BT95" s="5">
        <f t="shared" si="247"/>
        <v>0</v>
      </c>
      <c r="BU95" s="181">
        <f t="shared" si="248"/>
        <v>0</v>
      </c>
      <c r="BV95" s="154">
        <f t="shared" si="249"/>
        <v>0</v>
      </c>
      <c r="BW95" s="181">
        <f t="shared" si="250"/>
        <v>0</v>
      </c>
      <c r="BX95" s="180">
        <f t="shared" si="251"/>
        <v>0</v>
      </c>
      <c r="BY95" s="181">
        <f t="shared" si="252"/>
        <v>0</v>
      </c>
      <c r="BZ95" s="154">
        <f t="shared" si="253"/>
        <v>0</v>
      </c>
      <c r="CA95" s="182">
        <f t="shared" si="254"/>
        <v>0</v>
      </c>
      <c r="CB95" s="2">
        <f t="shared" si="255"/>
        <v>0</v>
      </c>
      <c r="CC95" s="2">
        <f t="shared" si="256"/>
        <v>0</v>
      </c>
      <c r="CD95" s="2">
        <f t="shared" si="257"/>
        <v>0</v>
      </c>
      <c r="CE95" s="2">
        <f t="shared" si="258"/>
        <v>0</v>
      </c>
      <c r="CF95" s="6">
        <f t="shared" si="259"/>
        <v>0</v>
      </c>
      <c r="CG95" s="6">
        <f t="shared" si="260"/>
        <v>0</v>
      </c>
      <c r="CH95" s="6">
        <f t="shared" si="261"/>
        <v>0</v>
      </c>
      <c r="CI95" s="20">
        <f t="shared" si="262"/>
        <v>0</v>
      </c>
      <c r="CJ95" s="133">
        <f t="shared" si="263"/>
        <v>2521</v>
      </c>
      <c r="CK95" s="5">
        <f t="shared" si="264"/>
        <v>0</v>
      </c>
      <c r="CL95" s="302" t="s">
        <v>1235</v>
      </c>
      <c r="CM95" s="298" t="s">
        <v>13</v>
      </c>
      <c r="CN95" s="298" t="s">
        <v>1245</v>
      </c>
      <c r="CO95" s="298">
        <v>19</v>
      </c>
      <c r="CP95" s="298" t="s">
        <v>1377</v>
      </c>
      <c r="CQ95" s="298" t="s">
        <v>1378</v>
      </c>
      <c r="CR95" s="298" t="s">
        <v>644</v>
      </c>
      <c r="CS95" s="298" t="s">
        <v>914</v>
      </c>
      <c r="CT95" s="298" t="s">
        <v>552</v>
      </c>
      <c r="CU95" s="299">
        <v>47848</v>
      </c>
      <c r="CV95" s="298">
        <v>0</v>
      </c>
      <c r="CW95" s="298">
        <v>0</v>
      </c>
      <c r="CX95" s="298">
        <v>0</v>
      </c>
      <c r="CY95" s="298">
        <v>0</v>
      </c>
      <c r="CZ95" s="298">
        <v>0</v>
      </c>
      <c r="DA95" s="298">
        <v>0</v>
      </c>
      <c r="DB95" s="298">
        <v>0</v>
      </c>
      <c r="DC95" s="298">
        <v>0</v>
      </c>
      <c r="DD95" s="298">
        <v>0</v>
      </c>
      <c r="DE95" s="298">
        <v>0</v>
      </c>
      <c r="DF95" s="298">
        <v>0</v>
      </c>
      <c r="DG95" s="298">
        <v>0</v>
      </c>
      <c r="DH95" s="298">
        <v>0</v>
      </c>
      <c r="DI95" s="298">
        <v>0</v>
      </c>
      <c r="DJ95" s="298">
        <v>0</v>
      </c>
      <c r="DK95" s="298">
        <v>0</v>
      </c>
      <c r="DL95" s="298">
        <v>0</v>
      </c>
      <c r="DM95" s="298">
        <v>0</v>
      </c>
      <c r="DN95" s="298">
        <v>0</v>
      </c>
      <c r="DO95" s="298">
        <v>0</v>
      </c>
      <c r="DP95" s="298">
        <v>0</v>
      </c>
      <c r="DQ95" s="298">
        <v>0</v>
      </c>
      <c r="DR95" s="298">
        <v>0</v>
      </c>
      <c r="DS95" s="298">
        <v>0</v>
      </c>
      <c r="DT95" s="298">
        <v>0</v>
      </c>
      <c r="DU95" s="298">
        <v>0</v>
      </c>
      <c r="DV95" s="303" t="s">
        <v>548</v>
      </c>
    </row>
    <row r="96" spans="1:126" ht="24.95" customHeight="1" thickBot="1" x14ac:dyDescent="0.3">
      <c r="A96" s="29" t="str">
        <f t="shared" si="176"/>
        <v>95º</v>
      </c>
      <c r="B96" s="69" t="str">
        <f t="shared" si="178"/>
        <v>Levi</v>
      </c>
      <c r="C96" s="269" t="str">
        <f t="shared" si="179"/>
        <v>BRA</v>
      </c>
      <c r="D96" s="99" t="str">
        <f t="shared" si="180"/>
        <v>Pé Direito</v>
      </c>
      <c r="E96" s="28" t="str">
        <f t="shared" si="181"/>
        <v>PAY</v>
      </c>
      <c r="F96" s="169">
        <f t="shared" si="182"/>
        <v>22</v>
      </c>
      <c r="G96" s="2" t="str">
        <f t="shared" si="183"/>
        <v>0 € - 65m €</v>
      </c>
      <c r="H96" s="154">
        <f t="shared" si="184"/>
        <v>1.91</v>
      </c>
      <c r="I96" s="64">
        <f t="shared" si="185"/>
        <v>47483</v>
      </c>
      <c r="J96" s="304" t="str">
        <f t="shared" si="186"/>
        <v>525 € p/m</v>
      </c>
      <c r="K96" s="96">
        <f t="shared" si="177"/>
        <v>3.5222222222222221</v>
      </c>
      <c r="L96" s="146">
        <f t="shared" si="187"/>
        <v>0</v>
      </c>
      <c r="M96" s="6">
        <f t="shared" si="188"/>
        <v>0</v>
      </c>
      <c r="N96" s="5">
        <f t="shared" si="189"/>
        <v>5400</v>
      </c>
      <c r="O96" s="21">
        <f t="shared" si="190"/>
        <v>0</v>
      </c>
      <c r="P96" s="2">
        <f t="shared" si="191"/>
        <v>0</v>
      </c>
      <c r="Q96" s="2">
        <f t="shared" si="192"/>
        <v>0</v>
      </c>
      <c r="R96" s="5">
        <f t="shared" si="193"/>
        <v>0</v>
      </c>
      <c r="S96" s="2">
        <f t="shared" si="194"/>
        <v>0</v>
      </c>
      <c r="T96" s="2">
        <f t="shared" si="195"/>
        <v>0</v>
      </c>
      <c r="U96" s="102">
        <f t="shared" si="196"/>
        <v>0</v>
      </c>
      <c r="V96" s="102">
        <f t="shared" si="197"/>
        <v>0</v>
      </c>
      <c r="W96" s="6">
        <f t="shared" si="198"/>
        <v>0</v>
      </c>
      <c r="X96" s="5">
        <f t="shared" si="199"/>
        <v>0</v>
      </c>
      <c r="Y96" s="6">
        <f t="shared" si="200"/>
        <v>0</v>
      </c>
      <c r="Z96" s="5" t="e">
        <f t="shared" si="201"/>
        <v>#DIV/0!</v>
      </c>
      <c r="AA96" s="21">
        <f t="shared" si="202"/>
        <v>0</v>
      </c>
      <c r="AB96" s="6">
        <f t="shared" si="203"/>
        <v>0</v>
      </c>
      <c r="AC96" s="5" t="e">
        <f t="shared" si="204"/>
        <v>#DIV/0!</v>
      </c>
      <c r="AD96" s="6">
        <f t="shared" si="205"/>
        <v>0</v>
      </c>
      <c r="AE96" s="5">
        <f t="shared" si="206"/>
        <v>0</v>
      </c>
      <c r="AF96" s="21">
        <f t="shared" si="207"/>
        <v>0</v>
      </c>
      <c r="AG96" s="6">
        <f t="shared" si="208"/>
        <v>0</v>
      </c>
      <c r="AH96" s="5">
        <f t="shared" si="209"/>
        <v>0</v>
      </c>
      <c r="AI96" s="21">
        <f t="shared" si="210"/>
        <v>0</v>
      </c>
      <c r="AJ96" s="6">
        <f t="shared" si="211"/>
        <v>0</v>
      </c>
      <c r="AK96" s="5">
        <f t="shared" si="212"/>
        <v>0</v>
      </c>
      <c r="AL96" s="21">
        <f t="shared" si="213"/>
        <v>0</v>
      </c>
      <c r="AM96" s="21">
        <f t="shared" si="214"/>
        <v>0</v>
      </c>
      <c r="AN96" s="6">
        <f t="shared" si="215"/>
        <v>0</v>
      </c>
      <c r="AO96" s="5">
        <f t="shared" si="216"/>
        <v>0</v>
      </c>
      <c r="AP96" s="6">
        <f t="shared" si="217"/>
        <v>0</v>
      </c>
      <c r="AQ96" s="5">
        <f t="shared" si="218"/>
        <v>0</v>
      </c>
      <c r="AR96" s="2">
        <f t="shared" si="219"/>
        <v>0</v>
      </c>
      <c r="AS96" s="5">
        <f t="shared" si="220"/>
        <v>0</v>
      </c>
      <c r="AT96" s="21">
        <f t="shared" si="221"/>
        <v>0</v>
      </c>
      <c r="AU96" s="20">
        <f t="shared" si="222"/>
        <v>0</v>
      </c>
      <c r="AV96" s="20">
        <f t="shared" si="223"/>
        <v>1</v>
      </c>
      <c r="AW96" s="199">
        <f t="shared" si="224"/>
        <v>0</v>
      </c>
      <c r="AX96" s="24">
        <f t="shared" si="225"/>
        <v>0</v>
      </c>
      <c r="AY96" s="5">
        <f t="shared" si="226"/>
        <v>0</v>
      </c>
      <c r="AZ96" s="5">
        <f t="shared" si="227"/>
        <v>0</v>
      </c>
      <c r="BA96" s="5">
        <f t="shared" si="228"/>
        <v>0</v>
      </c>
      <c r="BB96" s="5">
        <f t="shared" si="229"/>
        <v>0</v>
      </c>
      <c r="BC96" s="5">
        <f t="shared" si="230"/>
        <v>0</v>
      </c>
      <c r="BD96" s="5">
        <f t="shared" si="231"/>
        <v>0</v>
      </c>
      <c r="BE96" s="199">
        <f t="shared" si="232"/>
        <v>0</v>
      </c>
      <c r="BF96" s="21">
        <f t="shared" si="233"/>
        <v>0</v>
      </c>
      <c r="BG96" s="6">
        <f t="shared" si="234"/>
        <v>0</v>
      </c>
      <c r="BH96" s="5" t="e">
        <f t="shared" si="235"/>
        <v>#DIV/0!</v>
      </c>
      <c r="BI96" s="6">
        <f t="shared" si="236"/>
        <v>0</v>
      </c>
      <c r="BJ96" s="5" t="e">
        <f t="shared" si="237"/>
        <v>#DIV/0!</v>
      </c>
      <c r="BK96" s="20">
        <f t="shared" si="238"/>
        <v>-9.9999999999999998E-13</v>
      </c>
      <c r="BL96" s="20">
        <f t="shared" si="239"/>
        <v>0</v>
      </c>
      <c r="BM96" s="6">
        <f t="shared" si="240"/>
        <v>0</v>
      </c>
      <c r="BN96" s="5">
        <f t="shared" si="241"/>
        <v>0</v>
      </c>
      <c r="BO96" s="333">
        <f t="shared" si="242"/>
        <v>0</v>
      </c>
      <c r="BP96" s="334">
        <f t="shared" si="243"/>
        <v>0</v>
      </c>
      <c r="BQ96" s="6">
        <f t="shared" si="244"/>
        <v>0</v>
      </c>
      <c r="BR96" s="5">
        <f t="shared" si="245"/>
        <v>0</v>
      </c>
      <c r="BS96" s="6">
        <f t="shared" si="246"/>
        <v>0</v>
      </c>
      <c r="BT96" s="5">
        <f t="shared" si="247"/>
        <v>0</v>
      </c>
      <c r="BU96" s="181">
        <f t="shared" si="248"/>
        <v>0</v>
      </c>
      <c r="BV96" s="154">
        <f t="shared" si="249"/>
        <v>0</v>
      </c>
      <c r="BW96" s="181">
        <f t="shared" si="250"/>
        <v>0</v>
      </c>
      <c r="BX96" s="180">
        <f t="shared" si="251"/>
        <v>0</v>
      </c>
      <c r="BY96" s="181">
        <f t="shared" si="252"/>
        <v>0</v>
      </c>
      <c r="BZ96" s="154">
        <f t="shared" si="253"/>
        <v>0</v>
      </c>
      <c r="CA96" s="182">
        <f t="shared" si="254"/>
        <v>0</v>
      </c>
      <c r="CB96" s="2">
        <f t="shared" si="255"/>
        <v>0</v>
      </c>
      <c r="CC96" s="2">
        <f t="shared" si="256"/>
        <v>0</v>
      </c>
      <c r="CD96" s="2">
        <f t="shared" si="257"/>
        <v>0</v>
      </c>
      <c r="CE96" s="2">
        <f t="shared" si="258"/>
        <v>0</v>
      </c>
      <c r="CF96" s="6">
        <f t="shared" si="259"/>
        <v>0</v>
      </c>
      <c r="CG96" s="6">
        <f t="shared" si="260"/>
        <v>0</v>
      </c>
      <c r="CH96" s="6">
        <f t="shared" si="261"/>
        <v>0</v>
      </c>
      <c r="CI96" s="20">
        <f t="shared" si="262"/>
        <v>0</v>
      </c>
      <c r="CJ96" s="133">
        <f t="shared" si="263"/>
        <v>2521</v>
      </c>
      <c r="CK96" s="5">
        <f t="shared" si="264"/>
        <v>0</v>
      </c>
      <c r="CL96" s="300" t="s">
        <v>1235</v>
      </c>
      <c r="CM96" s="296" t="s">
        <v>13</v>
      </c>
      <c r="CN96" s="296" t="s">
        <v>1348</v>
      </c>
      <c r="CO96" s="296">
        <v>22</v>
      </c>
      <c r="CP96" s="296" t="s">
        <v>1379</v>
      </c>
      <c r="CQ96" s="296" t="s">
        <v>1380</v>
      </c>
      <c r="CR96" s="296" t="s">
        <v>644</v>
      </c>
      <c r="CS96" s="296" t="s">
        <v>1322</v>
      </c>
      <c r="CT96" s="296" t="s">
        <v>595</v>
      </c>
      <c r="CU96" s="297">
        <v>47483</v>
      </c>
      <c r="CV96" s="296">
        <v>0</v>
      </c>
      <c r="CW96" s="296">
        <v>0</v>
      </c>
      <c r="CX96" s="296">
        <v>0</v>
      </c>
      <c r="CY96" s="296">
        <v>0</v>
      </c>
      <c r="CZ96" s="296">
        <v>0</v>
      </c>
      <c r="DA96" s="296">
        <v>0</v>
      </c>
      <c r="DB96" s="296">
        <v>0</v>
      </c>
      <c r="DC96" s="296">
        <v>0</v>
      </c>
      <c r="DD96" s="296">
        <v>0</v>
      </c>
      <c r="DE96" s="296">
        <v>0</v>
      </c>
      <c r="DF96" s="296">
        <v>0</v>
      </c>
      <c r="DG96" s="296">
        <v>0</v>
      </c>
      <c r="DH96" s="296">
        <v>0</v>
      </c>
      <c r="DI96" s="296">
        <v>0</v>
      </c>
      <c r="DJ96" s="296">
        <v>0</v>
      </c>
      <c r="DK96" s="296">
        <v>0</v>
      </c>
      <c r="DL96" s="296">
        <v>0</v>
      </c>
      <c r="DM96" s="296">
        <v>0</v>
      </c>
      <c r="DN96" s="296">
        <v>0</v>
      </c>
      <c r="DO96" s="296">
        <v>0</v>
      </c>
      <c r="DP96" s="296">
        <v>0</v>
      </c>
      <c r="DQ96" s="296">
        <v>0</v>
      </c>
      <c r="DR96" s="296">
        <v>0</v>
      </c>
      <c r="DS96" s="296">
        <v>0</v>
      </c>
      <c r="DT96" s="296">
        <v>0</v>
      </c>
      <c r="DU96" s="296">
        <v>0</v>
      </c>
      <c r="DV96" s="301" t="s">
        <v>548</v>
      </c>
    </row>
    <row r="97" spans="1:126" ht="24.95" customHeight="1" thickBot="1" x14ac:dyDescent="0.3">
      <c r="A97" s="29" t="str">
        <f t="shared" si="176"/>
        <v>96º</v>
      </c>
      <c r="B97" s="69" t="str">
        <f t="shared" si="178"/>
        <v>Uberlan</v>
      </c>
      <c r="C97" s="269" t="str">
        <f t="shared" si="179"/>
        <v>BRA</v>
      </c>
      <c r="D97" s="99" t="str">
        <f t="shared" si="180"/>
        <v>Pé Direito</v>
      </c>
      <c r="E97" s="28" t="str">
        <f t="shared" si="181"/>
        <v>Portuguesa Santista</v>
      </c>
      <c r="F97" s="169">
        <f t="shared" si="182"/>
        <v>19</v>
      </c>
      <c r="G97" s="2" t="str">
        <f t="shared" si="183"/>
        <v>0 €</v>
      </c>
      <c r="H97" s="154">
        <f t="shared" si="184"/>
        <v>1.86</v>
      </c>
      <c r="I97" s="64">
        <f t="shared" si="185"/>
        <v>47118</v>
      </c>
      <c r="J97" s="304" t="str">
        <f t="shared" si="186"/>
        <v>750 € p/m</v>
      </c>
      <c r="K97" s="96">
        <f t="shared" si="177"/>
        <v>3.5222222222222221</v>
      </c>
      <c r="L97" s="146">
        <f t="shared" si="187"/>
        <v>3</v>
      </c>
      <c r="M97" s="6">
        <f t="shared" si="188"/>
        <v>1</v>
      </c>
      <c r="N97" s="5">
        <f t="shared" si="189"/>
        <v>270</v>
      </c>
      <c r="O97" s="21">
        <f t="shared" si="190"/>
        <v>0.33333333333333331</v>
      </c>
      <c r="P97" s="2">
        <f t="shared" si="191"/>
        <v>60</v>
      </c>
      <c r="Q97" s="2">
        <f t="shared" si="192"/>
        <v>32</v>
      </c>
      <c r="R97" s="5">
        <f t="shared" si="193"/>
        <v>10.666666666666666</v>
      </c>
      <c r="S97" s="2">
        <f t="shared" si="194"/>
        <v>28</v>
      </c>
      <c r="T97" s="2">
        <f t="shared" si="195"/>
        <v>4</v>
      </c>
      <c r="U97" s="102">
        <f t="shared" si="196"/>
        <v>0.46666666666666667</v>
      </c>
      <c r="V97" s="102">
        <f t="shared" si="197"/>
        <v>0.53333333333333333</v>
      </c>
      <c r="W97" s="6">
        <f t="shared" si="198"/>
        <v>60</v>
      </c>
      <c r="X97" s="5">
        <f t="shared" si="199"/>
        <v>20</v>
      </c>
      <c r="Y97" s="6">
        <f t="shared" si="200"/>
        <v>0</v>
      </c>
      <c r="Z97" s="5">
        <f t="shared" si="201"/>
        <v>0</v>
      </c>
      <c r="AA97" s="21">
        <f t="shared" si="202"/>
        <v>0</v>
      </c>
      <c r="AB97" s="6">
        <f t="shared" si="203"/>
        <v>0</v>
      </c>
      <c r="AC97" s="5">
        <f t="shared" si="204"/>
        <v>0</v>
      </c>
      <c r="AD97" s="6">
        <f t="shared" si="205"/>
        <v>0</v>
      </c>
      <c r="AE97" s="5">
        <f t="shared" si="206"/>
        <v>0</v>
      </c>
      <c r="AF97" s="21">
        <f t="shared" si="207"/>
        <v>0</v>
      </c>
      <c r="AG97" s="6">
        <f t="shared" si="208"/>
        <v>0</v>
      </c>
      <c r="AH97" s="5">
        <f t="shared" si="209"/>
        <v>0</v>
      </c>
      <c r="AI97" s="21">
        <f t="shared" si="210"/>
        <v>0</v>
      </c>
      <c r="AJ97" s="6">
        <f t="shared" si="211"/>
        <v>0</v>
      </c>
      <c r="AK97" s="5">
        <f t="shared" si="212"/>
        <v>0</v>
      </c>
      <c r="AL97" s="21">
        <f t="shared" si="213"/>
        <v>0</v>
      </c>
      <c r="AM97" s="21">
        <f t="shared" si="214"/>
        <v>0.33333333333333331</v>
      </c>
      <c r="AN97" s="6">
        <f t="shared" si="215"/>
        <v>1</v>
      </c>
      <c r="AO97" s="5">
        <f t="shared" si="216"/>
        <v>0.33333333333333331</v>
      </c>
      <c r="AP97" s="6">
        <f t="shared" si="217"/>
        <v>0</v>
      </c>
      <c r="AQ97" s="5">
        <f t="shared" si="218"/>
        <v>0</v>
      </c>
      <c r="AR97" s="2">
        <f t="shared" si="219"/>
        <v>3</v>
      </c>
      <c r="AS97" s="5">
        <f t="shared" si="220"/>
        <v>1</v>
      </c>
      <c r="AT97" s="21">
        <f t="shared" si="221"/>
        <v>0</v>
      </c>
      <c r="AU97" s="20">
        <f t="shared" si="222"/>
        <v>0</v>
      </c>
      <c r="AV97" s="20">
        <f t="shared" si="223"/>
        <v>1</v>
      </c>
      <c r="AW97" s="199">
        <f t="shared" si="224"/>
        <v>0</v>
      </c>
      <c r="AX97" s="24">
        <f t="shared" si="225"/>
        <v>90</v>
      </c>
      <c r="AY97" s="5">
        <f t="shared" si="226"/>
        <v>1</v>
      </c>
      <c r="AZ97" s="5">
        <f t="shared" si="227"/>
        <v>1</v>
      </c>
      <c r="BA97" s="5">
        <f t="shared" si="228"/>
        <v>0</v>
      </c>
      <c r="BB97" s="5">
        <f t="shared" si="229"/>
        <v>0</v>
      </c>
      <c r="BC97" s="5">
        <f t="shared" si="230"/>
        <v>0</v>
      </c>
      <c r="BD97" s="5">
        <f t="shared" si="231"/>
        <v>0</v>
      </c>
      <c r="BE97" s="199">
        <f t="shared" si="232"/>
        <v>0</v>
      </c>
      <c r="BF97" s="21">
        <f t="shared" si="233"/>
        <v>0</v>
      </c>
      <c r="BG97" s="6">
        <f t="shared" si="234"/>
        <v>0</v>
      </c>
      <c r="BH97" s="5">
        <f t="shared" si="235"/>
        <v>0</v>
      </c>
      <c r="BI97" s="6">
        <f t="shared" si="236"/>
        <v>0</v>
      </c>
      <c r="BJ97" s="5">
        <f t="shared" si="237"/>
        <v>0</v>
      </c>
      <c r="BK97" s="20">
        <f t="shared" si="238"/>
        <v>-9.9999999999999998E-13</v>
      </c>
      <c r="BL97" s="20">
        <f t="shared" si="239"/>
        <v>2.0229265003371545E-3</v>
      </c>
      <c r="BM97" s="6">
        <f t="shared" si="240"/>
        <v>3</v>
      </c>
      <c r="BN97" s="5">
        <f t="shared" si="241"/>
        <v>1</v>
      </c>
      <c r="BO97" s="333">
        <f t="shared" si="242"/>
        <v>0</v>
      </c>
      <c r="BP97" s="334">
        <f t="shared" si="243"/>
        <v>0</v>
      </c>
      <c r="BQ97" s="6">
        <f t="shared" si="244"/>
        <v>0</v>
      </c>
      <c r="BR97" s="5">
        <f t="shared" si="245"/>
        <v>0</v>
      </c>
      <c r="BS97" s="6">
        <f t="shared" si="246"/>
        <v>0</v>
      </c>
      <c r="BT97" s="5">
        <f t="shared" si="247"/>
        <v>0</v>
      </c>
      <c r="BU97" s="181">
        <f t="shared" si="248"/>
        <v>0</v>
      </c>
      <c r="BV97" s="154">
        <f t="shared" si="249"/>
        <v>0</v>
      </c>
      <c r="BW97" s="181">
        <f t="shared" si="250"/>
        <v>0</v>
      </c>
      <c r="BX97" s="180">
        <f t="shared" si="251"/>
        <v>0</v>
      </c>
      <c r="BY97" s="181">
        <f t="shared" si="252"/>
        <v>0</v>
      </c>
      <c r="BZ97" s="154">
        <f t="shared" si="253"/>
        <v>0</v>
      </c>
      <c r="CA97" s="182">
        <f t="shared" si="254"/>
        <v>0</v>
      </c>
      <c r="CB97" s="2">
        <f t="shared" si="255"/>
        <v>0</v>
      </c>
      <c r="CC97" s="2">
        <f t="shared" si="256"/>
        <v>0</v>
      </c>
      <c r="CD97" s="2">
        <f t="shared" si="257"/>
        <v>0</v>
      </c>
      <c r="CE97" s="2">
        <f t="shared" si="258"/>
        <v>0</v>
      </c>
      <c r="CF97" s="6">
        <f t="shared" si="259"/>
        <v>0</v>
      </c>
      <c r="CG97" s="6">
        <f t="shared" si="260"/>
        <v>65</v>
      </c>
      <c r="CH97" s="6">
        <f t="shared" si="261"/>
        <v>32</v>
      </c>
      <c r="CI97" s="20">
        <f t="shared" si="262"/>
        <v>0.49230769230769234</v>
      </c>
      <c r="CJ97" s="133">
        <f t="shared" si="263"/>
        <v>2521</v>
      </c>
      <c r="CK97" s="5">
        <f t="shared" si="264"/>
        <v>7.6</v>
      </c>
      <c r="CL97" s="302"/>
      <c r="CM97" s="298" t="s">
        <v>13</v>
      </c>
      <c r="CN97" s="298" t="s">
        <v>1381</v>
      </c>
      <c r="CO97" s="298">
        <v>19</v>
      </c>
      <c r="CP97" s="298" t="s">
        <v>1382</v>
      </c>
      <c r="CQ97" s="298" t="s">
        <v>1131</v>
      </c>
      <c r="CR97" s="298" t="s">
        <v>644</v>
      </c>
      <c r="CS97" s="298" t="s">
        <v>1247</v>
      </c>
      <c r="CT97" s="298" t="s">
        <v>575</v>
      </c>
      <c r="CU97" s="299">
        <v>47118</v>
      </c>
      <c r="CV97" s="298">
        <v>1</v>
      </c>
      <c r="CW97" s="298">
        <v>270</v>
      </c>
      <c r="CX97" s="298">
        <v>3</v>
      </c>
      <c r="CY97" s="298">
        <v>0</v>
      </c>
      <c r="CZ97" s="298">
        <v>0</v>
      </c>
      <c r="DA97" s="298">
        <v>0</v>
      </c>
      <c r="DB97" s="298">
        <v>0</v>
      </c>
      <c r="DC97" s="298">
        <v>0</v>
      </c>
      <c r="DD97" s="298">
        <v>0</v>
      </c>
      <c r="DE97" s="298">
        <v>1</v>
      </c>
      <c r="DF97" s="298">
        <v>0</v>
      </c>
      <c r="DG97" s="298">
        <v>0</v>
      </c>
      <c r="DH97" s="298">
        <v>0</v>
      </c>
      <c r="DI97" s="298">
        <v>0</v>
      </c>
      <c r="DJ97" s="298">
        <v>0</v>
      </c>
      <c r="DK97" s="298">
        <v>0</v>
      </c>
      <c r="DL97" s="298">
        <v>60</v>
      </c>
      <c r="DM97" s="298">
        <v>32</v>
      </c>
      <c r="DN97" s="298">
        <v>0</v>
      </c>
      <c r="DO97" s="298">
        <v>0</v>
      </c>
      <c r="DP97" s="298">
        <v>0</v>
      </c>
      <c r="DQ97" s="298">
        <v>0</v>
      </c>
      <c r="DR97" s="298">
        <v>0</v>
      </c>
      <c r="DS97" s="298">
        <v>0</v>
      </c>
      <c r="DT97" s="298">
        <v>0</v>
      </c>
      <c r="DU97" s="298">
        <v>0</v>
      </c>
      <c r="DV97" s="303">
        <v>7.6</v>
      </c>
    </row>
    <row r="98" spans="1:126" ht="24.95" customHeight="1" thickBot="1" x14ac:dyDescent="0.3">
      <c r="A98" s="29" t="str">
        <f t="shared" si="176"/>
        <v>97º</v>
      </c>
      <c r="B98" s="69" t="str">
        <f t="shared" si="178"/>
        <v>Gil</v>
      </c>
      <c r="C98" s="269" t="str">
        <f t="shared" si="179"/>
        <v>BRA</v>
      </c>
      <c r="D98" s="99" t="str">
        <f t="shared" si="180"/>
        <v>Pé Direito</v>
      </c>
      <c r="E98" s="28" t="str">
        <f t="shared" si="181"/>
        <v>Ponte da Barca</v>
      </c>
      <c r="F98" s="169">
        <f t="shared" si="182"/>
        <v>17</v>
      </c>
      <c r="G98" s="2" t="str">
        <f t="shared" si="183"/>
        <v>0 €</v>
      </c>
      <c r="H98" s="154">
        <f t="shared" si="184"/>
        <v>1.88</v>
      </c>
      <c r="I98" s="64" t="str">
        <f t="shared" si="185"/>
        <v>N/A</v>
      </c>
      <c r="J98" s="304" t="str">
        <f t="shared" si="186"/>
        <v>N/D</v>
      </c>
      <c r="K98" s="96">
        <f t="shared" si="177"/>
        <v>3.5222222222222221</v>
      </c>
      <c r="L98" s="146">
        <f t="shared" si="187"/>
        <v>0</v>
      </c>
      <c r="M98" s="6">
        <f t="shared" si="188"/>
        <v>0</v>
      </c>
      <c r="N98" s="5">
        <f t="shared" si="189"/>
        <v>5400</v>
      </c>
      <c r="O98" s="21">
        <f t="shared" si="190"/>
        <v>0</v>
      </c>
      <c r="P98" s="2">
        <f t="shared" si="191"/>
        <v>0</v>
      </c>
      <c r="Q98" s="2">
        <f t="shared" si="192"/>
        <v>0</v>
      </c>
      <c r="R98" s="5">
        <f t="shared" si="193"/>
        <v>0</v>
      </c>
      <c r="S98" s="2">
        <f t="shared" si="194"/>
        <v>0</v>
      </c>
      <c r="T98" s="2">
        <f t="shared" si="195"/>
        <v>0</v>
      </c>
      <c r="U98" s="102">
        <f t="shared" si="196"/>
        <v>0</v>
      </c>
      <c r="V98" s="102">
        <f t="shared" si="197"/>
        <v>0</v>
      </c>
      <c r="W98" s="6">
        <f t="shared" si="198"/>
        <v>0</v>
      </c>
      <c r="X98" s="5">
        <f t="shared" si="199"/>
        <v>0</v>
      </c>
      <c r="Y98" s="6">
        <f t="shared" si="200"/>
        <v>0</v>
      </c>
      <c r="Z98" s="5" t="e">
        <f t="shared" si="201"/>
        <v>#DIV/0!</v>
      </c>
      <c r="AA98" s="21">
        <f t="shared" si="202"/>
        <v>0</v>
      </c>
      <c r="AB98" s="6">
        <f t="shared" si="203"/>
        <v>0</v>
      </c>
      <c r="AC98" s="5" t="e">
        <f t="shared" si="204"/>
        <v>#DIV/0!</v>
      </c>
      <c r="AD98" s="6">
        <f t="shared" si="205"/>
        <v>0</v>
      </c>
      <c r="AE98" s="5">
        <f t="shared" si="206"/>
        <v>0</v>
      </c>
      <c r="AF98" s="21">
        <f t="shared" si="207"/>
        <v>0</v>
      </c>
      <c r="AG98" s="6">
        <f t="shared" si="208"/>
        <v>0</v>
      </c>
      <c r="AH98" s="5">
        <f t="shared" si="209"/>
        <v>0</v>
      </c>
      <c r="AI98" s="21">
        <f t="shared" si="210"/>
        <v>0</v>
      </c>
      <c r="AJ98" s="6">
        <f t="shared" si="211"/>
        <v>0</v>
      </c>
      <c r="AK98" s="5">
        <f t="shared" si="212"/>
        <v>0</v>
      </c>
      <c r="AL98" s="21">
        <f t="shared" si="213"/>
        <v>0</v>
      </c>
      <c r="AM98" s="21">
        <f t="shared" si="214"/>
        <v>0</v>
      </c>
      <c r="AN98" s="6">
        <f t="shared" si="215"/>
        <v>0</v>
      </c>
      <c r="AO98" s="5">
        <f t="shared" si="216"/>
        <v>0</v>
      </c>
      <c r="AP98" s="6">
        <f t="shared" si="217"/>
        <v>0</v>
      </c>
      <c r="AQ98" s="5">
        <f t="shared" si="218"/>
        <v>0</v>
      </c>
      <c r="AR98" s="2">
        <f t="shared" si="219"/>
        <v>0</v>
      </c>
      <c r="AS98" s="5">
        <f t="shared" si="220"/>
        <v>0</v>
      </c>
      <c r="AT98" s="21">
        <f t="shared" si="221"/>
        <v>0</v>
      </c>
      <c r="AU98" s="20">
        <f t="shared" si="222"/>
        <v>0</v>
      </c>
      <c r="AV98" s="20">
        <f t="shared" si="223"/>
        <v>1</v>
      </c>
      <c r="AW98" s="199">
        <f t="shared" si="224"/>
        <v>0</v>
      </c>
      <c r="AX98" s="24">
        <f t="shared" si="225"/>
        <v>0</v>
      </c>
      <c r="AY98" s="5">
        <f t="shared" si="226"/>
        <v>0</v>
      </c>
      <c r="AZ98" s="5">
        <f t="shared" si="227"/>
        <v>0</v>
      </c>
      <c r="BA98" s="5">
        <f t="shared" si="228"/>
        <v>0</v>
      </c>
      <c r="BB98" s="5">
        <f t="shared" si="229"/>
        <v>0</v>
      </c>
      <c r="BC98" s="5">
        <f t="shared" si="230"/>
        <v>0</v>
      </c>
      <c r="BD98" s="5">
        <f t="shared" si="231"/>
        <v>0</v>
      </c>
      <c r="BE98" s="199">
        <f t="shared" si="232"/>
        <v>0</v>
      </c>
      <c r="BF98" s="21">
        <f t="shared" si="233"/>
        <v>0</v>
      </c>
      <c r="BG98" s="6">
        <f t="shared" si="234"/>
        <v>0</v>
      </c>
      <c r="BH98" s="5" t="e">
        <f t="shared" si="235"/>
        <v>#DIV/0!</v>
      </c>
      <c r="BI98" s="6">
        <f t="shared" si="236"/>
        <v>0</v>
      </c>
      <c r="BJ98" s="5" t="e">
        <f t="shared" si="237"/>
        <v>#DIV/0!</v>
      </c>
      <c r="BK98" s="20">
        <f t="shared" si="238"/>
        <v>-9.9999999999999998E-13</v>
      </c>
      <c r="BL98" s="20">
        <f t="shared" si="239"/>
        <v>0</v>
      </c>
      <c r="BM98" s="6">
        <f t="shared" si="240"/>
        <v>0</v>
      </c>
      <c r="BN98" s="5">
        <f t="shared" si="241"/>
        <v>0</v>
      </c>
      <c r="BO98" s="333">
        <f t="shared" si="242"/>
        <v>0</v>
      </c>
      <c r="BP98" s="334">
        <f t="shared" si="243"/>
        <v>0</v>
      </c>
      <c r="BQ98" s="6">
        <f t="shared" si="244"/>
        <v>0</v>
      </c>
      <c r="BR98" s="5">
        <f t="shared" si="245"/>
        <v>0</v>
      </c>
      <c r="BS98" s="6">
        <f t="shared" si="246"/>
        <v>0</v>
      </c>
      <c r="BT98" s="5">
        <f t="shared" si="247"/>
        <v>0</v>
      </c>
      <c r="BU98" s="181">
        <f t="shared" si="248"/>
        <v>0</v>
      </c>
      <c r="BV98" s="154">
        <f t="shared" si="249"/>
        <v>0</v>
      </c>
      <c r="BW98" s="181">
        <f t="shared" si="250"/>
        <v>0</v>
      </c>
      <c r="BX98" s="180">
        <f t="shared" si="251"/>
        <v>0</v>
      </c>
      <c r="BY98" s="181">
        <f t="shared" si="252"/>
        <v>0</v>
      </c>
      <c r="BZ98" s="154">
        <f t="shared" si="253"/>
        <v>0</v>
      </c>
      <c r="CA98" s="182">
        <f t="shared" si="254"/>
        <v>0</v>
      </c>
      <c r="CB98" s="2">
        <f t="shared" si="255"/>
        <v>0</v>
      </c>
      <c r="CC98" s="2">
        <f t="shared" si="256"/>
        <v>0</v>
      </c>
      <c r="CD98" s="2">
        <f t="shared" si="257"/>
        <v>0</v>
      </c>
      <c r="CE98" s="2">
        <f t="shared" si="258"/>
        <v>0</v>
      </c>
      <c r="CF98" s="6">
        <f t="shared" si="259"/>
        <v>0</v>
      </c>
      <c r="CG98" s="6">
        <f t="shared" si="260"/>
        <v>0</v>
      </c>
      <c r="CH98" s="6">
        <f t="shared" si="261"/>
        <v>0</v>
      </c>
      <c r="CI98" s="20">
        <f t="shared" si="262"/>
        <v>0</v>
      </c>
      <c r="CJ98" s="133">
        <f t="shared" si="263"/>
        <v>2521</v>
      </c>
      <c r="CK98" s="5">
        <f t="shared" si="264"/>
        <v>0</v>
      </c>
      <c r="CL98" s="300"/>
      <c r="CM98" s="296" t="s">
        <v>13</v>
      </c>
      <c r="CN98" s="296" t="s">
        <v>1383</v>
      </c>
      <c r="CO98" s="296">
        <v>17</v>
      </c>
      <c r="CP98" s="296" t="s">
        <v>1384</v>
      </c>
      <c r="CQ98" s="296" t="s">
        <v>1131</v>
      </c>
      <c r="CR98" s="296" t="s">
        <v>644</v>
      </c>
      <c r="CS98" s="296" t="s">
        <v>1385</v>
      </c>
      <c r="CT98" s="296" t="s">
        <v>552</v>
      </c>
      <c r="CU98" s="296" t="s">
        <v>1386</v>
      </c>
      <c r="CV98" s="296">
        <v>0</v>
      </c>
      <c r="CW98" s="296">
        <v>0</v>
      </c>
      <c r="CX98" s="296">
        <v>0</v>
      </c>
      <c r="CY98" s="296">
        <v>0</v>
      </c>
      <c r="CZ98" s="296">
        <v>0</v>
      </c>
      <c r="DA98" s="296">
        <v>0</v>
      </c>
      <c r="DB98" s="296">
        <v>0</v>
      </c>
      <c r="DC98" s="296">
        <v>0</v>
      </c>
      <c r="DD98" s="296">
        <v>0</v>
      </c>
      <c r="DE98" s="296">
        <v>0</v>
      </c>
      <c r="DF98" s="296">
        <v>0</v>
      </c>
      <c r="DG98" s="296">
        <v>0</v>
      </c>
      <c r="DH98" s="296">
        <v>0</v>
      </c>
      <c r="DI98" s="296">
        <v>0</v>
      </c>
      <c r="DJ98" s="296">
        <v>0</v>
      </c>
      <c r="DK98" s="296">
        <v>0</v>
      </c>
      <c r="DL98" s="296">
        <v>0</v>
      </c>
      <c r="DM98" s="296">
        <v>0</v>
      </c>
      <c r="DN98" s="296">
        <v>0</v>
      </c>
      <c r="DO98" s="296">
        <v>0</v>
      </c>
      <c r="DP98" s="296">
        <v>0</v>
      </c>
      <c r="DQ98" s="296">
        <v>0</v>
      </c>
      <c r="DR98" s="296">
        <v>0</v>
      </c>
      <c r="DS98" s="296">
        <v>0</v>
      </c>
      <c r="DT98" s="296">
        <v>0</v>
      </c>
      <c r="DU98" s="296">
        <v>0</v>
      </c>
      <c r="DV98" s="301" t="s">
        <v>548</v>
      </c>
    </row>
    <row r="99" spans="1:126" ht="24.95" customHeight="1" thickBot="1" x14ac:dyDescent="0.3">
      <c r="A99" s="29" t="str">
        <f t="shared" si="176"/>
        <v>98º</v>
      </c>
      <c r="B99" s="69" t="str">
        <f t="shared" si="178"/>
        <v>Ariel</v>
      </c>
      <c r="C99" s="269" t="str">
        <f t="shared" si="179"/>
        <v>BRA</v>
      </c>
      <c r="D99" s="99" t="str">
        <f t="shared" si="180"/>
        <v>Pé Direito</v>
      </c>
      <c r="E99" s="28" t="str">
        <f t="shared" si="181"/>
        <v>Interporto</v>
      </c>
      <c r="F99" s="169">
        <f t="shared" si="182"/>
        <v>18</v>
      </c>
      <c r="G99" s="2" t="str">
        <f t="shared" si="183"/>
        <v>0 €</v>
      </c>
      <c r="H99" s="154">
        <f t="shared" si="184"/>
        <v>1.76</v>
      </c>
      <c r="I99" s="64">
        <f t="shared" si="185"/>
        <v>47118</v>
      </c>
      <c r="J99" s="304" t="str">
        <f t="shared" si="186"/>
        <v>500 € p/m</v>
      </c>
      <c r="K99" s="96">
        <f t="shared" si="177"/>
        <v>3.5222222222222221</v>
      </c>
      <c r="L99" s="146">
        <f t="shared" si="187"/>
        <v>25</v>
      </c>
      <c r="M99" s="6">
        <f t="shared" si="188"/>
        <v>0</v>
      </c>
      <c r="N99" s="5">
        <f t="shared" si="189"/>
        <v>5400</v>
      </c>
      <c r="O99" s="21">
        <f t="shared" si="190"/>
        <v>0</v>
      </c>
      <c r="P99" s="2">
        <f t="shared" si="191"/>
        <v>528</v>
      </c>
      <c r="Q99" s="2">
        <f t="shared" si="192"/>
        <v>302</v>
      </c>
      <c r="R99" s="5">
        <f t="shared" si="193"/>
        <v>12.08</v>
      </c>
      <c r="S99" s="2">
        <f t="shared" si="194"/>
        <v>226</v>
      </c>
      <c r="T99" s="2">
        <f t="shared" si="195"/>
        <v>76</v>
      </c>
      <c r="U99" s="102">
        <f t="shared" si="196"/>
        <v>0.42803030303030304</v>
      </c>
      <c r="V99" s="102">
        <f t="shared" si="197"/>
        <v>0.57196969696969702</v>
      </c>
      <c r="W99" s="6">
        <f t="shared" si="198"/>
        <v>528</v>
      </c>
      <c r="X99" s="5">
        <f t="shared" si="199"/>
        <v>21.12</v>
      </c>
      <c r="Y99" s="6">
        <f t="shared" si="200"/>
        <v>0</v>
      </c>
      <c r="Z99" s="5">
        <f t="shared" si="201"/>
        <v>0</v>
      </c>
      <c r="AA99" s="21">
        <f t="shared" si="202"/>
        <v>0</v>
      </c>
      <c r="AB99" s="6">
        <f t="shared" si="203"/>
        <v>1</v>
      </c>
      <c r="AC99" s="5">
        <f t="shared" si="204"/>
        <v>0.04</v>
      </c>
      <c r="AD99" s="6">
        <f t="shared" si="205"/>
        <v>2</v>
      </c>
      <c r="AE99" s="5">
        <f t="shared" si="206"/>
        <v>0.08</v>
      </c>
      <c r="AF99" s="21">
        <f t="shared" si="207"/>
        <v>0.22222222222222221</v>
      </c>
      <c r="AG99" s="6">
        <f t="shared" si="208"/>
        <v>1</v>
      </c>
      <c r="AH99" s="5">
        <f t="shared" si="209"/>
        <v>0.04</v>
      </c>
      <c r="AI99" s="21">
        <f t="shared" si="210"/>
        <v>0.1111111111111111</v>
      </c>
      <c r="AJ99" s="6">
        <f t="shared" si="211"/>
        <v>6</v>
      </c>
      <c r="AK99" s="5">
        <f t="shared" si="212"/>
        <v>0.49668874172185429</v>
      </c>
      <c r="AL99" s="21">
        <f t="shared" si="213"/>
        <v>0.66666666666666663</v>
      </c>
      <c r="AM99" s="21">
        <f t="shared" si="214"/>
        <v>0.16</v>
      </c>
      <c r="AN99" s="6">
        <f t="shared" si="215"/>
        <v>4</v>
      </c>
      <c r="AO99" s="5">
        <f t="shared" si="216"/>
        <v>0.16</v>
      </c>
      <c r="AP99" s="6">
        <f t="shared" si="217"/>
        <v>9</v>
      </c>
      <c r="AQ99" s="5">
        <f t="shared" si="218"/>
        <v>0.36</v>
      </c>
      <c r="AR99" s="2">
        <f t="shared" si="219"/>
        <v>45</v>
      </c>
      <c r="AS99" s="5">
        <f t="shared" si="220"/>
        <v>1.8</v>
      </c>
      <c r="AT99" s="21">
        <f t="shared" si="221"/>
        <v>0.2</v>
      </c>
      <c r="AU99" s="20">
        <f t="shared" si="222"/>
        <v>0.16279069767441862</v>
      </c>
      <c r="AV99" s="20">
        <f t="shared" si="223"/>
        <v>0.79999999999999993</v>
      </c>
      <c r="AW99" s="199">
        <f t="shared" si="224"/>
        <v>0.28888888888888886</v>
      </c>
      <c r="AX99" s="24">
        <f t="shared" si="225"/>
        <v>62.5</v>
      </c>
      <c r="AY99" s="5">
        <f t="shared" si="226"/>
        <v>1.25</v>
      </c>
      <c r="AZ99" s="5">
        <f t="shared" si="227"/>
        <v>1.1944444444444444</v>
      </c>
      <c r="BA99" s="5">
        <f t="shared" si="228"/>
        <v>-0.62</v>
      </c>
      <c r="BB99" s="5">
        <f t="shared" si="229"/>
        <v>-2.4799999999999999E-2</v>
      </c>
      <c r="BC99" s="5">
        <f t="shared" si="230"/>
        <v>-0.62</v>
      </c>
      <c r="BD99" s="5">
        <f t="shared" si="231"/>
        <v>-2.4799999999999999E-2</v>
      </c>
      <c r="BE99" s="199">
        <f t="shared" si="232"/>
        <v>-0.155</v>
      </c>
      <c r="BF99" s="21">
        <f t="shared" si="233"/>
        <v>-1.7524024872809494E-2</v>
      </c>
      <c r="BG99" s="6">
        <f t="shared" si="234"/>
        <v>0</v>
      </c>
      <c r="BH99" s="5">
        <f t="shared" si="235"/>
        <v>0</v>
      </c>
      <c r="BI99" s="6">
        <f t="shared" si="236"/>
        <v>0</v>
      </c>
      <c r="BJ99" s="5">
        <f t="shared" si="237"/>
        <v>0</v>
      </c>
      <c r="BK99" s="20">
        <f t="shared" si="238"/>
        <v>-9.9999999999999998E-13</v>
      </c>
      <c r="BL99" s="20">
        <f t="shared" si="239"/>
        <v>2.4275118004045852E-2</v>
      </c>
      <c r="BM99" s="6">
        <f t="shared" si="240"/>
        <v>36</v>
      </c>
      <c r="BN99" s="5">
        <f t="shared" si="241"/>
        <v>1.44</v>
      </c>
      <c r="BO99" s="333">
        <f t="shared" si="242"/>
        <v>0</v>
      </c>
      <c r="BP99" s="334">
        <f t="shared" si="243"/>
        <v>0</v>
      </c>
      <c r="BQ99" s="6">
        <f t="shared" si="244"/>
        <v>5</v>
      </c>
      <c r="BR99" s="5">
        <f t="shared" si="245"/>
        <v>0.2</v>
      </c>
      <c r="BS99" s="6">
        <f t="shared" si="246"/>
        <v>30</v>
      </c>
      <c r="BT99" s="5">
        <f t="shared" si="247"/>
        <v>1.2</v>
      </c>
      <c r="BU99" s="181">
        <f t="shared" si="248"/>
        <v>0</v>
      </c>
      <c r="BV99" s="154">
        <f t="shared" si="249"/>
        <v>0</v>
      </c>
      <c r="BW99" s="181">
        <f t="shared" si="250"/>
        <v>0</v>
      </c>
      <c r="BX99" s="180">
        <f t="shared" si="251"/>
        <v>0</v>
      </c>
      <c r="BY99" s="181">
        <f t="shared" si="252"/>
        <v>0</v>
      </c>
      <c r="BZ99" s="154">
        <f t="shared" si="253"/>
        <v>0</v>
      </c>
      <c r="CA99" s="182">
        <f t="shared" si="254"/>
        <v>0</v>
      </c>
      <c r="CB99" s="2">
        <f t="shared" si="255"/>
        <v>0</v>
      </c>
      <c r="CC99" s="2">
        <f t="shared" si="256"/>
        <v>0</v>
      </c>
      <c r="CD99" s="2">
        <f t="shared" si="257"/>
        <v>0</v>
      </c>
      <c r="CE99" s="2">
        <f t="shared" si="258"/>
        <v>4</v>
      </c>
      <c r="CF99" s="6">
        <f t="shared" si="259"/>
        <v>0</v>
      </c>
      <c r="CG99" s="6">
        <f t="shared" si="260"/>
        <v>582.596</v>
      </c>
      <c r="CH99" s="6">
        <f t="shared" si="261"/>
        <v>311</v>
      </c>
      <c r="CI99" s="20">
        <f t="shared" si="262"/>
        <v>0.53381760259253408</v>
      </c>
      <c r="CJ99" s="133">
        <f t="shared" si="263"/>
        <v>2521</v>
      </c>
      <c r="CK99" s="5">
        <f t="shared" si="264"/>
        <v>6.41</v>
      </c>
      <c r="CL99" s="302" t="s">
        <v>19</v>
      </c>
      <c r="CM99" s="298" t="s">
        <v>13</v>
      </c>
      <c r="CN99" s="298" t="s">
        <v>1387</v>
      </c>
      <c r="CO99" s="298">
        <v>18</v>
      </c>
      <c r="CP99" s="298" t="s">
        <v>1388</v>
      </c>
      <c r="CQ99" s="298" t="s">
        <v>1131</v>
      </c>
      <c r="CR99" s="298" t="s">
        <v>644</v>
      </c>
      <c r="CS99" s="298" t="s">
        <v>760</v>
      </c>
      <c r="CT99" s="298" t="s">
        <v>579</v>
      </c>
      <c r="CU99" s="299">
        <v>47118</v>
      </c>
      <c r="CV99" s="298">
        <v>0</v>
      </c>
      <c r="CW99" s="298">
        <v>2250</v>
      </c>
      <c r="CX99" s="298">
        <v>36</v>
      </c>
      <c r="CY99" s="298">
        <v>2</v>
      </c>
      <c r="CZ99" s="298">
        <v>1</v>
      </c>
      <c r="DA99" s="298">
        <v>6</v>
      </c>
      <c r="DB99" s="298">
        <v>0</v>
      </c>
      <c r="DC99" s="298">
        <v>0.2</v>
      </c>
      <c r="DD99" s="298">
        <v>1.2</v>
      </c>
      <c r="DE99" s="298">
        <v>4</v>
      </c>
      <c r="DF99" s="298">
        <v>0</v>
      </c>
      <c r="DG99" s="298">
        <v>0</v>
      </c>
      <c r="DH99" s="298">
        <v>0</v>
      </c>
      <c r="DI99" s="298">
        <v>4</v>
      </c>
      <c r="DJ99" s="298">
        <v>0</v>
      </c>
      <c r="DK99" s="298">
        <v>1</v>
      </c>
      <c r="DL99" s="298">
        <v>528</v>
      </c>
      <c r="DM99" s="298">
        <v>302</v>
      </c>
      <c r="DN99" s="298" t="s">
        <v>1389</v>
      </c>
      <c r="DO99" s="298">
        <v>0</v>
      </c>
      <c r="DP99" s="298">
        <v>0</v>
      </c>
      <c r="DQ99" s="298">
        <v>0</v>
      </c>
      <c r="DR99" s="298">
        <v>0</v>
      </c>
      <c r="DS99" s="298">
        <v>0</v>
      </c>
      <c r="DT99" s="298">
        <v>0</v>
      </c>
      <c r="DU99" s="298">
        <v>0</v>
      </c>
      <c r="DV99" s="303">
        <v>6.41</v>
      </c>
    </row>
    <row r="100" spans="1:126" ht="24.95" customHeight="1" thickBot="1" x14ac:dyDescent="0.3">
      <c r="A100" s="29" t="str">
        <f t="shared" si="176"/>
        <v>99º</v>
      </c>
      <c r="B100" s="69" t="str">
        <f t="shared" si="178"/>
        <v>Crison Oliveira</v>
      </c>
      <c r="C100" s="269" t="str">
        <f t="shared" si="179"/>
        <v>BRA</v>
      </c>
      <c r="D100" s="99" t="str">
        <f t="shared" si="180"/>
        <v>Pé Direito</v>
      </c>
      <c r="E100" s="28" t="str">
        <f t="shared" si="181"/>
        <v>Pelotas</v>
      </c>
      <c r="F100" s="169">
        <f t="shared" si="182"/>
        <v>25</v>
      </c>
      <c r="G100" s="2" t="str">
        <f t="shared" si="183"/>
        <v>0 €</v>
      </c>
      <c r="H100" s="154">
        <f t="shared" si="184"/>
        <v>1.82</v>
      </c>
      <c r="I100" s="64">
        <f t="shared" si="185"/>
        <v>47118</v>
      </c>
      <c r="J100" s="304" t="str">
        <f t="shared" si="186"/>
        <v>500 € p/m</v>
      </c>
      <c r="K100" s="96">
        <f t="shared" si="177"/>
        <v>3.5222222222222221</v>
      </c>
      <c r="L100" s="146">
        <f t="shared" si="187"/>
        <v>0</v>
      </c>
      <c r="M100" s="6">
        <f t="shared" si="188"/>
        <v>0</v>
      </c>
      <c r="N100" s="5">
        <f t="shared" si="189"/>
        <v>5400</v>
      </c>
      <c r="O100" s="21">
        <f t="shared" si="190"/>
        <v>0</v>
      </c>
      <c r="P100" s="2">
        <f t="shared" si="191"/>
        <v>0</v>
      </c>
      <c r="Q100" s="2">
        <f t="shared" si="192"/>
        <v>0</v>
      </c>
      <c r="R100" s="5">
        <f t="shared" si="193"/>
        <v>0</v>
      </c>
      <c r="S100" s="2">
        <f t="shared" si="194"/>
        <v>0</v>
      </c>
      <c r="T100" s="2">
        <f t="shared" si="195"/>
        <v>0</v>
      </c>
      <c r="U100" s="102">
        <f t="shared" si="196"/>
        <v>0</v>
      </c>
      <c r="V100" s="102">
        <f t="shared" si="197"/>
        <v>0</v>
      </c>
      <c r="W100" s="6">
        <f t="shared" si="198"/>
        <v>0</v>
      </c>
      <c r="X100" s="5">
        <f t="shared" si="199"/>
        <v>0</v>
      </c>
      <c r="Y100" s="6">
        <f t="shared" si="200"/>
        <v>0</v>
      </c>
      <c r="Z100" s="5" t="e">
        <f t="shared" si="201"/>
        <v>#DIV/0!</v>
      </c>
      <c r="AA100" s="21">
        <f t="shared" si="202"/>
        <v>0</v>
      </c>
      <c r="AB100" s="6">
        <f t="shared" si="203"/>
        <v>0</v>
      </c>
      <c r="AC100" s="5" t="e">
        <f t="shared" si="204"/>
        <v>#DIV/0!</v>
      </c>
      <c r="AD100" s="6">
        <f t="shared" si="205"/>
        <v>0</v>
      </c>
      <c r="AE100" s="5">
        <f t="shared" si="206"/>
        <v>0</v>
      </c>
      <c r="AF100" s="21">
        <f t="shared" si="207"/>
        <v>0</v>
      </c>
      <c r="AG100" s="6">
        <f t="shared" si="208"/>
        <v>0</v>
      </c>
      <c r="AH100" s="5">
        <f t="shared" si="209"/>
        <v>0</v>
      </c>
      <c r="AI100" s="21">
        <f t="shared" si="210"/>
        <v>0</v>
      </c>
      <c r="AJ100" s="6">
        <f t="shared" si="211"/>
        <v>0</v>
      </c>
      <c r="AK100" s="5">
        <f t="shared" si="212"/>
        <v>0</v>
      </c>
      <c r="AL100" s="21">
        <f t="shared" si="213"/>
        <v>0</v>
      </c>
      <c r="AM100" s="21">
        <f t="shared" si="214"/>
        <v>0</v>
      </c>
      <c r="AN100" s="6">
        <f t="shared" si="215"/>
        <v>0</v>
      </c>
      <c r="AO100" s="5">
        <f t="shared" si="216"/>
        <v>0</v>
      </c>
      <c r="AP100" s="6">
        <f t="shared" si="217"/>
        <v>0</v>
      </c>
      <c r="AQ100" s="5">
        <f t="shared" si="218"/>
        <v>0</v>
      </c>
      <c r="AR100" s="2">
        <f t="shared" si="219"/>
        <v>0</v>
      </c>
      <c r="AS100" s="5">
        <f t="shared" si="220"/>
        <v>0</v>
      </c>
      <c r="AT100" s="21">
        <f t="shared" si="221"/>
        <v>0</v>
      </c>
      <c r="AU100" s="20">
        <f t="shared" si="222"/>
        <v>0</v>
      </c>
      <c r="AV100" s="20">
        <f t="shared" si="223"/>
        <v>1</v>
      </c>
      <c r="AW100" s="199">
        <f t="shared" si="224"/>
        <v>0</v>
      </c>
      <c r="AX100" s="24">
        <f t="shared" si="225"/>
        <v>0</v>
      </c>
      <c r="AY100" s="5">
        <f t="shared" si="226"/>
        <v>0</v>
      </c>
      <c r="AZ100" s="5">
        <f t="shared" si="227"/>
        <v>0</v>
      </c>
      <c r="BA100" s="5">
        <f t="shared" si="228"/>
        <v>0</v>
      </c>
      <c r="BB100" s="5">
        <f t="shared" si="229"/>
        <v>0</v>
      </c>
      <c r="BC100" s="5">
        <f t="shared" si="230"/>
        <v>0</v>
      </c>
      <c r="BD100" s="5">
        <f t="shared" si="231"/>
        <v>0</v>
      </c>
      <c r="BE100" s="199">
        <f t="shared" si="232"/>
        <v>0</v>
      </c>
      <c r="BF100" s="21">
        <f t="shared" si="233"/>
        <v>0</v>
      </c>
      <c r="BG100" s="6">
        <f t="shared" si="234"/>
        <v>0</v>
      </c>
      <c r="BH100" s="5" t="e">
        <f t="shared" si="235"/>
        <v>#DIV/0!</v>
      </c>
      <c r="BI100" s="6">
        <f t="shared" si="236"/>
        <v>0</v>
      </c>
      <c r="BJ100" s="5" t="e">
        <f t="shared" si="237"/>
        <v>#DIV/0!</v>
      </c>
      <c r="BK100" s="20">
        <f t="shared" si="238"/>
        <v>-9.9999999999999998E-13</v>
      </c>
      <c r="BL100" s="20">
        <f t="shared" si="239"/>
        <v>0</v>
      </c>
      <c r="BM100" s="6">
        <f t="shared" si="240"/>
        <v>0</v>
      </c>
      <c r="BN100" s="5">
        <f t="shared" si="241"/>
        <v>0</v>
      </c>
      <c r="BO100" s="333">
        <f t="shared" si="242"/>
        <v>0</v>
      </c>
      <c r="BP100" s="334">
        <f t="shared" si="243"/>
        <v>0</v>
      </c>
      <c r="BQ100" s="6">
        <f t="shared" si="244"/>
        <v>0</v>
      </c>
      <c r="BR100" s="5">
        <f t="shared" si="245"/>
        <v>0</v>
      </c>
      <c r="BS100" s="6">
        <f t="shared" si="246"/>
        <v>0</v>
      </c>
      <c r="BT100" s="5">
        <f t="shared" si="247"/>
        <v>0</v>
      </c>
      <c r="BU100" s="181">
        <f t="shared" si="248"/>
        <v>0</v>
      </c>
      <c r="BV100" s="154">
        <f t="shared" si="249"/>
        <v>0</v>
      </c>
      <c r="BW100" s="181">
        <f t="shared" si="250"/>
        <v>0</v>
      </c>
      <c r="BX100" s="180">
        <f t="shared" si="251"/>
        <v>0</v>
      </c>
      <c r="BY100" s="181">
        <f t="shared" si="252"/>
        <v>0</v>
      </c>
      <c r="BZ100" s="154">
        <f t="shared" si="253"/>
        <v>0</v>
      </c>
      <c r="CA100" s="182">
        <f t="shared" si="254"/>
        <v>0</v>
      </c>
      <c r="CB100" s="2">
        <f t="shared" si="255"/>
        <v>0</v>
      </c>
      <c r="CC100" s="2">
        <f t="shared" si="256"/>
        <v>0</v>
      </c>
      <c r="CD100" s="2">
        <f t="shared" si="257"/>
        <v>0</v>
      </c>
      <c r="CE100" s="2">
        <f t="shared" si="258"/>
        <v>0</v>
      </c>
      <c r="CF100" s="6">
        <f t="shared" si="259"/>
        <v>0</v>
      </c>
      <c r="CG100" s="6">
        <f t="shared" si="260"/>
        <v>0</v>
      </c>
      <c r="CH100" s="6">
        <f t="shared" si="261"/>
        <v>0</v>
      </c>
      <c r="CI100" s="20">
        <f t="shared" si="262"/>
        <v>0</v>
      </c>
      <c r="CJ100" s="133">
        <f t="shared" si="263"/>
        <v>2521</v>
      </c>
      <c r="CK100" s="5">
        <f t="shared" si="264"/>
        <v>0</v>
      </c>
      <c r="CL100" s="300"/>
      <c r="CM100" s="296" t="s">
        <v>13</v>
      </c>
      <c r="CN100" s="296" t="s">
        <v>1390</v>
      </c>
      <c r="CO100" s="296">
        <v>25</v>
      </c>
      <c r="CP100" s="296" t="s">
        <v>1391</v>
      </c>
      <c r="CQ100" s="296" t="s">
        <v>1131</v>
      </c>
      <c r="CR100" s="296" t="s">
        <v>644</v>
      </c>
      <c r="CS100" s="296" t="s">
        <v>760</v>
      </c>
      <c r="CT100" s="296" t="s">
        <v>546</v>
      </c>
      <c r="CU100" s="297">
        <v>47118</v>
      </c>
      <c r="CV100" s="296">
        <v>0</v>
      </c>
      <c r="CW100" s="296">
        <v>0</v>
      </c>
      <c r="CX100" s="296">
        <v>0</v>
      </c>
      <c r="CY100" s="296">
        <v>0</v>
      </c>
      <c r="CZ100" s="296">
        <v>0</v>
      </c>
      <c r="DA100" s="296">
        <v>0</v>
      </c>
      <c r="DB100" s="296">
        <v>0</v>
      </c>
      <c r="DC100" s="296">
        <v>0</v>
      </c>
      <c r="DD100" s="296">
        <v>0</v>
      </c>
      <c r="DE100" s="296">
        <v>0</v>
      </c>
      <c r="DF100" s="296">
        <v>0</v>
      </c>
      <c r="DG100" s="296">
        <v>0</v>
      </c>
      <c r="DH100" s="296">
        <v>0</v>
      </c>
      <c r="DI100" s="296">
        <v>0</v>
      </c>
      <c r="DJ100" s="296">
        <v>0</v>
      </c>
      <c r="DK100" s="296">
        <v>0</v>
      </c>
      <c r="DL100" s="296">
        <v>0</v>
      </c>
      <c r="DM100" s="296">
        <v>0</v>
      </c>
      <c r="DN100" s="296">
        <v>0</v>
      </c>
      <c r="DO100" s="296">
        <v>0</v>
      </c>
      <c r="DP100" s="296">
        <v>0</v>
      </c>
      <c r="DQ100" s="296">
        <v>0</v>
      </c>
      <c r="DR100" s="296">
        <v>0</v>
      </c>
      <c r="DS100" s="296">
        <v>0</v>
      </c>
      <c r="DT100" s="296">
        <v>0</v>
      </c>
      <c r="DU100" s="296">
        <v>0</v>
      </c>
      <c r="DV100" s="301" t="s">
        <v>548</v>
      </c>
    </row>
    <row r="101" spans="1:126" ht="24.95" customHeight="1" thickBot="1" x14ac:dyDescent="0.3">
      <c r="A101" s="29" t="str">
        <f t="shared" si="176"/>
        <v>100º</v>
      </c>
      <c r="B101" s="69" t="str">
        <f t="shared" si="178"/>
        <v>João Pedro</v>
      </c>
      <c r="C101" s="269" t="str">
        <f t="shared" si="179"/>
        <v>BRA</v>
      </c>
      <c r="D101" s="99" t="str">
        <f t="shared" si="180"/>
        <v>Pé Direito</v>
      </c>
      <c r="E101" s="28" t="str">
        <f t="shared" si="181"/>
        <v>Araguacema</v>
      </c>
      <c r="F101" s="169">
        <f t="shared" si="182"/>
        <v>23</v>
      </c>
      <c r="G101" s="2" t="str">
        <f t="shared" si="183"/>
        <v>0 €</v>
      </c>
      <c r="H101" s="154">
        <f t="shared" si="184"/>
        <v>1.94</v>
      </c>
      <c r="I101" s="64">
        <f t="shared" si="185"/>
        <v>47118</v>
      </c>
      <c r="J101" s="304" t="str">
        <f t="shared" si="186"/>
        <v>500 € p/m</v>
      </c>
      <c r="K101" s="96">
        <f t="shared" si="177"/>
        <v>3.5222222222222221</v>
      </c>
      <c r="L101" s="146">
        <f t="shared" si="187"/>
        <v>5.5555555555555552E-2</v>
      </c>
      <c r="M101" s="6">
        <f t="shared" si="188"/>
        <v>0</v>
      </c>
      <c r="N101" s="5">
        <f t="shared" si="189"/>
        <v>5400</v>
      </c>
      <c r="O101" s="21">
        <f t="shared" si="190"/>
        <v>0</v>
      </c>
      <c r="P101" s="2">
        <f t="shared" si="191"/>
        <v>1</v>
      </c>
      <c r="Q101" s="2">
        <f t="shared" si="192"/>
        <v>1</v>
      </c>
      <c r="R101" s="5">
        <f t="shared" si="193"/>
        <v>18</v>
      </c>
      <c r="S101" s="2">
        <f t="shared" si="194"/>
        <v>0</v>
      </c>
      <c r="T101" s="2">
        <f t="shared" si="195"/>
        <v>1</v>
      </c>
      <c r="U101" s="102">
        <f t="shared" si="196"/>
        <v>0</v>
      </c>
      <c r="V101" s="102">
        <f t="shared" si="197"/>
        <v>1</v>
      </c>
      <c r="W101" s="6">
        <f t="shared" si="198"/>
        <v>1</v>
      </c>
      <c r="X101" s="5">
        <f t="shared" si="199"/>
        <v>18</v>
      </c>
      <c r="Y101" s="6">
        <f t="shared" si="200"/>
        <v>0</v>
      </c>
      <c r="Z101" s="5">
        <f t="shared" si="201"/>
        <v>0</v>
      </c>
      <c r="AA101" s="21">
        <f t="shared" si="202"/>
        <v>0</v>
      </c>
      <c r="AB101" s="6">
        <f t="shared" si="203"/>
        <v>0</v>
      </c>
      <c r="AC101" s="5">
        <f t="shared" si="204"/>
        <v>0</v>
      </c>
      <c r="AD101" s="6">
        <f t="shared" si="205"/>
        <v>0</v>
      </c>
      <c r="AE101" s="5">
        <f t="shared" si="206"/>
        <v>0</v>
      </c>
      <c r="AF101" s="21">
        <f t="shared" si="207"/>
        <v>0</v>
      </c>
      <c r="AG101" s="6">
        <f t="shared" si="208"/>
        <v>1</v>
      </c>
      <c r="AH101" s="5">
        <f t="shared" si="209"/>
        <v>18</v>
      </c>
      <c r="AI101" s="21">
        <f t="shared" si="210"/>
        <v>1</v>
      </c>
      <c r="AJ101" s="6">
        <f t="shared" si="211"/>
        <v>0</v>
      </c>
      <c r="AK101" s="5">
        <f t="shared" si="212"/>
        <v>0</v>
      </c>
      <c r="AL101" s="21">
        <f t="shared" si="213"/>
        <v>0</v>
      </c>
      <c r="AM101" s="21">
        <f t="shared" si="214"/>
        <v>18</v>
      </c>
      <c r="AN101" s="6">
        <f t="shared" si="215"/>
        <v>1</v>
      </c>
      <c r="AO101" s="5">
        <f t="shared" si="216"/>
        <v>18</v>
      </c>
      <c r="AP101" s="6">
        <f t="shared" si="217"/>
        <v>1</v>
      </c>
      <c r="AQ101" s="5">
        <f t="shared" si="218"/>
        <v>18</v>
      </c>
      <c r="AR101" s="2">
        <f t="shared" si="219"/>
        <v>1</v>
      </c>
      <c r="AS101" s="5">
        <f t="shared" si="220"/>
        <v>18</v>
      </c>
      <c r="AT101" s="21">
        <f t="shared" si="221"/>
        <v>1</v>
      </c>
      <c r="AU101" s="20">
        <f t="shared" si="222"/>
        <v>1</v>
      </c>
      <c r="AV101" s="20">
        <f t="shared" si="223"/>
        <v>0</v>
      </c>
      <c r="AW101" s="199">
        <f t="shared" si="224"/>
        <v>2</v>
      </c>
      <c r="AX101" s="24">
        <f t="shared" si="225"/>
        <v>0</v>
      </c>
      <c r="AY101" s="5">
        <f t="shared" si="226"/>
        <v>0</v>
      </c>
      <c r="AZ101" s="5">
        <f t="shared" si="227"/>
        <v>0</v>
      </c>
      <c r="BA101" s="5">
        <f t="shared" si="228"/>
        <v>0</v>
      </c>
      <c r="BB101" s="5">
        <f t="shared" si="229"/>
        <v>0</v>
      </c>
      <c r="BC101" s="5">
        <f t="shared" si="230"/>
        <v>0</v>
      </c>
      <c r="BD101" s="5">
        <f t="shared" si="231"/>
        <v>0</v>
      </c>
      <c r="BE101" s="199">
        <f t="shared" si="232"/>
        <v>0</v>
      </c>
      <c r="BF101" s="21">
        <f t="shared" si="233"/>
        <v>0</v>
      </c>
      <c r="BG101" s="6">
        <f t="shared" si="234"/>
        <v>0</v>
      </c>
      <c r="BH101" s="5">
        <f t="shared" si="235"/>
        <v>0</v>
      </c>
      <c r="BI101" s="6">
        <f t="shared" si="236"/>
        <v>0</v>
      </c>
      <c r="BJ101" s="5">
        <f t="shared" si="237"/>
        <v>0</v>
      </c>
      <c r="BK101" s="20">
        <f t="shared" si="238"/>
        <v>-9.9999999999999998E-13</v>
      </c>
      <c r="BL101" s="20">
        <f t="shared" si="239"/>
        <v>0</v>
      </c>
      <c r="BM101" s="6">
        <f t="shared" si="240"/>
        <v>0</v>
      </c>
      <c r="BN101" s="5">
        <f t="shared" si="241"/>
        <v>0</v>
      </c>
      <c r="BO101" s="333">
        <f t="shared" si="242"/>
        <v>0</v>
      </c>
      <c r="BP101" s="334">
        <f t="shared" si="243"/>
        <v>0</v>
      </c>
      <c r="BQ101" s="6">
        <f t="shared" si="244"/>
        <v>0</v>
      </c>
      <c r="BR101" s="5">
        <f t="shared" si="245"/>
        <v>0</v>
      </c>
      <c r="BS101" s="6">
        <f t="shared" si="246"/>
        <v>0</v>
      </c>
      <c r="BT101" s="5">
        <f t="shared" si="247"/>
        <v>0</v>
      </c>
      <c r="BU101" s="181">
        <f t="shared" si="248"/>
        <v>0</v>
      </c>
      <c r="BV101" s="154">
        <f t="shared" si="249"/>
        <v>0</v>
      </c>
      <c r="BW101" s="181">
        <f t="shared" si="250"/>
        <v>0</v>
      </c>
      <c r="BX101" s="180">
        <f t="shared" si="251"/>
        <v>0</v>
      </c>
      <c r="BY101" s="181">
        <f t="shared" si="252"/>
        <v>0</v>
      </c>
      <c r="BZ101" s="154">
        <f t="shared" si="253"/>
        <v>0</v>
      </c>
      <c r="CA101" s="182">
        <f t="shared" si="254"/>
        <v>0</v>
      </c>
      <c r="CB101" s="2">
        <f t="shared" si="255"/>
        <v>0</v>
      </c>
      <c r="CC101" s="2">
        <f t="shared" si="256"/>
        <v>0</v>
      </c>
      <c r="CD101" s="2">
        <f t="shared" si="257"/>
        <v>0</v>
      </c>
      <c r="CE101" s="2">
        <f t="shared" si="258"/>
        <v>0</v>
      </c>
      <c r="CF101" s="6">
        <f t="shared" si="259"/>
        <v>0</v>
      </c>
      <c r="CG101" s="6">
        <f t="shared" si="260"/>
        <v>4</v>
      </c>
      <c r="CH101" s="6">
        <f t="shared" si="261"/>
        <v>2</v>
      </c>
      <c r="CI101" s="20">
        <f t="shared" si="262"/>
        <v>0.5</v>
      </c>
      <c r="CJ101" s="133">
        <f t="shared" si="263"/>
        <v>2521</v>
      </c>
      <c r="CK101" s="5">
        <f t="shared" si="264"/>
        <v>0</v>
      </c>
      <c r="CL101" s="302"/>
      <c r="CM101" s="298" t="s">
        <v>13</v>
      </c>
      <c r="CN101" s="298" t="s">
        <v>1392</v>
      </c>
      <c r="CO101" s="298">
        <v>23</v>
      </c>
      <c r="CP101" s="298" t="s">
        <v>585</v>
      </c>
      <c r="CQ101" s="298" t="s">
        <v>1131</v>
      </c>
      <c r="CR101" s="298" t="s">
        <v>644</v>
      </c>
      <c r="CS101" s="298" t="s">
        <v>760</v>
      </c>
      <c r="CT101" s="298" t="s">
        <v>910</v>
      </c>
      <c r="CU101" s="299">
        <v>47118</v>
      </c>
      <c r="CV101" s="298">
        <v>0</v>
      </c>
      <c r="CW101" s="298">
        <v>5</v>
      </c>
      <c r="CX101" s="298">
        <v>0</v>
      </c>
      <c r="CY101" s="298">
        <v>0</v>
      </c>
      <c r="CZ101" s="298">
        <v>1</v>
      </c>
      <c r="DA101" s="298">
        <v>0</v>
      </c>
      <c r="DB101" s="298">
        <v>0</v>
      </c>
      <c r="DC101" s="298">
        <v>0</v>
      </c>
      <c r="DD101" s="298">
        <v>0</v>
      </c>
      <c r="DE101" s="298">
        <v>1</v>
      </c>
      <c r="DF101" s="298">
        <v>0</v>
      </c>
      <c r="DG101" s="298">
        <v>0</v>
      </c>
      <c r="DH101" s="298">
        <v>0</v>
      </c>
      <c r="DI101" s="298">
        <v>0</v>
      </c>
      <c r="DJ101" s="298">
        <v>0</v>
      </c>
      <c r="DK101" s="298">
        <v>0</v>
      </c>
      <c r="DL101" s="298">
        <v>1</v>
      </c>
      <c r="DM101" s="298">
        <v>1</v>
      </c>
      <c r="DN101" s="298">
        <v>0</v>
      </c>
      <c r="DO101" s="298">
        <v>0</v>
      </c>
      <c r="DP101" s="298">
        <v>0</v>
      </c>
      <c r="DQ101" s="298">
        <v>0</v>
      </c>
      <c r="DR101" s="298">
        <v>0</v>
      </c>
      <c r="DS101" s="298">
        <v>0</v>
      </c>
      <c r="DT101" s="298">
        <v>0</v>
      </c>
      <c r="DU101" s="298">
        <v>0</v>
      </c>
      <c r="DV101" s="303" t="s">
        <v>548</v>
      </c>
    </row>
    <row r="102" spans="1:126" ht="24.95" customHeight="1" thickBot="1" x14ac:dyDescent="0.3">
      <c r="A102" s="29" t="str">
        <f t="shared" si="176"/>
        <v>101º</v>
      </c>
      <c r="B102" s="69" t="str">
        <f t="shared" si="178"/>
        <v>Lucas Barbosa</v>
      </c>
      <c r="C102" s="269" t="str">
        <f t="shared" si="179"/>
        <v>BRA</v>
      </c>
      <c r="D102" s="99" t="str">
        <f t="shared" si="180"/>
        <v>Pé Direito</v>
      </c>
      <c r="E102" s="28" t="str">
        <f t="shared" si="181"/>
        <v>Viana</v>
      </c>
      <c r="F102" s="169">
        <f t="shared" si="182"/>
        <v>23</v>
      </c>
      <c r="G102" s="2" t="str">
        <f t="shared" si="183"/>
        <v>0 €</v>
      </c>
      <c r="H102" s="154">
        <f t="shared" si="184"/>
        <v>1.82</v>
      </c>
      <c r="I102" s="64">
        <f t="shared" si="185"/>
        <v>47118</v>
      </c>
      <c r="J102" s="304" t="str">
        <f t="shared" si="186"/>
        <v>925 € p/m</v>
      </c>
      <c r="K102" s="96">
        <f t="shared" si="177"/>
        <v>3.5222222222222221</v>
      </c>
      <c r="L102" s="146">
        <f t="shared" si="187"/>
        <v>19.422222222222221</v>
      </c>
      <c r="M102" s="6">
        <f t="shared" si="188"/>
        <v>0</v>
      </c>
      <c r="N102" s="5">
        <f t="shared" si="189"/>
        <v>5400</v>
      </c>
      <c r="O102" s="21">
        <f t="shared" si="190"/>
        <v>0</v>
      </c>
      <c r="P102" s="2">
        <f t="shared" si="191"/>
        <v>420</v>
      </c>
      <c r="Q102" s="2">
        <f t="shared" si="192"/>
        <v>243</v>
      </c>
      <c r="R102" s="5">
        <f t="shared" si="193"/>
        <v>12.511441647597255</v>
      </c>
      <c r="S102" s="2">
        <f t="shared" si="194"/>
        <v>177</v>
      </c>
      <c r="T102" s="2">
        <f t="shared" si="195"/>
        <v>66</v>
      </c>
      <c r="U102" s="102">
        <f t="shared" si="196"/>
        <v>0.42142857142857143</v>
      </c>
      <c r="V102" s="102">
        <f t="shared" si="197"/>
        <v>0.57857142857142863</v>
      </c>
      <c r="W102" s="6">
        <f t="shared" si="198"/>
        <v>420</v>
      </c>
      <c r="X102" s="5">
        <f t="shared" si="199"/>
        <v>21.624713958810069</v>
      </c>
      <c r="Y102" s="6">
        <f t="shared" si="200"/>
        <v>0</v>
      </c>
      <c r="Z102" s="5">
        <f t="shared" si="201"/>
        <v>0</v>
      </c>
      <c r="AA102" s="21">
        <f t="shared" si="202"/>
        <v>0</v>
      </c>
      <c r="AB102" s="6">
        <f t="shared" si="203"/>
        <v>0</v>
      </c>
      <c r="AC102" s="5">
        <f t="shared" si="204"/>
        <v>0</v>
      </c>
      <c r="AD102" s="6">
        <f t="shared" si="205"/>
        <v>0</v>
      </c>
      <c r="AE102" s="5">
        <f t="shared" si="206"/>
        <v>0</v>
      </c>
      <c r="AF102" s="21">
        <f t="shared" si="207"/>
        <v>0</v>
      </c>
      <c r="AG102" s="6">
        <f t="shared" si="208"/>
        <v>0</v>
      </c>
      <c r="AH102" s="5">
        <f t="shared" si="209"/>
        <v>0</v>
      </c>
      <c r="AI102" s="21">
        <f t="shared" si="210"/>
        <v>0</v>
      </c>
      <c r="AJ102" s="6">
        <f t="shared" si="211"/>
        <v>0</v>
      </c>
      <c r="AK102" s="5">
        <f t="shared" si="212"/>
        <v>0</v>
      </c>
      <c r="AL102" s="21">
        <f t="shared" si="213"/>
        <v>0</v>
      </c>
      <c r="AM102" s="21">
        <f t="shared" si="214"/>
        <v>0.30892448512585813</v>
      </c>
      <c r="AN102" s="6">
        <f t="shared" si="215"/>
        <v>6</v>
      </c>
      <c r="AO102" s="5">
        <f t="shared" si="216"/>
        <v>0.30892448512585813</v>
      </c>
      <c r="AP102" s="6">
        <f t="shared" si="217"/>
        <v>0</v>
      </c>
      <c r="AQ102" s="5">
        <f t="shared" si="218"/>
        <v>0</v>
      </c>
      <c r="AR102" s="2">
        <f t="shared" si="219"/>
        <v>28</v>
      </c>
      <c r="AS102" s="5">
        <f t="shared" si="220"/>
        <v>1.4416475972540046</v>
      </c>
      <c r="AT102" s="21">
        <f t="shared" si="221"/>
        <v>0</v>
      </c>
      <c r="AU102" s="20">
        <f t="shared" si="222"/>
        <v>0</v>
      </c>
      <c r="AV102" s="20">
        <f t="shared" si="223"/>
        <v>1</v>
      </c>
      <c r="AW102" s="199">
        <f t="shared" si="224"/>
        <v>0</v>
      </c>
      <c r="AX102" s="24">
        <f t="shared" si="225"/>
        <v>62.428571428571431</v>
      </c>
      <c r="AY102" s="5">
        <f t="shared" si="226"/>
        <v>1</v>
      </c>
      <c r="AZ102" s="5">
        <f t="shared" si="227"/>
        <v>1</v>
      </c>
      <c r="BA102" s="5">
        <f t="shared" si="228"/>
        <v>0</v>
      </c>
      <c r="BB102" s="5">
        <f t="shared" si="229"/>
        <v>0</v>
      </c>
      <c r="BC102" s="5">
        <f t="shared" si="230"/>
        <v>0</v>
      </c>
      <c r="BD102" s="5">
        <f t="shared" si="231"/>
        <v>0</v>
      </c>
      <c r="BE102" s="199">
        <f t="shared" si="232"/>
        <v>0</v>
      </c>
      <c r="BF102" s="21">
        <f t="shared" si="233"/>
        <v>0</v>
      </c>
      <c r="BG102" s="6">
        <f t="shared" si="234"/>
        <v>0</v>
      </c>
      <c r="BH102" s="5">
        <f t="shared" si="235"/>
        <v>0</v>
      </c>
      <c r="BI102" s="6">
        <f t="shared" si="236"/>
        <v>0</v>
      </c>
      <c r="BJ102" s="5">
        <f t="shared" si="237"/>
        <v>0</v>
      </c>
      <c r="BK102" s="20">
        <f t="shared" si="238"/>
        <v>-9.9999999999999998E-13</v>
      </c>
      <c r="BL102" s="20">
        <f t="shared" si="239"/>
        <v>1.8880647336480108E-2</v>
      </c>
      <c r="BM102" s="6">
        <f t="shared" si="240"/>
        <v>28</v>
      </c>
      <c r="BN102" s="5">
        <f t="shared" si="241"/>
        <v>1.4416475972540046</v>
      </c>
      <c r="BO102" s="333">
        <f t="shared" si="242"/>
        <v>0</v>
      </c>
      <c r="BP102" s="334">
        <f t="shared" si="243"/>
        <v>0</v>
      </c>
      <c r="BQ102" s="6">
        <f t="shared" si="244"/>
        <v>0</v>
      </c>
      <c r="BR102" s="5">
        <f t="shared" si="245"/>
        <v>0</v>
      </c>
      <c r="BS102" s="6">
        <f t="shared" si="246"/>
        <v>0</v>
      </c>
      <c r="BT102" s="5">
        <f t="shared" si="247"/>
        <v>0</v>
      </c>
      <c r="BU102" s="181">
        <f t="shared" si="248"/>
        <v>0</v>
      </c>
      <c r="BV102" s="154">
        <f t="shared" si="249"/>
        <v>0</v>
      </c>
      <c r="BW102" s="181">
        <f t="shared" si="250"/>
        <v>0</v>
      </c>
      <c r="BX102" s="180">
        <f t="shared" si="251"/>
        <v>0</v>
      </c>
      <c r="BY102" s="181">
        <f t="shared" si="252"/>
        <v>0</v>
      </c>
      <c r="BZ102" s="154">
        <f t="shared" si="253"/>
        <v>0</v>
      </c>
      <c r="CA102" s="182">
        <f t="shared" si="254"/>
        <v>0</v>
      </c>
      <c r="CB102" s="2">
        <f t="shared" si="255"/>
        <v>0</v>
      </c>
      <c r="CC102" s="2">
        <f t="shared" si="256"/>
        <v>0</v>
      </c>
      <c r="CD102" s="2">
        <f t="shared" si="257"/>
        <v>0</v>
      </c>
      <c r="CE102" s="2">
        <f t="shared" si="258"/>
        <v>3</v>
      </c>
      <c r="CF102" s="6">
        <f t="shared" si="259"/>
        <v>0</v>
      </c>
      <c r="CG102" s="6">
        <f t="shared" si="260"/>
        <v>460</v>
      </c>
      <c r="CH102" s="6">
        <f t="shared" si="261"/>
        <v>243</v>
      </c>
      <c r="CI102" s="20">
        <f t="shared" si="262"/>
        <v>0.52826086956521734</v>
      </c>
      <c r="CJ102" s="133">
        <f t="shared" si="263"/>
        <v>2521</v>
      </c>
      <c r="CK102" s="5">
        <f t="shared" si="264"/>
        <v>6.98</v>
      </c>
      <c r="CL102" s="300" t="s">
        <v>19</v>
      </c>
      <c r="CM102" s="296" t="s">
        <v>13</v>
      </c>
      <c r="CN102" s="296" t="s">
        <v>1393</v>
      </c>
      <c r="CO102" s="296">
        <v>23</v>
      </c>
      <c r="CP102" s="296" t="s">
        <v>935</v>
      </c>
      <c r="CQ102" s="296" t="s">
        <v>1131</v>
      </c>
      <c r="CR102" s="296" t="s">
        <v>644</v>
      </c>
      <c r="CS102" s="296" t="s">
        <v>1394</v>
      </c>
      <c r="CT102" s="296" t="s">
        <v>546</v>
      </c>
      <c r="CU102" s="297">
        <v>47118</v>
      </c>
      <c r="CV102" s="296">
        <v>0</v>
      </c>
      <c r="CW102" s="296">
        <v>1748</v>
      </c>
      <c r="CX102" s="296">
        <v>28</v>
      </c>
      <c r="CY102" s="296">
        <v>0</v>
      </c>
      <c r="CZ102" s="296">
        <v>0</v>
      </c>
      <c r="DA102" s="296">
        <v>0</v>
      </c>
      <c r="DB102" s="296">
        <v>0</v>
      </c>
      <c r="DC102" s="296">
        <v>0</v>
      </c>
      <c r="DD102" s="296">
        <v>0</v>
      </c>
      <c r="DE102" s="296">
        <v>6</v>
      </c>
      <c r="DF102" s="296">
        <v>0</v>
      </c>
      <c r="DG102" s="296">
        <v>0</v>
      </c>
      <c r="DH102" s="296">
        <v>0</v>
      </c>
      <c r="DI102" s="296">
        <v>3</v>
      </c>
      <c r="DJ102" s="296">
        <v>0</v>
      </c>
      <c r="DK102" s="296">
        <v>0</v>
      </c>
      <c r="DL102" s="296">
        <v>420</v>
      </c>
      <c r="DM102" s="296">
        <v>243</v>
      </c>
      <c r="DN102" s="296">
        <v>0</v>
      </c>
      <c r="DO102" s="296">
        <v>0</v>
      </c>
      <c r="DP102" s="296">
        <v>0</v>
      </c>
      <c r="DQ102" s="296">
        <v>0</v>
      </c>
      <c r="DR102" s="296">
        <v>0</v>
      </c>
      <c r="DS102" s="296">
        <v>0</v>
      </c>
      <c r="DT102" s="296">
        <v>0</v>
      </c>
      <c r="DU102" s="296">
        <v>0</v>
      </c>
      <c r="DV102" s="301">
        <v>6.98</v>
      </c>
    </row>
    <row r="103" spans="1:126" ht="24.95" customHeight="1" thickBot="1" x14ac:dyDescent="0.3">
      <c r="A103" s="29" t="str">
        <f t="shared" si="176"/>
        <v>102º</v>
      </c>
      <c r="B103" s="69" t="str">
        <f t="shared" si="178"/>
        <v>Thiago</v>
      </c>
      <c r="C103" s="269" t="str">
        <f t="shared" si="179"/>
        <v>BRA</v>
      </c>
      <c r="D103" s="99" t="str">
        <f t="shared" si="180"/>
        <v>Somente Pé Direito</v>
      </c>
      <c r="E103" s="28" t="str">
        <f t="shared" si="181"/>
        <v>Operário Manacapuru</v>
      </c>
      <c r="F103" s="169">
        <f t="shared" si="182"/>
        <v>26</v>
      </c>
      <c r="G103" s="2" t="str">
        <f t="shared" si="183"/>
        <v>0 €</v>
      </c>
      <c r="H103" s="154">
        <f t="shared" si="184"/>
        <v>1.93</v>
      </c>
      <c r="I103" s="64">
        <f t="shared" si="185"/>
        <v>47118</v>
      </c>
      <c r="J103" s="304" t="str">
        <f t="shared" si="186"/>
        <v>900 € p/m</v>
      </c>
      <c r="K103" s="96">
        <f t="shared" si="177"/>
        <v>3.5222222222222221</v>
      </c>
      <c r="L103" s="146">
        <f t="shared" si="187"/>
        <v>19.344444444444445</v>
      </c>
      <c r="M103" s="6">
        <f t="shared" si="188"/>
        <v>0</v>
      </c>
      <c r="N103" s="5">
        <f t="shared" si="189"/>
        <v>5400</v>
      </c>
      <c r="O103" s="21">
        <f t="shared" si="190"/>
        <v>0</v>
      </c>
      <c r="P103" s="2">
        <f t="shared" si="191"/>
        <v>420</v>
      </c>
      <c r="Q103" s="2">
        <f t="shared" si="192"/>
        <v>237</v>
      </c>
      <c r="R103" s="5">
        <f t="shared" si="193"/>
        <v>12.251579551981619</v>
      </c>
      <c r="S103" s="2">
        <f t="shared" si="194"/>
        <v>183</v>
      </c>
      <c r="T103" s="2">
        <f t="shared" si="195"/>
        <v>54</v>
      </c>
      <c r="U103" s="102">
        <f t="shared" si="196"/>
        <v>0.43571428571428572</v>
      </c>
      <c r="V103" s="102">
        <f t="shared" si="197"/>
        <v>0.56428571428571428</v>
      </c>
      <c r="W103" s="6">
        <f t="shared" si="198"/>
        <v>420</v>
      </c>
      <c r="X103" s="5">
        <f t="shared" si="199"/>
        <v>21.711659965537049</v>
      </c>
      <c r="Y103" s="6">
        <f t="shared" si="200"/>
        <v>0</v>
      </c>
      <c r="Z103" s="5">
        <f t="shared" si="201"/>
        <v>0</v>
      </c>
      <c r="AA103" s="21">
        <f t="shared" si="202"/>
        <v>0</v>
      </c>
      <c r="AB103" s="6">
        <f t="shared" si="203"/>
        <v>0</v>
      </c>
      <c r="AC103" s="5">
        <f t="shared" si="204"/>
        <v>0</v>
      </c>
      <c r="AD103" s="6">
        <f t="shared" si="205"/>
        <v>0</v>
      </c>
      <c r="AE103" s="5">
        <f t="shared" si="206"/>
        <v>0</v>
      </c>
      <c r="AF103" s="21">
        <f t="shared" si="207"/>
        <v>0</v>
      </c>
      <c r="AG103" s="6">
        <f t="shared" si="208"/>
        <v>0</v>
      </c>
      <c r="AH103" s="5">
        <f t="shared" si="209"/>
        <v>0</v>
      </c>
      <c r="AI103" s="21">
        <f t="shared" si="210"/>
        <v>0</v>
      </c>
      <c r="AJ103" s="6">
        <f t="shared" si="211"/>
        <v>0</v>
      </c>
      <c r="AK103" s="5">
        <f t="shared" si="212"/>
        <v>0</v>
      </c>
      <c r="AL103" s="21">
        <f t="shared" si="213"/>
        <v>0</v>
      </c>
      <c r="AM103" s="21">
        <f t="shared" si="214"/>
        <v>0.10338885697874785</v>
      </c>
      <c r="AN103" s="6">
        <f t="shared" si="215"/>
        <v>2</v>
      </c>
      <c r="AO103" s="5">
        <f t="shared" si="216"/>
        <v>0.10338885697874785</v>
      </c>
      <c r="AP103" s="6">
        <f t="shared" si="217"/>
        <v>0</v>
      </c>
      <c r="AQ103" s="5">
        <f t="shared" si="218"/>
        <v>0</v>
      </c>
      <c r="AR103" s="2">
        <f t="shared" si="219"/>
        <v>36</v>
      </c>
      <c r="AS103" s="5">
        <f t="shared" si="220"/>
        <v>1.8609994256174611</v>
      </c>
      <c r="AT103" s="21">
        <f t="shared" si="221"/>
        <v>0</v>
      </c>
      <c r="AU103" s="20">
        <f t="shared" si="222"/>
        <v>0</v>
      </c>
      <c r="AV103" s="20">
        <f t="shared" si="223"/>
        <v>1</v>
      </c>
      <c r="AW103" s="199">
        <f t="shared" si="224"/>
        <v>0</v>
      </c>
      <c r="AX103" s="24">
        <f t="shared" si="225"/>
        <v>48.361111111111114</v>
      </c>
      <c r="AY103" s="5">
        <f t="shared" si="226"/>
        <v>1</v>
      </c>
      <c r="AZ103" s="5">
        <f t="shared" si="227"/>
        <v>1</v>
      </c>
      <c r="BA103" s="5">
        <f t="shared" si="228"/>
        <v>0</v>
      </c>
      <c r="BB103" s="5">
        <f t="shared" si="229"/>
        <v>0</v>
      </c>
      <c r="BC103" s="5">
        <f t="shared" si="230"/>
        <v>0</v>
      </c>
      <c r="BD103" s="5">
        <f t="shared" si="231"/>
        <v>0</v>
      </c>
      <c r="BE103" s="199">
        <f t="shared" si="232"/>
        <v>0</v>
      </c>
      <c r="BF103" s="21">
        <f t="shared" si="233"/>
        <v>0</v>
      </c>
      <c r="BG103" s="6">
        <f t="shared" si="234"/>
        <v>0</v>
      </c>
      <c r="BH103" s="5">
        <f t="shared" si="235"/>
        <v>0</v>
      </c>
      <c r="BI103" s="6">
        <f t="shared" si="236"/>
        <v>0</v>
      </c>
      <c r="BJ103" s="5">
        <f t="shared" si="237"/>
        <v>0</v>
      </c>
      <c r="BK103" s="20">
        <f t="shared" si="238"/>
        <v>-9.9999999999999998E-13</v>
      </c>
      <c r="BL103" s="20">
        <f t="shared" si="239"/>
        <v>2.4275118004045852E-2</v>
      </c>
      <c r="BM103" s="6">
        <f t="shared" si="240"/>
        <v>36</v>
      </c>
      <c r="BN103" s="5">
        <f t="shared" si="241"/>
        <v>1.8609994256174611</v>
      </c>
      <c r="BO103" s="333">
        <f t="shared" si="242"/>
        <v>0</v>
      </c>
      <c r="BP103" s="334">
        <f t="shared" si="243"/>
        <v>0</v>
      </c>
      <c r="BQ103" s="6">
        <f t="shared" si="244"/>
        <v>0</v>
      </c>
      <c r="BR103" s="5">
        <f t="shared" si="245"/>
        <v>0</v>
      </c>
      <c r="BS103" s="6">
        <f t="shared" si="246"/>
        <v>0</v>
      </c>
      <c r="BT103" s="5">
        <f t="shared" si="247"/>
        <v>0</v>
      </c>
      <c r="BU103" s="181">
        <f t="shared" si="248"/>
        <v>0</v>
      </c>
      <c r="BV103" s="154">
        <f t="shared" si="249"/>
        <v>0</v>
      </c>
      <c r="BW103" s="181">
        <f t="shared" si="250"/>
        <v>0</v>
      </c>
      <c r="BX103" s="180">
        <f t="shared" si="251"/>
        <v>0</v>
      </c>
      <c r="BY103" s="181">
        <f t="shared" si="252"/>
        <v>0</v>
      </c>
      <c r="BZ103" s="154">
        <f t="shared" si="253"/>
        <v>0</v>
      </c>
      <c r="CA103" s="182">
        <f t="shared" si="254"/>
        <v>0</v>
      </c>
      <c r="CB103" s="2">
        <f t="shared" si="255"/>
        <v>0</v>
      </c>
      <c r="CC103" s="2">
        <f t="shared" si="256"/>
        <v>0</v>
      </c>
      <c r="CD103" s="2">
        <f t="shared" si="257"/>
        <v>0</v>
      </c>
      <c r="CE103" s="2">
        <f t="shared" si="258"/>
        <v>9</v>
      </c>
      <c r="CF103" s="6">
        <f t="shared" si="259"/>
        <v>0</v>
      </c>
      <c r="CG103" s="6">
        <f t="shared" si="260"/>
        <v>460</v>
      </c>
      <c r="CH103" s="6">
        <f t="shared" si="261"/>
        <v>237</v>
      </c>
      <c r="CI103" s="20">
        <f t="shared" si="262"/>
        <v>0.51521739130434785</v>
      </c>
      <c r="CJ103" s="133">
        <f t="shared" si="263"/>
        <v>2521</v>
      </c>
      <c r="CK103" s="5">
        <f t="shared" si="264"/>
        <v>6.3</v>
      </c>
      <c r="CL103" s="302"/>
      <c r="CM103" s="298" t="s">
        <v>13</v>
      </c>
      <c r="CN103" s="298" t="s">
        <v>1395</v>
      </c>
      <c r="CO103" s="298">
        <v>26</v>
      </c>
      <c r="CP103" s="298" t="s">
        <v>1169</v>
      </c>
      <c r="CQ103" s="298" t="s">
        <v>1131</v>
      </c>
      <c r="CR103" s="298" t="s">
        <v>645</v>
      </c>
      <c r="CS103" s="298" t="s">
        <v>1363</v>
      </c>
      <c r="CT103" s="298" t="s">
        <v>1123</v>
      </c>
      <c r="CU103" s="299">
        <v>47118</v>
      </c>
      <c r="CV103" s="298">
        <v>0</v>
      </c>
      <c r="CW103" s="298">
        <v>1741</v>
      </c>
      <c r="CX103" s="298">
        <v>36</v>
      </c>
      <c r="CY103" s="298">
        <v>0</v>
      </c>
      <c r="CZ103" s="298">
        <v>0</v>
      </c>
      <c r="DA103" s="298">
        <v>0</v>
      </c>
      <c r="DB103" s="298">
        <v>0</v>
      </c>
      <c r="DC103" s="298">
        <v>0</v>
      </c>
      <c r="DD103" s="298">
        <v>0</v>
      </c>
      <c r="DE103" s="298">
        <v>2</v>
      </c>
      <c r="DF103" s="298">
        <v>0</v>
      </c>
      <c r="DG103" s="298">
        <v>0</v>
      </c>
      <c r="DH103" s="298">
        <v>0</v>
      </c>
      <c r="DI103" s="298">
        <v>9</v>
      </c>
      <c r="DJ103" s="298">
        <v>0</v>
      </c>
      <c r="DK103" s="298">
        <v>0</v>
      </c>
      <c r="DL103" s="298">
        <v>420</v>
      </c>
      <c r="DM103" s="298">
        <v>237</v>
      </c>
      <c r="DN103" s="298">
        <v>0</v>
      </c>
      <c r="DO103" s="298">
        <v>0</v>
      </c>
      <c r="DP103" s="298">
        <v>0</v>
      </c>
      <c r="DQ103" s="298">
        <v>0</v>
      </c>
      <c r="DR103" s="298">
        <v>0</v>
      </c>
      <c r="DS103" s="298">
        <v>0</v>
      </c>
      <c r="DT103" s="298">
        <v>0</v>
      </c>
      <c r="DU103" s="298">
        <v>0</v>
      </c>
      <c r="DV103" s="303">
        <v>6.3</v>
      </c>
    </row>
    <row r="104" spans="1:126" ht="24.95" customHeight="1" thickBot="1" x14ac:dyDescent="0.3">
      <c r="A104" s="29" t="str">
        <f t="shared" si="176"/>
        <v>103º</v>
      </c>
      <c r="B104" s="69" t="str">
        <f t="shared" si="178"/>
        <v>Aníbal Vicente</v>
      </c>
      <c r="C104" s="269" t="str">
        <f t="shared" si="179"/>
        <v>BRA</v>
      </c>
      <c r="D104" s="99" t="str">
        <f t="shared" si="180"/>
        <v>Pé Direito</v>
      </c>
      <c r="E104" s="28" t="str">
        <f t="shared" si="181"/>
        <v>Tiradentes (CE)</v>
      </c>
      <c r="F104" s="169">
        <f t="shared" si="182"/>
        <v>24</v>
      </c>
      <c r="G104" s="2" t="str">
        <f t="shared" si="183"/>
        <v>0 €</v>
      </c>
      <c r="H104" s="154">
        <f t="shared" si="184"/>
        <v>1.86</v>
      </c>
      <c r="I104" s="64">
        <f t="shared" si="185"/>
        <v>47118</v>
      </c>
      <c r="J104" s="304" t="str">
        <f t="shared" si="186"/>
        <v>700 € p/m</v>
      </c>
      <c r="K104" s="96">
        <f t="shared" si="177"/>
        <v>3.5222222222222221</v>
      </c>
      <c r="L104" s="146">
        <f t="shared" si="187"/>
        <v>20.233333333333334</v>
      </c>
      <c r="M104" s="6">
        <f t="shared" si="188"/>
        <v>0</v>
      </c>
      <c r="N104" s="5">
        <f t="shared" si="189"/>
        <v>5400</v>
      </c>
      <c r="O104" s="21">
        <f t="shared" si="190"/>
        <v>0</v>
      </c>
      <c r="P104" s="2">
        <f t="shared" si="191"/>
        <v>420</v>
      </c>
      <c r="Q104" s="2">
        <f t="shared" si="192"/>
        <v>234</v>
      </c>
      <c r="R104" s="5">
        <f t="shared" si="193"/>
        <v>11.56507413509061</v>
      </c>
      <c r="S104" s="2">
        <f t="shared" si="194"/>
        <v>186</v>
      </c>
      <c r="T104" s="2">
        <f t="shared" si="195"/>
        <v>48</v>
      </c>
      <c r="U104" s="102">
        <f t="shared" si="196"/>
        <v>0.44285714285714284</v>
      </c>
      <c r="V104" s="102">
        <f t="shared" si="197"/>
        <v>0.55714285714285716</v>
      </c>
      <c r="W104" s="6">
        <f t="shared" si="198"/>
        <v>420</v>
      </c>
      <c r="X104" s="5">
        <f t="shared" si="199"/>
        <v>20.757825370675452</v>
      </c>
      <c r="Y104" s="6">
        <f t="shared" si="200"/>
        <v>0</v>
      </c>
      <c r="Z104" s="5">
        <f t="shared" si="201"/>
        <v>0</v>
      </c>
      <c r="AA104" s="21">
        <f t="shared" si="202"/>
        <v>0</v>
      </c>
      <c r="AB104" s="6">
        <f t="shared" si="203"/>
        <v>0</v>
      </c>
      <c r="AC104" s="5">
        <f t="shared" si="204"/>
        <v>0</v>
      </c>
      <c r="AD104" s="6">
        <f t="shared" si="205"/>
        <v>0</v>
      </c>
      <c r="AE104" s="5">
        <f t="shared" si="206"/>
        <v>0</v>
      </c>
      <c r="AF104" s="21">
        <f t="shared" si="207"/>
        <v>0</v>
      </c>
      <c r="AG104" s="6">
        <f t="shared" si="208"/>
        <v>0</v>
      </c>
      <c r="AH104" s="5">
        <f t="shared" si="209"/>
        <v>0</v>
      </c>
      <c r="AI104" s="21">
        <f t="shared" si="210"/>
        <v>0</v>
      </c>
      <c r="AJ104" s="6">
        <f t="shared" si="211"/>
        <v>0</v>
      </c>
      <c r="AK104" s="5">
        <f t="shared" si="212"/>
        <v>0</v>
      </c>
      <c r="AL104" s="21">
        <f t="shared" si="213"/>
        <v>0</v>
      </c>
      <c r="AM104" s="21">
        <f t="shared" si="214"/>
        <v>9.8846787479406908E-2</v>
      </c>
      <c r="AN104" s="6">
        <f t="shared" si="215"/>
        <v>2</v>
      </c>
      <c r="AO104" s="5">
        <f t="shared" si="216"/>
        <v>9.8846787479406908E-2</v>
      </c>
      <c r="AP104" s="6">
        <f t="shared" si="217"/>
        <v>0</v>
      </c>
      <c r="AQ104" s="5">
        <f t="shared" si="218"/>
        <v>0</v>
      </c>
      <c r="AR104" s="2">
        <f t="shared" si="219"/>
        <v>37</v>
      </c>
      <c r="AS104" s="5">
        <f t="shared" si="220"/>
        <v>1.8286655683690278</v>
      </c>
      <c r="AT104" s="21">
        <f t="shared" si="221"/>
        <v>0</v>
      </c>
      <c r="AU104" s="20">
        <f t="shared" si="222"/>
        <v>0</v>
      </c>
      <c r="AV104" s="20">
        <f t="shared" si="223"/>
        <v>1</v>
      </c>
      <c r="AW104" s="199">
        <f t="shared" si="224"/>
        <v>0</v>
      </c>
      <c r="AX104" s="24">
        <f t="shared" si="225"/>
        <v>49.216216216216218</v>
      </c>
      <c r="AY104" s="5">
        <f t="shared" si="226"/>
        <v>1</v>
      </c>
      <c r="AZ104" s="5">
        <f t="shared" si="227"/>
        <v>1</v>
      </c>
      <c r="BA104" s="5">
        <f t="shared" si="228"/>
        <v>0</v>
      </c>
      <c r="BB104" s="5">
        <f t="shared" si="229"/>
        <v>0</v>
      </c>
      <c r="BC104" s="5">
        <f t="shared" si="230"/>
        <v>0</v>
      </c>
      <c r="BD104" s="5">
        <f t="shared" si="231"/>
        <v>0</v>
      </c>
      <c r="BE104" s="199">
        <f t="shared" si="232"/>
        <v>0</v>
      </c>
      <c r="BF104" s="21">
        <f t="shared" si="233"/>
        <v>0</v>
      </c>
      <c r="BG104" s="6">
        <f t="shared" si="234"/>
        <v>0</v>
      </c>
      <c r="BH104" s="5">
        <f t="shared" si="235"/>
        <v>0</v>
      </c>
      <c r="BI104" s="6">
        <f t="shared" si="236"/>
        <v>0</v>
      </c>
      <c r="BJ104" s="5">
        <f t="shared" si="237"/>
        <v>0</v>
      </c>
      <c r="BK104" s="20">
        <f t="shared" si="238"/>
        <v>-9.9999999999999998E-13</v>
      </c>
      <c r="BL104" s="20">
        <f t="shared" si="239"/>
        <v>2.4949426837491573E-2</v>
      </c>
      <c r="BM104" s="6">
        <f t="shared" si="240"/>
        <v>37</v>
      </c>
      <c r="BN104" s="5">
        <f t="shared" si="241"/>
        <v>1.8286655683690278</v>
      </c>
      <c r="BO104" s="333">
        <f t="shared" si="242"/>
        <v>0</v>
      </c>
      <c r="BP104" s="334">
        <f t="shared" si="243"/>
        <v>0</v>
      </c>
      <c r="BQ104" s="6">
        <f t="shared" si="244"/>
        <v>0</v>
      </c>
      <c r="BR104" s="5">
        <f t="shared" si="245"/>
        <v>0</v>
      </c>
      <c r="BS104" s="6">
        <f t="shared" si="246"/>
        <v>0</v>
      </c>
      <c r="BT104" s="5">
        <f t="shared" si="247"/>
        <v>0</v>
      </c>
      <c r="BU104" s="181">
        <f t="shared" si="248"/>
        <v>0</v>
      </c>
      <c r="BV104" s="154">
        <f t="shared" si="249"/>
        <v>0</v>
      </c>
      <c r="BW104" s="181">
        <f t="shared" si="250"/>
        <v>0</v>
      </c>
      <c r="BX104" s="180">
        <f t="shared" si="251"/>
        <v>0</v>
      </c>
      <c r="BY104" s="181">
        <f t="shared" si="252"/>
        <v>0</v>
      </c>
      <c r="BZ104" s="154">
        <f t="shared" si="253"/>
        <v>0</v>
      </c>
      <c r="CA104" s="182">
        <f t="shared" si="254"/>
        <v>0</v>
      </c>
      <c r="CB104" s="2">
        <f t="shared" si="255"/>
        <v>0</v>
      </c>
      <c r="CC104" s="2">
        <f t="shared" si="256"/>
        <v>0</v>
      </c>
      <c r="CD104" s="2">
        <f t="shared" si="257"/>
        <v>0</v>
      </c>
      <c r="CE104" s="2">
        <f t="shared" si="258"/>
        <v>11</v>
      </c>
      <c r="CF104" s="6">
        <f t="shared" si="259"/>
        <v>0</v>
      </c>
      <c r="CG104" s="6">
        <f t="shared" si="260"/>
        <v>461</v>
      </c>
      <c r="CH104" s="6">
        <f t="shared" si="261"/>
        <v>234</v>
      </c>
      <c r="CI104" s="20">
        <f t="shared" si="262"/>
        <v>0.50759219088937091</v>
      </c>
      <c r="CJ104" s="133">
        <f t="shared" si="263"/>
        <v>2521</v>
      </c>
      <c r="CK104" s="5">
        <f t="shared" si="264"/>
        <v>6.47</v>
      </c>
      <c r="CL104" s="300" t="s">
        <v>19</v>
      </c>
      <c r="CM104" s="296" t="s">
        <v>13</v>
      </c>
      <c r="CN104" s="296" t="s">
        <v>1396</v>
      </c>
      <c r="CO104" s="296">
        <v>24</v>
      </c>
      <c r="CP104" s="296" t="s">
        <v>1397</v>
      </c>
      <c r="CQ104" s="296" t="s">
        <v>1131</v>
      </c>
      <c r="CR104" s="296" t="s">
        <v>644</v>
      </c>
      <c r="CS104" s="296" t="s">
        <v>1398</v>
      </c>
      <c r="CT104" s="296" t="s">
        <v>575</v>
      </c>
      <c r="CU104" s="297">
        <v>47118</v>
      </c>
      <c r="CV104" s="296">
        <v>0</v>
      </c>
      <c r="CW104" s="296">
        <v>1821</v>
      </c>
      <c r="CX104" s="296">
        <v>37</v>
      </c>
      <c r="CY104" s="296">
        <v>0</v>
      </c>
      <c r="CZ104" s="296">
        <v>0</v>
      </c>
      <c r="DA104" s="296">
        <v>0</v>
      </c>
      <c r="DB104" s="296">
        <v>0</v>
      </c>
      <c r="DC104" s="296">
        <v>0</v>
      </c>
      <c r="DD104" s="296">
        <v>0</v>
      </c>
      <c r="DE104" s="296">
        <v>2</v>
      </c>
      <c r="DF104" s="296">
        <v>0</v>
      </c>
      <c r="DG104" s="296">
        <v>0</v>
      </c>
      <c r="DH104" s="296">
        <v>0</v>
      </c>
      <c r="DI104" s="296">
        <v>11</v>
      </c>
      <c r="DJ104" s="296">
        <v>0</v>
      </c>
      <c r="DK104" s="296">
        <v>0</v>
      </c>
      <c r="DL104" s="296">
        <v>420</v>
      </c>
      <c r="DM104" s="296">
        <v>234</v>
      </c>
      <c r="DN104" s="296">
        <v>0</v>
      </c>
      <c r="DO104" s="296">
        <v>0</v>
      </c>
      <c r="DP104" s="296">
        <v>0</v>
      </c>
      <c r="DQ104" s="296">
        <v>0</v>
      </c>
      <c r="DR104" s="296">
        <v>0</v>
      </c>
      <c r="DS104" s="296">
        <v>0</v>
      </c>
      <c r="DT104" s="296">
        <v>0</v>
      </c>
      <c r="DU104" s="296">
        <v>0</v>
      </c>
      <c r="DV104" s="301">
        <v>6.47</v>
      </c>
    </row>
    <row r="105" spans="1:126" ht="24.95" customHeight="1" thickBot="1" x14ac:dyDescent="0.3">
      <c r="A105" s="29" t="str">
        <f t="shared" si="176"/>
        <v>104º</v>
      </c>
      <c r="B105" s="69" t="str">
        <f t="shared" si="178"/>
        <v>Valdir Gurgel</v>
      </c>
      <c r="C105" s="269" t="str">
        <f t="shared" si="179"/>
        <v>BRA</v>
      </c>
      <c r="D105" s="99" t="str">
        <f t="shared" si="180"/>
        <v>Pé Esquerdo</v>
      </c>
      <c r="E105" s="28" t="str">
        <f t="shared" si="181"/>
        <v>Pinheiros (ES)</v>
      </c>
      <c r="F105" s="169">
        <f t="shared" si="182"/>
        <v>24</v>
      </c>
      <c r="G105" s="2" t="str">
        <f t="shared" si="183"/>
        <v>0 €</v>
      </c>
      <c r="H105" s="154">
        <f t="shared" si="184"/>
        <v>1.87</v>
      </c>
      <c r="I105" s="64">
        <f t="shared" si="185"/>
        <v>47118</v>
      </c>
      <c r="J105" s="304" t="str">
        <f t="shared" si="186"/>
        <v>500 € p/m</v>
      </c>
      <c r="K105" s="96">
        <f t="shared" si="177"/>
        <v>3.5222222222222221</v>
      </c>
      <c r="L105" s="146">
        <f t="shared" si="187"/>
        <v>20.022222222222222</v>
      </c>
      <c r="M105" s="6">
        <f t="shared" si="188"/>
        <v>0</v>
      </c>
      <c r="N105" s="5">
        <f t="shared" si="189"/>
        <v>5400</v>
      </c>
      <c r="O105" s="21">
        <f t="shared" si="190"/>
        <v>0</v>
      </c>
      <c r="P105" s="2">
        <f t="shared" si="191"/>
        <v>401</v>
      </c>
      <c r="Q105" s="2">
        <f t="shared" si="192"/>
        <v>217</v>
      </c>
      <c r="R105" s="5">
        <f t="shared" si="193"/>
        <v>10.83795782463929</v>
      </c>
      <c r="S105" s="2">
        <f t="shared" si="194"/>
        <v>184</v>
      </c>
      <c r="T105" s="2">
        <f t="shared" si="195"/>
        <v>33</v>
      </c>
      <c r="U105" s="102">
        <f t="shared" si="196"/>
        <v>0.45885286783042395</v>
      </c>
      <c r="V105" s="102">
        <f t="shared" si="197"/>
        <v>0.54114713216957611</v>
      </c>
      <c r="W105" s="6">
        <f t="shared" si="198"/>
        <v>401</v>
      </c>
      <c r="X105" s="5">
        <f t="shared" si="199"/>
        <v>20.027746947835738</v>
      </c>
      <c r="Y105" s="6">
        <f t="shared" si="200"/>
        <v>0</v>
      </c>
      <c r="Z105" s="5">
        <f t="shared" si="201"/>
        <v>0</v>
      </c>
      <c r="AA105" s="21">
        <f t="shared" si="202"/>
        <v>0</v>
      </c>
      <c r="AB105" s="6">
        <f t="shared" si="203"/>
        <v>0</v>
      </c>
      <c r="AC105" s="5">
        <f t="shared" si="204"/>
        <v>0</v>
      </c>
      <c r="AD105" s="6">
        <f t="shared" si="205"/>
        <v>0</v>
      </c>
      <c r="AE105" s="5">
        <f t="shared" si="206"/>
        <v>0</v>
      </c>
      <c r="AF105" s="21">
        <f t="shared" si="207"/>
        <v>0</v>
      </c>
      <c r="AG105" s="6">
        <f t="shared" si="208"/>
        <v>0</v>
      </c>
      <c r="AH105" s="5">
        <f t="shared" si="209"/>
        <v>0</v>
      </c>
      <c r="AI105" s="21">
        <f t="shared" si="210"/>
        <v>0</v>
      </c>
      <c r="AJ105" s="6">
        <f t="shared" si="211"/>
        <v>0</v>
      </c>
      <c r="AK105" s="5">
        <f t="shared" si="212"/>
        <v>0</v>
      </c>
      <c r="AL105" s="21">
        <f t="shared" si="213"/>
        <v>0</v>
      </c>
      <c r="AM105" s="21">
        <f t="shared" si="214"/>
        <v>9.9889012208657049E-2</v>
      </c>
      <c r="AN105" s="6">
        <f t="shared" si="215"/>
        <v>2</v>
      </c>
      <c r="AO105" s="5">
        <f t="shared" si="216"/>
        <v>9.9889012208657049E-2</v>
      </c>
      <c r="AP105" s="6">
        <f t="shared" si="217"/>
        <v>0</v>
      </c>
      <c r="AQ105" s="5">
        <f t="shared" si="218"/>
        <v>0</v>
      </c>
      <c r="AR105" s="2">
        <f t="shared" si="219"/>
        <v>38</v>
      </c>
      <c r="AS105" s="5">
        <f t="shared" si="220"/>
        <v>1.8978912319644838</v>
      </c>
      <c r="AT105" s="21">
        <f t="shared" si="221"/>
        <v>0</v>
      </c>
      <c r="AU105" s="20">
        <f t="shared" si="222"/>
        <v>0</v>
      </c>
      <c r="AV105" s="20">
        <f t="shared" si="223"/>
        <v>1</v>
      </c>
      <c r="AW105" s="199">
        <f t="shared" si="224"/>
        <v>0</v>
      </c>
      <c r="AX105" s="24">
        <f t="shared" si="225"/>
        <v>47.421052631578945</v>
      </c>
      <c r="AY105" s="5">
        <f t="shared" si="226"/>
        <v>1</v>
      </c>
      <c r="AZ105" s="5">
        <f t="shared" si="227"/>
        <v>1</v>
      </c>
      <c r="BA105" s="5">
        <f t="shared" si="228"/>
        <v>0</v>
      </c>
      <c r="BB105" s="5">
        <f t="shared" si="229"/>
        <v>0</v>
      </c>
      <c r="BC105" s="5">
        <f t="shared" si="230"/>
        <v>0</v>
      </c>
      <c r="BD105" s="5">
        <f t="shared" si="231"/>
        <v>0</v>
      </c>
      <c r="BE105" s="199">
        <f t="shared" si="232"/>
        <v>0</v>
      </c>
      <c r="BF105" s="21">
        <f t="shared" si="233"/>
        <v>0</v>
      </c>
      <c r="BG105" s="6">
        <f t="shared" si="234"/>
        <v>0</v>
      </c>
      <c r="BH105" s="5">
        <f t="shared" si="235"/>
        <v>0</v>
      </c>
      <c r="BI105" s="6">
        <f t="shared" si="236"/>
        <v>0</v>
      </c>
      <c r="BJ105" s="5">
        <f t="shared" si="237"/>
        <v>0</v>
      </c>
      <c r="BK105" s="20">
        <f t="shared" si="238"/>
        <v>-9.9999999999999998E-13</v>
      </c>
      <c r="BL105" s="20">
        <f t="shared" si="239"/>
        <v>2.562373567093729E-2</v>
      </c>
      <c r="BM105" s="6">
        <f t="shared" si="240"/>
        <v>38</v>
      </c>
      <c r="BN105" s="5">
        <f t="shared" si="241"/>
        <v>1.8978912319644838</v>
      </c>
      <c r="BO105" s="333">
        <f t="shared" si="242"/>
        <v>0</v>
      </c>
      <c r="BP105" s="334">
        <f t="shared" si="243"/>
        <v>0</v>
      </c>
      <c r="BQ105" s="6">
        <f t="shared" si="244"/>
        <v>0</v>
      </c>
      <c r="BR105" s="5">
        <f t="shared" si="245"/>
        <v>0</v>
      </c>
      <c r="BS105" s="6">
        <f t="shared" si="246"/>
        <v>0</v>
      </c>
      <c r="BT105" s="5">
        <f t="shared" si="247"/>
        <v>0</v>
      </c>
      <c r="BU105" s="181">
        <f t="shared" si="248"/>
        <v>0</v>
      </c>
      <c r="BV105" s="154">
        <f t="shared" si="249"/>
        <v>0</v>
      </c>
      <c r="BW105" s="181">
        <f t="shared" si="250"/>
        <v>0</v>
      </c>
      <c r="BX105" s="180">
        <f t="shared" si="251"/>
        <v>0</v>
      </c>
      <c r="BY105" s="181">
        <f t="shared" si="252"/>
        <v>0</v>
      </c>
      <c r="BZ105" s="154">
        <f t="shared" si="253"/>
        <v>0</v>
      </c>
      <c r="CA105" s="182">
        <f t="shared" si="254"/>
        <v>0</v>
      </c>
      <c r="CB105" s="2">
        <f t="shared" si="255"/>
        <v>0</v>
      </c>
      <c r="CC105" s="2">
        <f t="shared" si="256"/>
        <v>0</v>
      </c>
      <c r="CD105" s="2">
        <f t="shared" si="257"/>
        <v>0</v>
      </c>
      <c r="CE105" s="2">
        <f t="shared" si="258"/>
        <v>14</v>
      </c>
      <c r="CF105" s="6">
        <f t="shared" si="259"/>
        <v>0</v>
      </c>
      <c r="CG105" s="6">
        <f t="shared" si="260"/>
        <v>443</v>
      </c>
      <c r="CH105" s="6">
        <f t="shared" si="261"/>
        <v>217</v>
      </c>
      <c r="CI105" s="20">
        <f t="shared" si="262"/>
        <v>0.48984198645598193</v>
      </c>
      <c r="CJ105" s="133">
        <f t="shared" si="263"/>
        <v>2521</v>
      </c>
      <c r="CK105" s="5">
        <f t="shared" si="264"/>
        <v>6.05</v>
      </c>
      <c r="CL105" s="302"/>
      <c r="CM105" s="298" t="s">
        <v>13</v>
      </c>
      <c r="CN105" s="298" t="s">
        <v>1399</v>
      </c>
      <c r="CO105" s="298">
        <v>24</v>
      </c>
      <c r="CP105" s="298" t="s">
        <v>1400</v>
      </c>
      <c r="CQ105" s="298" t="s">
        <v>1131</v>
      </c>
      <c r="CR105" s="298" t="s">
        <v>652</v>
      </c>
      <c r="CS105" s="298" t="s">
        <v>760</v>
      </c>
      <c r="CT105" s="298" t="s">
        <v>911</v>
      </c>
      <c r="CU105" s="299">
        <v>47118</v>
      </c>
      <c r="CV105" s="298">
        <v>0</v>
      </c>
      <c r="CW105" s="298">
        <v>1802</v>
      </c>
      <c r="CX105" s="298">
        <v>38</v>
      </c>
      <c r="CY105" s="298">
        <v>0</v>
      </c>
      <c r="CZ105" s="298">
        <v>0</v>
      </c>
      <c r="DA105" s="298">
        <v>0</v>
      </c>
      <c r="DB105" s="298">
        <v>0</v>
      </c>
      <c r="DC105" s="298">
        <v>0</v>
      </c>
      <c r="DD105" s="298">
        <v>0</v>
      </c>
      <c r="DE105" s="298">
        <v>2</v>
      </c>
      <c r="DF105" s="298">
        <v>0</v>
      </c>
      <c r="DG105" s="298">
        <v>0</v>
      </c>
      <c r="DH105" s="298">
        <v>0</v>
      </c>
      <c r="DI105" s="298">
        <v>14</v>
      </c>
      <c r="DJ105" s="298">
        <v>0</v>
      </c>
      <c r="DK105" s="298">
        <v>0</v>
      </c>
      <c r="DL105" s="298">
        <v>401</v>
      </c>
      <c r="DM105" s="298">
        <v>217</v>
      </c>
      <c r="DN105" s="298">
        <v>0</v>
      </c>
      <c r="DO105" s="298">
        <v>0</v>
      </c>
      <c r="DP105" s="298">
        <v>0</v>
      </c>
      <c r="DQ105" s="298">
        <v>0</v>
      </c>
      <c r="DR105" s="298">
        <v>0</v>
      </c>
      <c r="DS105" s="298">
        <v>0</v>
      </c>
      <c r="DT105" s="298">
        <v>0</v>
      </c>
      <c r="DU105" s="298">
        <v>0</v>
      </c>
      <c r="DV105" s="303">
        <v>6.05</v>
      </c>
    </row>
    <row r="106" spans="1:126" ht="24.95" customHeight="1" thickBot="1" x14ac:dyDescent="0.3">
      <c r="A106" s="29" t="str">
        <f t="shared" si="176"/>
        <v>105º</v>
      </c>
      <c r="B106" s="69" t="str">
        <f t="shared" si="178"/>
        <v>Nelson</v>
      </c>
      <c r="C106" s="269" t="str">
        <f t="shared" si="179"/>
        <v>BRA</v>
      </c>
      <c r="D106" s="99" t="str">
        <f t="shared" si="180"/>
        <v>Pé Direito</v>
      </c>
      <c r="E106" s="28" t="str">
        <f t="shared" si="181"/>
        <v>Estanciano</v>
      </c>
      <c r="F106" s="169">
        <f t="shared" si="182"/>
        <v>24</v>
      </c>
      <c r="G106" s="2" t="str">
        <f t="shared" si="183"/>
        <v>0 €</v>
      </c>
      <c r="H106" s="154">
        <f t="shared" si="184"/>
        <v>1.86</v>
      </c>
      <c r="I106" s="64">
        <f t="shared" si="185"/>
        <v>47118</v>
      </c>
      <c r="J106" s="304" t="str">
        <f t="shared" si="186"/>
        <v>525 € p/m</v>
      </c>
      <c r="K106" s="96">
        <f t="shared" si="177"/>
        <v>3.5222222222222221</v>
      </c>
      <c r="L106" s="146">
        <f t="shared" si="187"/>
        <v>4.9777777777777779</v>
      </c>
      <c r="M106" s="6">
        <f t="shared" si="188"/>
        <v>0</v>
      </c>
      <c r="N106" s="5">
        <f t="shared" si="189"/>
        <v>5400</v>
      </c>
      <c r="O106" s="21">
        <f t="shared" si="190"/>
        <v>0</v>
      </c>
      <c r="P106" s="2">
        <f t="shared" si="191"/>
        <v>140</v>
      </c>
      <c r="Q106" s="2">
        <f t="shared" si="192"/>
        <v>94</v>
      </c>
      <c r="R106" s="5">
        <f t="shared" si="193"/>
        <v>18.883928571428569</v>
      </c>
      <c r="S106" s="2">
        <f t="shared" si="194"/>
        <v>46</v>
      </c>
      <c r="T106" s="2">
        <f t="shared" si="195"/>
        <v>48</v>
      </c>
      <c r="U106" s="102">
        <f t="shared" si="196"/>
        <v>0.32857142857142857</v>
      </c>
      <c r="V106" s="102">
        <f t="shared" si="197"/>
        <v>0.67142857142857137</v>
      </c>
      <c r="W106" s="6">
        <f t="shared" si="198"/>
        <v>140</v>
      </c>
      <c r="X106" s="5">
        <f t="shared" si="199"/>
        <v>28.125</v>
      </c>
      <c r="Y106" s="6">
        <f t="shared" si="200"/>
        <v>0</v>
      </c>
      <c r="Z106" s="5">
        <f t="shared" si="201"/>
        <v>0</v>
      </c>
      <c r="AA106" s="21">
        <f t="shared" si="202"/>
        <v>0</v>
      </c>
      <c r="AB106" s="6">
        <f t="shared" si="203"/>
        <v>1</v>
      </c>
      <c r="AC106" s="5">
        <f t="shared" si="204"/>
        <v>0.20089285714285715</v>
      </c>
      <c r="AD106" s="6">
        <f t="shared" si="205"/>
        <v>6</v>
      </c>
      <c r="AE106" s="5">
        <f t="shared" si="206"/>
        <v>1.2053571428571428</v>
      </c>
      <c r="AF106" s="21">
        <f t="shared" si="207"/>
        <v>0.3</v>
      </c>
      <c r="AG106" s="6">
        <f t="shared" si="208"/>
        <v>3</v>
      </c>
      <c r="AH106" s="5">
        <f t="shared" si="209"/>
        <v>0.6026785714285714</v>
      </c>
      <c r="AI106" s="21">
        <f t="shared" si="210"/>
        <v>0.15</v>
      </c>
      <c r="AJ106" s="6">
        <f t="shared" si="211"/>
        <v>11</v>
      </c>
      <c r="AK106" s="5">
        <f t="shared" si="212"/>
        <v>0.5825059101654847</v>
      </c>
      <c r="AL106" s="21">
        <f t="shared" si="213"/>
        <v>0.55000000000000004</v>
      </c>
      <c r="AM106" s="21">
        <f t="shared" si="214"/>
        <v>0</v>
      </c>
      <c r="AN106" s="6">
        <f t="shared" si="215"/>
        <v>0</v>
      </c>
      <c r="AO106" s="5">
        <f t="shared" si="216"/>
        <v>0</v>
      </c>
      <c r="AP106" s="6">
        <f t="shared" si="217"/>
        <v>20</v>
      </c>
      <c r="AQ106" s="5">
        <f t="shared" si="218"/>
        <v>4.0178571428571423</v>
      </c>
      <c r="AR106" s="2">
        <f t="shared" si="219"/>
        <v>31</v>
      </c>
      <c r="AS106" s="5">
        <f t="shared" si="220"/>
        <v>6.2276785714285712</v>
      </c>
      <c r="AT106" s="21">
        <f t="shared" si="221"/>
        <v>0.64516129032258063</v>
      </c>
      <c r="AU106" s="20">
        <f t="shared" si="222"/>
        <v>0.56000000000000005</v>
      </c>
      <c r="AV106" s="20">
        <f t="shared" si="223"/>
        <v>0.35483870967741932</v>
      </c>
      <c r="AW106" s="199">
        <f t="shared" si="224"/>
        <v>0.91935483870967738</v>
      </c>
      <c r="AX106" s="24">
        <f t="shared" si="225"/>
        <v>40.727272727272727</v>
      </c>
      <c r="AY106" s="5">
        <f t="shared" si="226"/>
        <v>2.8181818181818183</v>
      </c>
      <c r="AZ106" s="5">
        <f t="shared" si="227"/>
        <v>2.2727272727272729</v>
      </c>
      <c r="BA106" s="5">
        <f t="shared" si="228"/>
        <v>-1.47</v>
      </c>
      <c r="BB106" s="5">
        <f t="shared" si="229"/>
        <v>-0.29531249999999998</v>
      </c>
      <c r="BC106" s="5">
        <f t="shared" si="230"/>
        <v>-1.47</v>
      </c>
      <c r="BD106" s="5">
        <f t="shared" si="231"/>
        <v>-0.29531249999999998</v>
      </c>
      <c r="BE106" s="199">
        <f t="shared" si="232"/>
        <v>-0.29531249999999998</v>
      </c>
      <c r="BF106" s="21">
        <f t="shared" si="233"/>
        <v>-0.15424973767051417</v>
      </c>
      <c r="BG106" s="6">
        <f t="shared" si="234"/>
        <v>0</v>
      </c>
      <c r="BH106" s="5">
        <f t="shared" si="235"/>
        <v>0</v>
      </c>
      <c r="BI106" s="6">
        <f t="shared" si="236"/>
        <v>0</v>
      </c>
      <c r="BJ106" s="5">
        <f t="shared" si="237"/>
        <v>0</v>
      </c>
      <c r="BK106" s="20">
        <f t="shared" si="238"/>
        <v>-9.9999999999999998E-13</v>
      </c>
      <c r="BL106" s="20">
        <f t="shared" si="239"/>
        <v>7.4173971679028991E-3</v>
      </c>
      <c r="BM106" s="6">
        <f t="shared" si="240"/>
        <v>11</v>
      </c>
      <c r="BN106" s="5">
        <f t="shared" si="241"/>
        <v>2.2098214285714284</v>
      </c>
      <c r="BO106" s="333">
        <f t="shared" si="242"/>
        <v>0</v>
      </c>
      <c r="BP106" s="334">
        <f t="shared" si="243"/>
        <v>0</v>
      </c>
      <c r="BQ106" s="6">
        <f t="shared" si="244"/>
        <v>9.9555555555555557</v>
      </c>
      <c r="BR106" s="5">
        <f t="shared" si="245"/>
        <v>2</v>
      </c>
      <c r="BS106" s="6">
        <f t="shared" si="246"/>
        <v>33.848888888888887</v>
      </c>
      <c r="BT106" s="5">
        <f t="shared" si="247"/>
        <v>6.8</v>
      </c>
      <c r="BU106" s="181">
        <f t="shared" si="248"/>
        <v>0</v>
      </c>
      <c r="BV106" s="154">
        <f t="shared" si="249"/>
        <v>0</v>
      </c>
      <c r="BW106" s="181">
        <f t="shared" si="250"/>
        <v>0</v>
      </c>
      <c r="BX106" s="180">
        <f t="shared" si="251"/>
        <v>0</v>
      </c>
      <c r="BY106" s="181">
        <f t="shared" si="252"/>
        <v>0</v>
      </c>
      <c r="BZ106" s="154">
        <f t="shared" si="253"/>
        <v>0</v>
      </c>
      <c r="CA106" s="182">
        <f t="shared" si="254"/>
        <v>0</v>
      </c>
      <c r="CB106" s="2">
        <f t="shared" si="255"/>
        <v>0</v>
      </c>
      <c r="CC106" s="2">
        <f t="shared" si="256"/>
        <v>0</v>
      </c>
      <c r="CD106" s="2">
        <f t="shared" si="257"/>
        <v>0</v>
      </c>
      <c r="CE106" s="2">
        <f t="shared" si="258"/>
        <v>1</v>
      </c>
      <c r="CF106" s="6">
        <f t="shared" si="259"/>
        <v>0</v>
      </c>
      <c r="CG106" s="6">
        <f t="shared" si="260"/>
        <v>180.04400000000001</v>
      </c>
      <c r="CH106" s="6">
        <f t="shared" si="261"/>
        <v>114</v>
      </c>
      <c r="CI106" s="20">
        <f t="shared" si="262"/>
        <v>0.63317855635289144</v>
      </c>
      <c r="CJ106" s="133">
        <f t="shared" si="263"/>
        <v>2521</v>
      </c>
      <c r="CK106" s="5">
        <f t="shared" si="264"/>
        <v>6.12</v>
      </c>
      <c r="CL106" s="300"/>
      <c r="CM106" s="296" t="s">
        <v>13</v>
      </c>
      <c r="CN106" s="296" t="s">
        <v>1401</v>
      </c>
      <c r="CO106" s="296">
        <v>24</v>
      </c>
      <c r="CP106" s="296" t="s">
        <v>1402</v>
      </c>
      <c r="CQ106" s="296" t="s">
        <v>1131</v>
      </c>
      <c r="CR106" s="296" t="s">
        <v>644</v>
      </c>
      <c r="CS106" s="296" t="s">
        <v>1322</v>
      </c>
      <c r="CT106" s="296" t="s">
        <v>575</v>
      </c>
      <c r="CU106" s="297">
        <v>47118</v>
      </c>
      <c r="CV106" s="296">
        <v>0</v>
      </c>
      <c r="CW106" s="296">
        <v>448</v>
      </c>
      <c r="CX106" s="296">
        <v>11</v>
      </c>
      <c r="CY106" s="296">
        <v>6</v>
      </c>
      <c r="CZ106" s="296">
        <v>3</v>
      </c>
      <c r="DA106" s="296">
        <v>11</v>
      </c>
      <c r="DB106" s="296">
        <v>0</v>
      </c>
      <c r="DC106" s="296">
        <v>2</v>
      </c>
      <c r="DD106" s="296">
        <v>6.8</v>
      </c>
      <c r="DE106" s="296">
        <v>0</v>
      </c>
      <c r="DF106" s="296">
        <v>0</v>
      </c>
      <c r="DG106" s="296">
        <v>0</v>
      </c>
      <c r="DH106" s="296">
        <v>0</v>
      </c>
      <c r="DI106" s="296">
        <v>1</v>
      </c>
      <c r="DJ106" s="296">
        <v>0</v>
      </c>
      <c r="DK106" s="296">
        <v>1</v>
      </c>
      <c r="DL106" s="296">
        <v>140</v>
      </c>
      <c r="DM106" s="296">
        <v>94</v>
      </c>
      <c r="DN106" s="296" t="s">
        <v>1403</v>
      </c>
      <c r="DO106" s="296">
        <v>0</v>
      </c>
      <c r="DP106" s="296">
        <v>0</v>
      </c>
      <c r="DQ106" s="296">
        <v>0</v>
      </c>
      <c r="DR106" s="296">
        <v>0</v>
      </c>
      <c r="DS106" s="296">
        <v>0</v>
      </c>
      <c r="DT106" s="296">
        <v>0</v>
      </c>
      <c r="DU106" s="296">
        <v>0</v>
      </c>
      <c r="DV106" s="301">
        <v>6.12</v>
      </c>
    </row>
    <row r="107" spans="1:126" ht="24.95" customHeight="1" thickBot="1" x14ac:dyDescent="0.3">
      <c r="A107" s="29" t="str">
        <f t="shared" si="176"/>
        <v>106º</v>
      </c>
      <c r="B107" s="69" t="str">
        <f t="shared" si="178"/>
        <v>Wendell</v>
      </c>
      <c r="C107" s="269" t="str">
        <f t="shared" si="179"/>
        <v>BRA</v>
      </c>
      <c r="D107" s="99" t="str">
        <f t="shared" si="180"/>
        <v>Pé Direito</v>
      </c>
      <c r="E107" s="28" t="str">
        <f t="shared" si="181"/>
        <v>Vera Cruz (PE)</v>
      </c>
      <c r="F107" s="169">
        <f t="shared" si="182"/>
        <v>27</v>
      </c>
      <c r="G107" s="2" t="str">
        <f t="shared" si="183"/>
        <v>0 €</v>
      </c>
      <c r="H107" s="154">
        <f t="shared" si="184"/>
        <v>1.86</v>
      </c>
      <c r="I107" s="64">
        <f t="shared" si="185"/>
        <v>47118</v>
      </c>
      <c r="J107" s="304" t="str">
        <f t="shared" si="186"/>
        <v>1,3m € p/m</v>
      </c>
      <c r="K107" s="96">
        <f t="shared" si="177"/>
        <v>3.5222222222222221</v>
      </c>
      <c r="L107" s="146">
        <f t="shared" si="187"/>
        <v>21</v>
      </c>
      <c r="M107" s="6">
        <f t="shared" si="188"/>
        <v>0</v>
      </c>
      <c r="N107" s="5">
        <f t="shared" si="189"/>
        <v>5400</v>
      </c>
      <c r="O107" s="21">
        <f t="shared" si="190"/>
        <v>0</v>
      </c>
      <c r="P107" s="2">
        <f t="shared" si="191"/>
        <v>420</v>
      </c>
      <c r="Q107" s="2">
        <f t="shared" si="192"/>
        <v>241</v>
      </c>
      <c r="R107" s="5">
        <f t="shared" si="193"/>
        <v>11.476190476190476</v>
      </c>
      <c r="S107" s="2">
        <f t="shared" si="194"/>
        <v>179</v>
      </c>
      <c r="T107" s="2">
        <f t="shared" si="195"/>
        <v>62</v>
      </c>
      <c r="U107" s="102">
        <f t="shared" si="196"/>
        <v>0.42619047619047618</v>
      </c>
      <c r="V107" s="102">
        <f t="shared" si="197"/>
        <v>0.57380952380952377</v>
      </c>
      <c r="W107" s="6">
        <f t="shared" si="198"/>
        <v>420</v>
      </c>
      <c r="X107" s="5">
        <f t="shared" si="199"/>
        <v>20</v>
      </c>
      <c r="Y107" s="6">
        <f t="shared" si="200"/>
        <v>0</v>
      </c>
      <c r="Z107" s="5">
        <f t="shared" si="201"/>
        <v>0</v>
      </c>
      <c r="AA107" s="21">
        <f t="shared" si="202"/>
        <v>0</v>
      </c>
      <c r="AB107" s="6">
        <f t="shared" si="203"/>
        <v>0</v>
      </c>
      <c r="AC107" s="5">
        <f t="shared" si="204"/>
        <v>0</v>
      </c>
      <c r="AD107" s="6">
        <f t="shared" si="205"/>
        <v>0</v>
      </c>
      <c r="AE107" s="5">
        <f t="shared" si="206"/>
        <v>0</v>
      </c>
      <c r="AF107" s="21">
        <f t="shared" si="207"/>
        <v>0</v>
      </c>
      <c r="AG107" s="6">
        <f t="shared" si="208"/>
        <v>0</v>
      </c>
      <c r="AH107" s="5">
        <f t="shared" si="209"/>
        <v>0</v>
      </c>
      <c r="AI107" s="21">
        <f t="shared" si="210"/>
        <v>0</v>
      </c>
      <c r="AJ107" s="6">
        <f t="shared" si="211"/>
        <v>0</v>
      </c>
      <c r="AK107" s="5">
        <f t="shared" si="212"/>
        <v>0</v>
      </c>
      <c r="AL107" s="21">
        <f t="shared" si="213"/>
        <v>0</v>
      </c>
      <c r="AM107" s="21">
        <f t="shared" si="214"/>
        <v>0.38095238095238093</v>
      </c>
      <c r="AN107" s="6">
        <f t="shared" si="215"/>
        <v>8</v>
      </c>
      <c r="AO107" s="5">
        <f t="shared" si="216"/>
        <v>0.38095238095238093</v>
      </c>
      <c r="AP107" s="6">
        <f t="shared" si="217"/>
        <v>0</v>
      </c>
      <c r="AQ107" s="5">
        <f t="shared" si="218"/>
        <v>0</v>
      </c>
      <c r="AR107" s="2">
        <f t="shared" si="219"/>
        <v>24</v>
      </c>
      <c r="AS107" s="5">
        <f t="shared" si="220"/>
        <v>1.1428571428571428</v>
      </c>
      <c r="AT107" s="21">
        <f t="shared" si="221"/>
        <v>0</v>
      </c>
      <c r="AU107" s="20">
        <f t="shared" si="222"/>
        <v>0</v>
      </c>
      <c r="AV107" s="20">
        <f t="shared" si="223"/>
        <v>1</v>
      </c>
      <c r="AW107" s="199">
        <f t="shared" si="224"/>
        <v>0</v>
      </c>
      <c r="AX107" s="24">
        <f t="shared" si="225"/>
        <v>78.75</v>
      </c>
      <c r="AY107" s="5">
        <f t="shared" si="226"/>
        <v>1</v>
      </c>
      <c r="AZ107" s="5">
        <f t="shared" si="227"/>
        <v>1</v>
      </c>
      <c r="BA107" s="5">
        <f t="shared" si="228"/>
        <v>0</v>
      </c>
      <c r="BB107" s="5">
        <f t="shared" si="229"/>
        <v>0</v>
      </c>
      <c r="BC107" s="5">
        <f t="shared" si="230"/>
        <v>0</v>
      </c>
      <c r="BD107" s="5">
        <f t="shared" si="231"/>
        <v>0</v>
      </c>
      <c r="BE107" s="199">
        <f t="shared" si="232"/>
        <v>0</v>
      </c>
      <c r="BF107" s="21">
        <f t="shared" si="233"/>
        <v>0</v>
      </c>
      <c r="BG107" s="6">
        <f t="shared" si="234"/>
        <v>0</v>
      </c>
      <c r="BH107" s="5">
        <f t="shared" si="235"/>
        <v>0</v>
      </c>
      <c r="BI107" s="6">
        <f t="shared" si="236"/>
        <v>0</v>
      </c>
      <c r="BJ107" s="5">
        <f t="shared" si="237"/>
        <v>0</v>
      </c>
      <c r="BK107" s="20">
        <f t="shared" si="238"/>
        <v>-9.9999999999999998E-13</v>
      </c>
      <c r="BL107" s="20">
        <f t="shared" si="239"/>
        <v>1.6183412002697236E-2</v>
      </c>
      <c r="BM107" s="6">
        <f t="shared" si="240"/>
        <v>24</v>
      </c>
      <c r="BN107" s="5">
        <f t="shared" si="241"/>
        <v>1.1428571428571428</v>
      </c>
      <c r="BO107" s="333">
        <f t="shared" si="242"/>
        <v>0</v>
      </c>
      <c r="BP107" s="334">
        <f t="shared" si="243"/>
        <v>0</v>
      </c>
      <c r="BQ107" s="6">
        <f t="shared" si="244"/>
        <v>0</v>
      </c>
      <c r="BR107" s="5">
        <f t="shared" si="245"/>
        <v>0</v>
      </c>
      <c r="BS107" s="6">
        <f t="shared" si="246"/>
        <v>0</v>
      </c>
      <c r="BT107" s="5">
        <f t="shared" si="247"/>
        <v>0</v>
      </c>
      <c r="BU107" s="181">
        <f t="shared" si="248"/>
        <v>0</v>
      </c>
      <c r="BV107" s="154">
        <f t="shared" si="249"/>
        <v>0</v>
      </c>
      <c r="BW107" s="181">
        <f t="shared" si="250"/>
        <v>0</v>
      </c>
      <c r="BX107" s="180">
        <f t="shared" si="251"/>
        <v>0</v>
      </c>
      <c r="BY107" s="181">
        <f t="shared" si="252"/>
        <v>0</v>
      </c>
      <c r="BZ107" s="154">
        <f t="shared" si="253"/>
        <v>0</v>
      </c>
      <c r="CA107" s="182">
        <f t="shared" si="254"/>
        <v>0</v>
      </c>
      <c r="CB107" s="2">
        <f t="shared" si="255"/>
        <v>0</v>
      </c>
      <c r="CC107" s="2">
        <f t="shared" si="256"/>
        <v>0</v>
      </c>
      <c r="CD107" s="2">
        <f t="shared" si="257"/>
        <v>0</v>
      </c>
      <c r="CE107" s="2">
        <f t="shared" si="258"/>
        <v>12</v>
      </c>
      <c r="CF107" s="6">
        <f t="shared" si="259"/>
        <v>0</v>
      </c>
      <c r="CG107" s="6">
        <f t="shared" si="260"/>
        <v>460</v>
      </c>
      <c r="CH107" s="6">
        <f t="shared" si="261"/>
        <v>241</v>
      </c>
      <c r="CI107" s="20">
        <f t="shared" si="262"/>
        <v>0.52391304347826084</v>
      </c>
      <c r="CJ107" s="133">
        <f t="shared" si="263"/>
        <v>2521</v>
      </c>
      <c r="CK107" s="5">
        <f t="shared" si="264"/>
        <v>7.04</v>
      </c>
      <c r="CL107" s="302" t="s">
        <v>19</v>
      </c>
      <c r="CM107" s="298" t="s">
        <v>13</v>
      </c>
      <c r="CN107" s="298" t="s">
        <v>1404</v>
      </c>
      <c r="CO107" s="298">
        <v>27</v>
      </c>
      <c r="CP107" s="298" t="s">
        <v>1405</v>
      </c>
      <c r="CQ107" s="298" t="s">
        <v>1131</v>
      </c>
      <c r="CR107" s="298" t="s">
        <v>644</v>
      </c>
      <c r="CS107" s="298" t="s">
        <v>1406</v>
      </c>
      <c r="CT107" s="298" t="s">
        <v>575</v>
      </c>
      <c r="CU107" s="299">
        <v>47118</v>
      </c>
      <c r="CV107" s="298">
        <v>0</v>
      </c>
      <c r="CW107" s="298">
        <v>1890</v>
      </c>
      <c r="CX107" s="298">
        <v>24</v>
      </c>
      <c r="CY107" s="298">
        <v>0</v>
      </c>
      <c r="CZ107" s="298">
        <v>0</v>
      </c>
      <c r="DA107" s="298">
        <v>0</v>
      </c>
      <c r="DB107" s="298">
        <v>0</v>
      </c>
      <c r="DC107" s="298">
        <v>0</v>
      </c>
      <c r="DD107" s="298">
        <v>0</v>
      </c>
      <c r="DE107" s="298">
        <v>8</v>
      </c>
      <c r="DF107" s="298">
        <v>0</v>
      </c>
      <c r="DG107" s="298">
        <v>0</v>
      </c>
      <c r="DH107" s="298">
        <v>0</v>
      </c>
      <c r="DI107" s="298">
        <v>12</v>
      </c>
      <c r="DJ107" s="298">
        <v>0</v>
      </c>
      <c r="DK107" s="298">
        <v>0</v>
      </c>
      <c r="DL107" s="298">
        <v>420</v>
      </c>
      <c r="DM107" s="298">
        <v>241</v>
      </c>
      <c r="DN107" s="298">
        <v>0</v>
      </c>
      <c r="DO107" s="298">
        <v>0</v>
      </c>
      <c r="DP107" s="298">
        <v>0</v>
      </c>
      <c r="DQ107" s="298">
        <v>0</v>
      </c>
      <c r="DR107" s="298">
        <v>0</v>
      </c>
      <c r="DS107" s="298">
        <v>0</v>
      </c>
      <c r="DT107" s="298">
        <v>0</v>
      </c>
      <c r="DU107" s="298">
        <v>0</v>
      </c>
      <c r="DV107" s="303">
        <v>7.04</v>
      </c>
    </row>
    <row r="108" spans="1:126" ht="24.95" customHeight="1" thickBot="1" x14ac:dyDescent="0.3">
      <c r="A108" s="29" t="str">
        <f t="shared" si="176"/>
        <v>107º</v>
      </c>
      <c r="B108" s="69" t="str">
        <f t="shared" si="178"/>
        <v>Matheus Osório Silva</v>
      </c>
      <c r="C108" s="269" t="str">
        <f t="shared" si="179"/>
        <v>BRA</v>
      </c>
      <c r="D108" s="99" t="str">
        <f t="shared" si="180"/>
        <v>Pé Direito</v>
      </c>
      <c r="E108" s="28" t="str">
        <f t="shared" si="181"/>
        <v>Cristal (AP)</v>
      </c>
      <c r="F108" s="169">
        <f t="shared" si="182"/>
        <v>26</v>
      </c>
      <c r="G108" s="2" t="str">
        <f t="shared" si="183"/>
        <v>0 €</v>
      </c>
      <c r="H108" s="154">
        <f t="shared" si="184"/>
        <v>1.86</v>
      </c>
      <c r="I108" s="64">
        <f t="shared" si="185"/>
        <v>47118</v>
      </c>
      <c r="J108" s="304" t="str">
        <f t="shared" si="186"/>
        <v>650 € p/m</v>
      </c>
      <c r="K108" s="96">
        <f t="shared" si="177"/>
        <v>3.5222222222222221</v>
      </c>
      <c r="L108" s="146">
        <f t="shared" si="187"/>
        <v>2.3111111111111109</v>
      </c>
      <c r="M108" s="6">
        <f t="shared" si="188"/>
        <v>0</v>
      </c>
      <c r="N108" s="5">
        <f t="shared" si="189"/>
        <v>5400</v>
      </c>
      <c r="O108" s="21">
        <f t="shared" si="190"/>
        <v>0</v>
      </c>
      <c r="P108" s="2">
        <f t="shared" si="191"/>
        <v>60</v>
      </c>
      <c r="Q108" s="2">
        <f t="shared" si="192"/>
        <v>37</v>
      </c>
      <c r="R108" s="5">
        <f t="shared" si="193"/>
        <v>16.009615384615387</v>
      </c>
      <c r="S108" s="2">
        <f t="shared" si="194"/>
        <v>23</v>
      </c>
      <c r="T108" s="2">
        <f t="shared" si="195"/>
        <v>14</v>
      </c>
      <c r="U108" s="102">
        <f t="shared" si="196"/>
        <v>0.38333333333333336</v>
      </c>
      <c r="V108" s="102">
        <f t="shared" si="197"/>
        <v>0.6166666666666667</v>
      </c>
      <c r="W108" s="6">
        <f t="shared" si="198"/>
        <v>60</v>
      </c>
      <c r="X108" s="5">
        <f t="shared" si="199"/>
        <v>25.961538461538463</v>
      </c>
      <c r="Y108" s="6">
        <f t="shared" si="200"/>
        <v>0</v>
      </c>
      <c r="Z108" s="5">
        <f t="shared" si="201"/>
        <v>0</v>
      </c>
      <c r="AA108" s="21">
        <f t="shared" si="202"/>
        <v>0</v>
      </c>
      <c r="AB108" s="6">
        <f t="shared" si="203"/>
        <v>0</v>
      </c>
      <c r="AC108" s="5">
        <f t="shared" si="204"/>
        <v>0</v>
      </c>
      <c r="AD108" s="6">
        <f t="shared" si="205"/>
        <v>0</v>
      </c>
      <c r="AE108" s="5">
        <f t="shared" si="206"/>
        <v>0</v>
      </c>
      <c r="AF108" s="21">
        <f t="shared" si="207"/>
        <v>0</v>
      </c>
      <c r="AG108" s="6">
        <f t="shared" si="208"/>
        <v>0</v>
      </c>
      <c r="AH108" s="5">
        <f t="shared" si="209"/>
        <v>0</v>
      </c>
      <c r="AI108" s="21">
        <f t="shared" si="210"/>
        <v>0</v>
      </c>
      <c r="AJ108" s="6">
        <f t="shared" si="211"/>
        <v>0</v>
      </c>
      <c r="AK108" s="5">
        <f t="shared" si="212"/>
        <v>0</v>
      </c>
      <c r="AL108" s="21">
        <f t="shared" si="213"/>
        <v>0</v>
      </c>
      <c r="AM108" s="21">
        <f t="shared" si="214"/>
        <v>0.43269230769230771</v>
      </c>
      <c r="AN108" s="6">
        <f t="shared" si="215"/>
        <v>1</v>
      </c>
      <c r="AO108" s="5">
        <f t="shared" si="216"/>
        <v>0.43269230769230771</v>
      </c>
      <c r="AP108" s="6">
        <f t="shared" si="217"/>
        <v>0</v>
      </c>
      <c r="AQ108" s="5">
        <f t="shared" si="218"/>
        <v>0</v>
      </c>
      <c r="AR108" s="2">
        <f t="shared" si="219"/>
        <v>3</v>
      </c>
      <c r="AS108" s="5">
        <f t="shared" si="220"/>
        <v>1.2980769230769231</v>
      </c>
      <c r="AT108" s="21">
        <f t="shared" si="221"/>
        <v>0</v>
      </c>
      <c r="AU108" s="20">
        <f t="shared" si="222"/>
        <v>0</v>
      </c>
      <c r="AV108" s="20">
        <f t="shared" si="223"/>
        <v>1</v>
      </c>
      <c r="AW108" s="199">
        <f t="shared" si="224"/>
        <v>0</v>
      </c>
      <c r="AX108" s="24">
        <f t="shared" si="225"/>
        <v>69.333333333333329</v>
      </c>
      <c r="AY108" s="5">
        <f t="shared" si="226"/>
        <v>1</v>
      </c>
      <c r="AZ108" s="5">
        <f t="shared" si="227"/>
        <v>1</v>
      </c>
      <c r="BA108" s="5">
        <f t="shared" si="228"/>
        <v>0</v>
      </c>
      <c r="BB108" s="5">
        <f t="shared" si="229"/>
        <v>0</v>
      </c>
      <c r="BC108" s="5">
        <f t="shared" si="230"/>
        <v>0</v>
      </c>
      <c r="BD108" s="5">
        <f t="shared" si="231"/>
        <v>0</v>
      </c>
      <c r="BE108" s="199">
        <f t="shared" si="232"/>
        <v>0</v>
      </c>
      <c r="BF108" s="21">
        <f t="shared" si="233"/>
        <v>0</v>
      </c>
      <c r="BG108" s="6">
        <f t="shared" si="234"/>
        <v>0</v>
      </c>
      <c r="BH108" s="5">
        <f t="shared" si="235"/>
        <v>0</v>
      </c>
      <c r="BI108" s="6">
        <f t="shared" si="236"/>
        <v>0</v>
      </c>
      <c r="BJ108" s="5">
        <f t="shared" si="237"/>
        <v>0</v>
      </c>
      <c r="BK108" s="20">
        <f t="shared" si="238"/>
        <v>-9.9999999999999998E-13</v>
      </c>
      <c r="BL108" s="20">
        <f t="shared" si="239"/>
        <v>2.0229265003371545E-3</v>
      </c>
      <c r="BM108" s="6">
        <f t="shared" si="240"/>
        <v>3</v>
      </c>
      <c r="BN108" s="5">
        <f t="shared" si="241"/>
        <v>1.2980769230769231</v>
      </c>
      <c r="BO108" s="333">
        <f t="shared" si="242"/>
        <v>0</v>
      </c>
      <c r="BP108" s="334">
        <f t="shared" si="243"/>
        <v>0</v>
      </c>
      <c r="BQ108" s="6">
        <f t="shared" si="244"/>
        <v>0</v>
      </c>
      <c r="BR108" s="5">
        <f t="shared" si="245"/>
        <v>0</v>
      </c>
      <c r="BS108" s="6">
        <f t="shared" si="246"/>
        <v>0</v>
      </c>
      <c r="BT108" s="5">
        <f t="shared" si="247"/>
        <v>0</v>
      </c>
      <c r="BU108" s="181">
        <f t="shared" si="248"/>
        <v>0</v>
      </c>
      <c r="BV108" s="154">
        <f t="shared" si="249"/>
        <v>0</v>
      </c>
      <c r="BW108" s="181">
        <f t="shared" si="250"/>
        <v>0</v>
      </c>
      <c r="BX108" s="180">
        <f t="shared" si="251"/>
        <v>0</v>
      </c>
      <c r="BY108" s="181">
        <f t="shared" si="252"/>
        <v>0</v>
      </c>
      <c r="BZ108" s="154">
        <f t="shared" si="253"/>
        <v>0</v>
      </c>
      <c r="CA108" s="182">
        <f t="shared" si="254"/>
        <v>0</v>
      </c>
      <c r="CB108" s="2">
        <f t="shared" si="255"/>
        <v>0</v>
      </c>
      <c r="CC108" s="2">
        <f t="shared" si="256"/>
        <v>0</v>
      </c>
      <c r="CD108" s="2">
        <f t="shared" si="257"/>
        <v>0</v>
      </c>
      <c r="CE108" s="2">
        <f t="shared" si="258"/>
        <v>0</v>
      </c>
      <c r="CF108" s="6">
        <f t="shared" si="259"/>
        <v>0</v>
      </c>
      <c r="CG108" s="6">
        <f t="shared" si="260"/>
        <v>65</v>
      </c>
      <c r="CH108" s="6">
        <f t="shared" si="261"/>
        <v>37</v>
      </c>
      <c r="CI108" s="20">
        <f t="shared" si="262"/>
        <v>0.56923076923076921</v>
      </c>
      <c r="CJ108" s="133">
        <f t="shared" si="263"/>
        <v>2521</v>
      </c>
      <c r="CK108" s="5">
        <f t="shared" si="264"/>
        <v>6.95</v>
      </c>
      <c r="CL108" s="300"/>
      <c r="CM108" s="296" t="s">
        <v>13</v>
      </c>
      <c r="CN108" s="296" t="s">
        <v>1407</v>
      </c>
      <c r="CO108" s="296">
        <v>26</v>
      </c>
      <c r="CP108" s="296" t="s">
        <v>1408</v>
      </c>
      <c r="CQ108" s="296" t="s">
        <v>1131</v>
      </c>
      <c r="CR108" s="296" t="s">
        <v>644</v>
      </c>
      <c r="CS108" s="296" t="s">
        <v>1409</v>
      </c>
      <c r="CT108" s="296" t="s">
        <v>575</v>
      </c>
      <c r="CU108" s="297">
        <v>47118</v>
      </c>
      <c r="CV108" s="296">
        <v>0</v>
      </c>
      <c r="CW108" s="296">
        <v>208</v>
      </c>
      <c r="CX108" s="296">
        <v>3</v>
      </c>
      <c r="CY108" s="296">
        <v>0</v>
      </c>
      <c r="CZ108" s="296">
        <v>0</v>
      </c>
      <c r="DA108" s="296">
        <v>0</v>
      </c>
      <c r="DB108" s="296">
        <v>0</v>
      </c>
      <c r="DC108" s="296">
        <v>0</v>
      </c>
      <c r="DD108" s="296">
        <v>0</v>
      </c>
      <c r="DE108" s="296">
        <v>1</v>
      </c>
      <c r="DF108" s="296">
        <v>0</v>
      </c>
      <c r="DG108" s="296">
        <v>0</v>
      </c>
      <c r="DH108" s="296">
        <v>0</v>
      </c>
      <c r="DI108" s="296">
        <v>0</v>
      </c>
      <c r="DJ108" s="296">
        <v>0</v>
      </c>
      <c r="DK108" s="296">
        <v>0</v>
      </c>
      <c r="DL108" s="296">
        <v>60</v>
      </c>
      <c r="DM108" s="296">
        <v>37</v>
      </c>
      <c r="DN108" s="296">
        <v>0</v>
      </c>
      <c r="DO108" s="296">
        <v>0</v>
      </c>
      <c r="DP108" s="296">
        <v>0</v>
      </c>
      <c r="DQ108" s="296">
        <v>0</v>
      </c>
      <c r="DR108" s="296">
        <v>0</v>
      </c>
      <c r="DS108" s="296">
        <v>0</v>
      </c>
      <c r="DT108" s="296">
        <v>0</v>
      </c>
      <c r="DU108" s="296">
        <v>0</v>
      </c>
      <c r="DV108" s="301">
        <v>6.95</v>
      </c>
    </row>
    <row r="109" spans="1:126" ht="24.95" customHeight="1" thickBot="1" x14ac:dyDescent="0.3">
      <c r="A109" s="29" t="str">
        <f t="shared" si="176"/>
        <v>108º</v>
      </c>
      <c r="B109" s="69" t="str">
        <f t="shared" si="178"/>
        <v>Luis Guilherme</v>
      </c>
      <c r="C109" s="269" t="str">
        <f t="shared" si="179"/>
        <v>BRA</v>
      </c>
      <c r="D109" s="99" t="str">
        <f t="shared" si="180"/>
        <v>Pé Direito</v>
      </c>
      <c r="E109" s="28" t="str">
        <f t="shared" si="181"/>
        <v>Paragominas</v>
      </c>
      <c r="F109" s="169">
        <f t="shared" si="182"/>
        <v>25</v>
      </c>
      <c r="G109" s="2" t="str">
        <f t="shared" si="183"/>
        <v>0 €</v>
      </c>
      <c r="H109" s="154">
        <f t="shared" si="184"/>
        <v>1.94</v>
      </c>
      <c r="I109" s="64">
        <f t="shared" si="185"/>
        <v>47118</v>
      </c>
      <c r="J109" s="304" t="str">
        <f t="shared" si="186"/>
        <v>850 € p/m</v>
      </c>
      <c r="K109" s="96">
        <f t="shared" si="177"/>
        <v>3.5222222222222221</v>
      </c>
      <c r="L109" s="146">
        <f t="shared" si="187"/>
        <v>27.255555555555556</v>
      </c>
      <c r="M109" s="6">
        <f t="shared" si="188"/>
        <v>0</v>
      </c>
      <c r="N109" s="5">
        <f t="shared" si="189"/>
        <v>5400</v>
      </c>
      <c r="O109" s="21">
        <f t="shared" si="190"/>
        <v>0</v>
      </c>
      <c r="P109" s="2">
        <f t="shared" si="191"/>
        <v>611</v>
      </c>
      <c r="Q109" s="2">
        <f t="shared" si="192"/>
        <v>364</v>
      </c>
      <c r="R109" s="5">
        <f t="shared" si="193"/>
        <v>13.355075417855687</v>
      </c>
      <c r="S109" s="2">
        <f t="shared" si="194"/>
        <v>247</v>
      </c>
      <c r="T109" s="2">
        <f t="shared" si="195"/>
        <v>117</v>
      </c>
      <c r="U109" s="102">
        <f t="shared" si="196"/>
        <v>0.40425531914893614</v>
      </c>
      <c r="V109" s="102">
        <f t="shared" si="197"/>
        <v>0.5957446808510638</v>
      </c>
      <c r="W109" s="6">
        <f t="shared" si="198"/>
        <v>611</v>
      </c>
      <c r="X109" s="5">
        <f t="shared" si="199"/>
        <v>22.417448022829188</v>
      </c>
      <c r="Y109" s="6">
        <f t="shared" si="200"/>
        <v>0</v>
      </c>
      <c r="Z109" s="5">
        <f t="shared" si="201"/>
        <v>0</v>
      </c>
      <c r="AA109" s="21">
        <f t="shared" si="202"/>
        <v>0</v>
      </c>
      <c r="AB109" s="6">
        <f t="shared" si="203"/>
        <v>1</v>
      </c>
      <c r="AC109" s="5">
        <f t="shared" si="204"/>
        <v>3.6689767631471665E-2</v>
      </c>
      <c r="AD109" s="6">
        <f t="shared" si="205"/>
        <v>7</v>
      </c>
      <c r="AE109" s="5">
        <f t="shared" si="206"/>
        <v>0.25682837342030168</v>
      </c>
      <c r="AF109" s="21">
        <f t="shared" si="207"/>
        <v>0.25925925925925924</v>
      </c>
      <c r="AG109" s="6">
        <f t="shared" si="208"/>
        <v>6</v>
      </c>
      <c r="AH109" s="5">
        <f t="shared" si="209"/>
        <v>0.22013860578882999</v>
      </c>
      <c r="AI109" s="21">
        <f t="shared" si="210"/>
        <v>0.22222222222222221</v>
      </c>
      <c r="AJ109" s="6">
        <f t="shared" si="211"/>
        <v>14</v>
      </c>
      <c r="AK109" s="5">
        <f t="shared" si="212"/>
        <v>1.0482905982905983</v>
      </c>
      <c r="AL109" s="21">
        <f t="shared" si="213"/>
        <v>0.51851851851851849</v>
      </c>
      <c r="AM109" s="21">
        <f t="shared" si="214"/>
        <v>0.22013860578882999</v>
      </c>
      <c r="AN109" s="6">
        <f t="shared" si="215"/>
        <v>6</v>
      </c>
      <c r="AO109" s="5">
        <f t="shared" si="216"/>
        <v>0.22013860578882999</v>
      </c>
      <c r="AP109" s="6">
        <f t="shared" si="217"/>
        <v>27</v>
      </c>
      <c r="AQ109" s="5">
        <f t="shared" si="218"/>
        <v>0.99062372604973503</v>
      </c>
      <c r="AR109" s="2">
        <f t="shared" si="219"/>
        <v>70</v>
      </c>
      <c r="AS109" s="5">
        <f t="shared" si="220"/>
        <v>2.5682837342030167</v>
      </c>
      <c r="AT109" s="21">
        <f t="shared" si="221"/>
        <v>0.38571428571428573</v>
      </c>
      <c r="AU109" s="20">
        <f t="shared" si="222"/>
        <v>0.31746031746031744</v>
      </c>
      <c r="AV109" s="20">
        <f t="shared" si="223"/>
        <v>0.61428571428571432</v>
      </c>
      <c r="AW109" s="199">
        <f t="shared" si="224"/>
        <v>0.5714285714285714</v>
      </c>
      <c r="AX109" s="24">
        <f t="shared" si="225"/>
        <v>57.046511627906973</v>
      </c>
      <c r="AY109" s="5">
        <f t="shared" si="226"/>
        <v>1.6279069767441861</v>
      </c>
      <c r="AZ109" s="5">
        <f t="shared" si="227"/>
        <v>1.4651162790697674</v>
      </c>
      <c r="BA109" s="5">
        <f t="shared" si="228"/>
        <v>-2.37</v>
      </c>
      <c r="BB109" s="5">
        <f t="shared" si="229"/>
        <v>-8.6954749286587849E-2</v>
      </c>
      <c r="BC109" s="5">
        <f t="shared" si="230"/>
        <v>-2.37</v>
      </c>
      <c r="BD109" s="5">
        <f t="shared" si="231"/>
        <v>-8.6954749286587849E-2</v>
      </c>
      <c r="BE109" s="199">
        <f t="shared" si="232"/>
        <v>-0.39500000000000002</v>
      </c>
      <c r="BF109" s="21">
        <f t="shared" si="233"/>
        <v>-5.8331282303716467E-2</v>
      </c>
      <c r="BG109" s="6">
        <f t="shared" si="234"/>
        <v>3</v>
      </c>
      <c r="BH109" s="5">
        <f t="shared" si="235"/>
        <v>0.11006930289441499</v>
      </c>
      <c r="BI109" s="6">
        <f t="shared" si="236"/>
        <v>0</v>
      </c>
      <c r="BJ109" s="5">
        <f t="shared" si="237"/>
        <v>0</v>
      </c>
      <c r="BK109" s="20">
        <f t="shared" si="238"/>
        <v>0</v>
      </c>
      <c r="BL109" s="20">
        <f t="shared" si="239"/>
        <v>2.8995279838165879E-2</v>
      </c>
      <c r="BM109" s="6">
        <f t="shared" si="240"/>
        <v>43</v>
      </c>
      <c r="BN109" s="5">
        <f t="shared" si="241"/>
        <v>1.5776600081532817</v>
      </c>
      <c r="BO109" s="333">
        <f t="shared" si="242"/>
        <v>1</v>
      </c>
      <c r="BP109" s="334">
        <f t="shared" si="243"/>
        <v>3.6689767631471665E-2</v>
      </c>
      <c r="BQ109" s="6">
        <f t="shared" si="244"/>
        <v>38.157777777777774</v>
      </c>
      <c r="BR109" s="5">
        <f t="shared" si="245"/>
        <v>1.4</v>
      </c>
      <c r="BS109" s="6">
        <f t="shared" si="246"/>
        <v>70.864444444444445</v>
      </c>
      <c r="BT109" s="5">
        <f t="shared" si="247"/>
        <v>2.6</v>
      </c>
      <c r="BU109" s="181">
        <f t="shared" si="248"/>
        <v>5</v>
      </c>
      <c r="BV109" s="154">
        <f t="shared" si="249"/>
        <v>0.18344883815735832</v>
      </c>
      <c r="BW109" s="181">
        <f t="shared" si="250"/>
        <v>0</v>
      </c>
      <c r="BX109" s="180">
        <f t="shared" si="251"/>
        <v>0</v>
      </c>
      <c r="BY109" s="181">
        <f t="shared" si="252"/>
        <v>4</v>
      </c>
      <c r="BZ109" s="154">
        <f t="shared" si="253"/>
        <v>0.14675907052588666</v>
      </c>
      <c r="CA109" s="182">
        <f t="shared" si="254"/>
        <v>0</v>
      </c>
      <c r="CB109" s="2">
        <f t="shared" si="255"/>
        <v>1</v>
      </c>
      <c r="CC109" s="2">
        <f t="shared" si="256"/>
        <v>0</v>
      </c>
      <c r="CD109" s="2">
        <f t="shared" si="257"/>
        <v>1</v>
      </c>
      <c r="CE109" s="2">
        <f t="shared" si="258"/>
        <v>17</v>
      </c>
      <c r="CF109" s="6">
        <f t="shared" si="259"/>
        <v>1</v>
      </c>
      <c r="CG109" s="6">
        <f t="shared" si="260"/>
        <v>705.95799999999997</v>
      </c>
      <c r="CH109" s="6">
        <f t="shared" si="261"/>
        <v>391</v>
      </c>
      <c r="CI109" s="20">
        <f t="shared" si="262"/>
        <v>0.55385731162477092</v>
      </c>
      <c r="CJ109" s="133">
        <f t="shared" si="263"/>
        <v>2521</v>
      </c>
      <c r="CK109" s="5">
        <f t="shared" si="264"/>
        <v>6.62</v>
      </c>
      <c r="CL109" s="302" t="s">
        <v>19</v>
      </c>
      <c r="CM109" s="298" t="s">
        <v>13</v>
      </c>
      <c r="CN109" s="298" t="s">
        <v>1410</v>
      </c>
      <c r="CO109" s="298">
        <v>25</v>
      </c>
      <c r="CP109" s="298" t="s">
        <v>1411</v>
      </c>
      <c r="CQ109" s="298" t="s">
        <v>1131</v>
      </c>
      <c r="CR109" s="298" t="s">
        <v>644</v>
      </c>
      <c r="CS109" s="298" t="s">
        <v>1412</v>
      </c>
      <c r="CT109" s="298" t="s">
        <v>910</v>
      </c>
      <c r="CU109" s="299">
        <v>47118</v>
      </c>
      <c r="CV109" s="298">
        <v>0</v>
      </c>
      <c r="CW109" s="298">
        <v>2453</v>
      </c>
      <c r="CX109" s="298">
        <v>43</v>
      </c>
      <c r="CY109" s="298">
        <v>7</v>
      </c>
      <c r="CZ109" s="298">
        <v>6</v>
      </c>
      <c r="DA109" s="298">
        <v>14</v>
      </c>
      <c r="DB109" s="298">
        <v>0</v>
      </c>
      <c r="DC109" s="298">
        <v>1.4</v>
      </c>
      <c r="DD109" s="298">
        <v>2.6</v>
      </c>
      <c r="DE109" s="298">
        <v>6</v>
      </c>
      <c r="DF109" s="298">
        <v>1</v>
      </c>
      <c r="DG109" s="298">
        <v>0</v>
      </c>
      <c r="DH109" s="298">
        <v>1</v>
      </c>
      <c r="DI109" s="298">
        <v>17</v>
      </c>
      <c r="DJ109" s="298">
        <v>0</v>
      </c>
      <c r="DK109" s="298">
        <v>1</v>
      </c>
      <c r="DL109" s="298">
        <v>611</v>
      </c>
      <c r="DM109" s="298">
        <v>364</v>
      </c>
      <c r="DN109" s="298" t="s">
        <v>1413</v>
      </c>
      <c r="DO109" s="298">
        <v>0</v>
      </c>
      <c r="DP109" s="298">
        <v>1</v>
      </c>
      <c r="DQ109" s="298">
        <v>3</v>
      </c>
      <c r="DR109" s="298">
        <v>0</v>
      </c>
      <c r="DS109" s="298">
        <v>0</v>
      </c>
      <c r="DT109" s="298">
        <v>3</v>
      </c>
      <c r="DU109" s="298">
        <v>0</v>
      </c>
      <c r="DV109" s="303">
        <v>6.62</v>
      </c>
    </row>
    <row r="110" spans="1:126" ht="24.95" customHeight="1" thickBot="1" x14ac:dyDescent="0.3">
      <c r="A110" s="29" t="str">
        <f t="shared" si="176"/>
        <v>109º</v>
      </c>
      <c r="B110" s="69" t="str">
        <f t="shared" si="178"/>
        <v>Willian</v>
      </c>
      <c r="C110" s="269" t="str">
        <f t="shared" si="179"/>
        <v>BRA</v>
      </c>
      <c r="D110" s="99" t="str">
        <f t="shared" si="180"/>
        <v>Pé Direito</v>
      </c>
      <c r="E110" s="28" t="str">
        <f t="shared" si="181"/>
        <v>Nauás</v>
      </c>
      <c r="F110" s="169">
        <f t="shared" si="182"/>
        <v>22</v>
      </c>
      <c r="G110" s="2" t="str">
        <f t="shared" si="183"/>
        <v>0 €</v>
      </c>
      <c r="H110" s="154">
        <f t="shared" si="184"/>
        <v>1.92</v>
      </c>
      <c r="I110" s="64">
        <f t="shared" si="185"/>
        <v>47118</v>
      </c>
      <c r="J110" s="304" t="str">
        <f t="shared" si="186"/>
        <v>500 € p/m</v>
      </c>
      <c r="K110" s="96">
        <f t="shared" si="177"/>
        <v>3.5222222222222221</v>
      </c>
      <c r="L110" s="146">
        <f t="shared" si="187"/>
        <v>16.822222222222223</v>
      </c>
      <c r="M110" s="6">
        <f t="shared" si="188"/>
        <v>0</v>
      </c>
      <c r="N110" s="5">
        <f t="shared" si="189"/>
        <v>5400</v>
      </c>
      <c r="O110" s="21">
        <f t="shared" si="190"/>
        <v>0</v>
      </c>
      <c r="P110" s="2">
        <f t="shared" si="191"/>
        <v>431</v>
      </c>
      <c r="Q110" s="2">
        <f t="shared" si="192"/>
        <v>302</v>
      </c>
      <c r="R110" s="5">
        <f t="shared" si="193"/>
        <v>17.95244385733157</v>
      </c>
      <c r="S110" s="2">
        <f t="shared" si="194"/>
        <v>129</v>
      </c>
      <c r="T110" s="2">
        <f t="shared" si="195"/>
        <v>173</v>
      </c>
      <c r="U110" s="102">
        <f t="shared" si="196"/>
        <v>0.29930394431554525</v>
      </c>
      <c r="V110" s="102">
        <f t="shared" si="197"/>
        <v>0.70069605568445481</v>
      </c>
      <c r="W110" s="6">
        <f t="shared" si="198"/>
        <v>412</v>
      </c>
      <c r="X110" s="5">
        <f t="shared" si="199"/>
        <v>24.491413474240421</v>
      </c>
      <c r="Y110" s="6">
        <f t="shared" si="200"/>
        <v>19</v>
      </c>
      <c r="Z110" s="5">
        <f t="shared" si="201"/>
        <v>1.129458388375165</v>
      </c>
      <c r="AA110" s="21">
        <f t="shared" si="202"/>
        <v>4.6116504854368932E-2</v>
      </c>
      <c r="AB110" s="6">
        <f t="shared" si="203"/>
        <v>6</v>
      </c>
      <c r="AC110" s="5">
        <f t="shared" si="204"/>
        <v>0.35667107001321002</v>
      </c>
      <c r="AD110" s="6">
        <f t="shared" si="205"/>
        <v>0</v>
      </c>
      <c r="AE110" s="5">
        <f t="shared" si="206"/>
        <v>0</v>
      </c>
      <c r="AF110" s="21">
        <f t="shared" si="207"/>
        <v>0</v>
      </c>
      <c r="AG110" s="6">
        <f t="shared" si="208"/>
        <v>0</v>
      </c>
      <c r="AH110" s="5">
        <f t="shared" si="209"/>
        <v>0</v>
      </c>
      <c r="AI110" s="21">
        <f t="shared" si="210"/>
        <v>0</v>
      </c>
      <c r="AJ110" s="6">
        <f t="shared" si="211"/>
        <v>0</v>
      </c>
      <c r="AK110" s="5">
        <f t="shared" si="212"/>
        <v>0</v>
      </c>
      <c r="AL110" s="21">
        <f t="shared" si="213"/>
        <v>0</v>
      </c>
      <c r="AM110" s="21">
        <f t="shared" si="214"/>
        <v>0.11889035667107001</v>
      </c>
      <c r="AN110" s="6">
        <f t="shared" si="215"/>
        <v>2</v>
      </c>
      <c r="AO110" s="5">
        <f t="shared" si="216"/>
        <v>0.11889035667107001</v>
      </c>
      <c r="AP110" s="6">
        <f t="shared" si="217"/>
        <v>0</v>
      </c>
      <c r="AQ110" s="5">
        <f t="shared" si="218"/>
        <v>0</v>
      </c>
      <c r="AR110" s="2">
        <f t="shared" si="219"/>
        <v>19</v>
      </c>
      <c r="AS110" s="5">
        <f t="shared" si="220"/>
        <v>1.129458388375165</v>
      </c>
      <c r="AT110" s="21">
        <f t="shared" si="221"/>
        <v>0</v>
      </c>
      <c r="AU110" s="20">
        <f t="shared" si="222"/>
        <v>0</v>
      </c>
      <c r="AV110" s="20">
        <f t="shared" si="223"/>
        <v>1</v>
      </c>
      <c r="AW110" s="199">
        <f t="shared" si="224"/>
        <v>0</v>
      </c>
      <c r="AX110" s="24">
        <f t="shared" si="225"/>
        <v>79.684210526315795</v>
      </c>
      <c r="AY110" s="5">
        <f t="shared" si="226"/>
        <v>1</v>
      </c>
      <c r="AZ110" s="5">
        <f t="shared" si="227"/>
        <v>1</v>
      </c>
      <c r="BA110" s="5">
        <f t="shared" si="228"/>
        <v>0</v>
      </c>
      <c r="BB110" s="5">
        <f t="shared" si="229"/>
        <v>0</v>
      </c>
      <c r="BC110" s="5">
        <f t="shared" si="230"/>
        <v>0</v>
      </c>
      <c r="BD110" s="5">
        <f t="shared" si="231"/>
        <v>0</v>
      </c>
      <c r="BE110" s="199">
        <f t="shared" si="232"/>
        <v>0</v>
      </c>
      <c r="BF110" s="21">
        <f t="shared" si="233"/>
        <v>0</v>
      </c>
      <c r="BG110" s="6">
        <f t="shared" si="234"/>
        <v>0</v>
      </c>
      <c r="BH110" s="5">
        <f t="shared" si="235"/>
        <v>0</v>
      </c>
      <c r="BI110" s="6">
        <f t="shared" si="236"/>
        <v>0</v>
      </c>
      <c r="BJ110" s="5">
        <f t="shared" si="237"/>
        <v>0</v>
      </c>
      <c r="BK110" s="20">
        <f t="shared" si="238"/>
        <v>-9.9999999999999998E-13</v>
      </c>
      <c r="BL110" s="20">
        <f t="shared" si="239"/>
        <v>1.2811867835468645E-2</v>
      </c>
      <c r="BM110" s="6">
        <f t="shared" si="240"/>
        <v>19</v>
      </c>
      <c r="BN110" s="5">
        <f t="shared" si="241"/>
        <v>1.129458388375165</v>
      </c>
      <c r="BO110" s="333">
        <f t="shared" si="242"/>
        <v>0</v>
      </c>
      <c r="BP110" s="334">
        <f t="shared" si="243"/>
        <v>0</v>
      </c>
      <c r="BQ110" s="6">
        <f t="shared" si="244"/>
        <v>43.737777777777779</v>
      </c>
      <c r="BR110" s="5">
        <f t="shared" si="245"/>
        <v>2.6</v>
      </c>
      <c r="BS110" s="6">
        <f t="shared" si="246"/>
        <v>58.87777777777778</v>
      </c>
      <c r="BT110" s="5">
        <f t="shared" si="247"/>
        <v>3.5</v>
      </c>
      <c r="BU110" s="181">
        <f t="shared" si="248"/>
        <v>20</v>
      </c>
      <c r="BV110" s="154">
        <f t="shared" si="249"/>
        <v>1.1889035667107002</v>
      </c>
      <c r="BW110" s="181">
        <f t="shared" si="250"/>
        <v>7</v>
      </c>
      <c r="BX110" s="180">
        <f t="shared" si="251"/>
        <v>0.41611624834874505</v>
      </c>
      <c r="BY110" s="181">
        <f t="shared" si="252"/>
        <v>13</v>
      </c>
      <c r="BZ110" s="154">
        <f t="shared" si="253"/>
        <v>0.77278731836195502</v>
      </c>
      <c r="CA110" s="182">
        <f t="shared" si="254"/>
        <v>0.35</v>
      </c>
      <c r="CB110" s="2">
        <f t="shared" si="255"/>
        <v>1</v>
      </c>
      <c r="CC110" s="2">
        <f t="shared" si="256"/>
        <v>0</v>
      </c>
      <c r="CD110" s="2">
        <f t="shared" si="257"/>
        <v>1</v>
      </c>
      <c r="CE110" s="2">
        <f t="shared" si="258"/>
        <v>6</v>
      </c>
      <c r="CF110" s="6">
        <f t="shared" si="259"/>
        <v>1</v>
      </c>
      <c r="CG110" s="6">
        <f t="shared" si="260"/>
        <v>478.65499999999997</v>
      </c>
      <c r="CH110" s="6">
        <f t="shared" si="261"/>
        <v>309</v>
      </c>
      <c r="CI110" s="20">
        <f t="shared" si="262"/>
        <v>0.64555890986200926</v>
      </c>
      <c r="CJ110" s="133">
        <f t="shared" si="263"/>
        <v>2521</v>
      </c>
      <c r="CK110" s="5">
        <f t="shared" si="264"/>
        <v>6.6</v>
      </c>
      <c r="CL110" s="300" t="s">
        <v>19</v>
      </c>
      <c r="CM110" s="296" t="s">
        <v>13</v>
      </c>
      <c r="CN110" s="296" t="s">
        <v>1414</v>
      </c>
      <c r="CO110" s="296">
        <v>22</v>
      </c>
      <c r="CP110" s="296" t="s">
        <v>1415</v>
      </c>
      <c r="CQ110" s="296" t="s">
        <v>1131</v>
      </c>
      <c r="CR110" s="296" t="s">
        <v>644</v>
      </c>
      <c r="CS110" s="296" t="s">
        <v>760</v>
      </c>
      <c r="CT110" s="296" t="s">
        <v>549</v>
      </c>
      <c r="CU110" s="297">
        <v>47118</v>
      </c>
      <c r="CV110" s="296">
        <v>0</v>
      </c>
      <c r="CW110" s="296">
        <v>1514</v>
      </c>
      <c r="CX110" s="296">
        <v>19</v>
      </c>
      <c r="CY110" s="296">
        <v>0</v>
      </c>
      <c r="CZ110" s="296">
        <v>0</v>
      </c>
      <c r="DA110" s="296">
        <v>0</v>
      </c>
      <c r="DB110" s="296">
        <v>19</v>
      </c>
      <c r="DC110" s="296">
        <v>2.6</v>
      </c>
      <c r="DD110" s="296">
        <v>3.5</v>
      </c>
      <c r="DE110" s="296">
        <v>2</v>
      </c>
      <c r="DF110" s="296">
        <v>1</v>
      </c>
      <c r="DG110" s="296">
        <v>0</v>
      </c>
      <c r="DH110" s="296">
        <v>1</v>
      </c>
      <c r="DI110" s="296">
        <v>6</v>
      </c>
      <c r="DJ110" s="296">
        <v>19</v>
      </c>
      <c r="DK110" s="296">
        <v>6</v>
      </c>
      <c r="DL110" s="296">
        <v>431</v>
      </c>
      <c r="DM110" s="296">
        <v>302</v>
      </c>
      <c r="DN110" s="296">
        <v>0</v>
      </c>
      <c r="DO110" s="296">
        <v>7</v>
      </c>
      <c r="DP110" s="296">
        <v>0</v>
      </c>
      <c r="DQ110" s="296">
        <v>0</v>
      </c>
      <c r="DR110" s="296">
        <v>0</v>
      </c>
      <c r="DS110" s="296">
        <v>0</v>
      </c>
      <c r="DT110" s="296">
        <v>0</v>
      </c>
      <c r="DU110" s="296">
        <v>0</v>
      </c>
      <c r="DV110" s="301">
        <v>6.6</v>
      </c>
    </row>
    <row r="111" spans="1:126" ht="24.95" customHeight="1" thickBot="1" x14ac:dyDescent="0.3">
      <c r="A111" s="29" t="str">
        <f t="shared" si="176"/>
        <v>110º</v>
      </c>
      <c r="B111" s="69" t="str">
        <f t="shared" si="178"/>
        <v>Kléber Pimentel</v>
      </c>
      <c r="C111" s="269" t="str">
        <f t="shared" si="179"/>
        <v>BRA</v>
      </c>
      <c r="D111" s="99" t="str">
        <f t="shared" si="180"/>
        <v>Pé Direito</v>
      </c>
      <c r="E111" s="28" t="str">
        <f t="shared" si="181"/>
        <v>Pelotas</v>
      </c>
      <c r="F111" s="169">
        <f t="shared" si="182"/>
        <v>29</v>
      </c>
      <c r="G111" s="2" t="str">
        <f t="shared" si="183"/>
        <v>0 €</v>
      </c>
      <c r="H111" s="154">
        <f t="shared" si="184"/>
        <v>1.87</v>
      </c>
      <c r="I111" s="64">
        <f t="shared" si="185"/>
        <v>47118</v>
      </c>
      <c r="J111" s="304" t="str">
        <f t="shared" si="186"/>
        <v>1,1m € p/m</v>
      </c>
      <c r="K111" s="96">
        <f t="shared" si="177"/>
        <v>3.5222222222222221</v>
      </c>
      <c r="L111" s="146">
        <f t="shared" si="187"/>
        <v>23</v>
      </c>
      <c r="M111" s="6">
        <f t="shared" si="188"/>
        <v>3</v>
      </c>
      <c r="N111" s="5">
        <f t="shared" si="189"/>
        <v>690</v>
      </c>
      <c r="O111" s="21">
        <f t="shared" si="190"/>
        <v>0.13043478260869565</v>
      </c>
      <c r="P111" s="2">
        <f t="shared" si="191"/>
        <v>593</v>
      </c>
      <c r="Q111" s="2">
        <f t="shared" si="192"/>
        <v>428</v>
      </c>
      <c r="R111" s="5">
        <f t="shared" si="193"/>
        <v>18.608695652173914</v>
      </c>
      <c r="S111" s="2">
        <f t="shared" si="194"/>
        <v>165</v>
      </c>
      <c r="T111" s="2">
        <f t="shared" si="195"/>
        <v>263</v>
      </c>
      <c r="U111" s="102">
        <f t="shared" si="196"/>
        <v>0.27824620573355818</v>
      </c>
      <c r="V111" s="102">
        <f t="shared" si="197"/>
        <v>0.72175379426644182</v>
      </c>
      <c r="W111" s="6">
        <f t="shared" si="198"/>
        <v>593</v>
      </c>
      <c r="X111" s="5">
        <f t="shared" si="199"/>
        <v>25.782608695652176</v>
      </c>
      <c r="Y111" s="6">
        <f t="shared" si="200"/>
        <v>0</v>
      </c>
      <c r="Z111" s="5">
        <f t="shared" si="201"/>
        <v>0</v>
      </c>
      <c r="AA111" s="21">
        <f t="shared" si="202"/>
        <v>0</v>
      </c>
      <c r="AB111" s="6">
        <f t="shared" si="203"/>
        <v>0</v>
      </c>
      <c r="AC111" s="5">
        <f t="shared" si="204"/>
        <v>0</v>
      </c>
      <c r="AD111" s="6">
        <f t="shared" si="205"/>
        <v>23</v>
      </c>
      <c r="AE111" s="5">
        <f t="shared" si="206"/>
        <v>1</v>
      </c>
      <c r="AF111" s="21">
        <f t="shared" si="207"/>
        <v>0.28749999999999998</v>
      </c>
      <c r="AG111" s="6">
        <f t="shared" si="208"/>
        <v>19</v>
      </c>
      <c r="AH111" s="5">
        <f t="shared" si="209"/>
        <v>0.82608695652173914</v>
      </c>
      <c r="AI111" s="21">
        <f t="shared" si="210"/>
        <v>0.23749999999999999</v>
      </c>
      <c r="AJ111" s="6">
        <f t="shared" si="211"/>
        <v>38</v>
      </c>
      <c r="AK111" s="5">
        <f t="shared" si="212"/>
        <v>2.042056074766355</v>
      </c>
      <c r="AL111" s="21">
        <f t="shared" si="213"/>
        <v>0.47499999999999998</v>
      </c>
      <c r="AM111" s="21">
        <f t="shared" si="214"/>
        <v>0.21739130434782608</v>
      </c>
      <c r="AN111" s="6">
        <f t="shared" si="215"/>
        <v>5</v>
      </c>
      <c r="AO111" s="5">
        <f t="shared" si="216"/>
        <v>0.21739130434782608</v>
      </c>
      <c r="AP111" s="6">
        <f t="shared" si="217"/>
        <v>80</v>
      </c>
      <c r="AQ111" s="5">
        <f t="shared" si="218"/>
        <v>3.4782608695652173</v>
      </c>
      <c r="AR111" s="2">
        <f t="shared" si="219"/>
        <v>118</v>
      </c>
      <c r="AS111" s="5">
        <f t="shared" si="220"/>
        <v>5.1304347826086953</v>
      </c>
      <c r="AT111" s="21">
        <f t="shared" si="221"/>
        <v>0.67796610169491522</v>
      </c>
      <c r="AU111" s="20">
        <f t="shared" si="222"/>
        <v>0.61052631578947369</v>
      </c>
      <c r="AV111" s="20">
        <f t="shared" si="223"/>
        <v>0.32203389830508478</v>
      </c>
      <c r="AW111" s="199">
        <f t="shared" si="224"/>
        <v>1</v>
      </c>
      <c r="AX111" s="24">
        <f t="shared" si="225"/>
        <v>54.473684210526315</v>
      </c>
      <c r="AY111" s="5">
        <f t="shared" si="226"/>
        <v>3.1052631578947367</v>
      </c>
      <c r="AZ111" s="5">
        <f t="shared" si="227"/>
        <v>2.5</v>
      </c>
      <c r="BA111" s="5">
        <f t="shared" si="228"/>
        <v>-4.6100000000000003</v>
      </c>
      <c r="BB111" s="5">
        <f t="shared" si="229"/>
        <v>-0.20043478260869566</v>
      </c>
      <c r="BC111" s="5">
        <f t="shared" si="230"/>
        <v>-5.4</v>
      </c>
      <c r="BD111" s="5">
        <f t="shared" si="231"/>
        <v>-0.23478260869565218</v>
      </c>
      <c r="BE111" s="199">
        <f t="shared" si="232"/>
        <v>-0.92200000000000004</v>
      </c>
      <c r="BF111" s="21">
        <f t="shared" si="233"/>
        <v>-0.13806528900868525</v>
      </c>
      <c r="BG111" s="6">
        <f t="shared" si="234"/>
        <v>3</v>
      </c>
      <c r="BH111" s="5">
        <f t="shared" si="235"/>
        <v>0.13043478260869565</v>
      </c>
      <c r="BI111" s="6">
        <f t="shared" si="236"/>
        <v>1</v>
      </c>
      <c r="BJ111" s="5">
        <f t="shared" si="237"/>
        <v>4.3478260869565216E-2</v>
      </c>
      <c r="BK111" s="20">
        <f t="shared" si="238"/>
        <v>0.33333333333333331</v>
      </c>
      <c r="BL111" s="20">
        <f t="shared" si="239"/>
        <v>2.562373567093729E-2</v>
      </c>
      <c r="BM111" s="6">
        <f t="shared" si="240"/>
        <v>38</v>
      </c>
      <c r="BN111" s="5">
        <f t="shared" si="241"/>
        <v>1.6521739130434783</v>
      </c>
      <c r="BO111" s="333">
        <f t="shared" si="242"/>
        <v>1</v>
      </c>
      <c r="BP111" s="334">
        <f t="shared" si="243"/>
        <v>4.3478260869565216E-2</v>
      </c>
      <c r="BQ111" s="6">
        <f t="shared" si="244"/>
        <v>105.8</v>
      </c>
      <c r="BR111" s="5">
        <f t="shared" si="245"/>
        <v>4.5999999999999996</v>
      </c>
      <c r="BS111" s="6">
        <f t="shared" si="246"/>
        <v>144.9</v>
      </c>
      <c r="BT111" s="5">
        <f t="shared" si="247"/>
        <v>6.3</v>
      </c>
      <c r="BU111" s="181">
        <f t="shared" si="248"/>
        <v>4</v>
      </c>
      <c r="BV111" s="154">
        <f t="shared" si="249"/>
        <v>0.17391304347826086</v>
      </c>
      <c r="BW111" s="181">
        <f t="shared" si="250"/>
        <v>1</v>
      </c>
      <c r="BX111" s="180">
        <f t="shared" si="251"/>
        <v>4.3478260869565216E-2</v>
      </c>
      <c r="BY111" s="181">
        <f t="shared" si="252"/>
        <v>2</v>
      </c>
      <c r="BZ111" s="154">
        <f t="shared" si="253"/>
        <v>8.6956521739130432E-2</v>
      </c>
      <c r="CA111" s="182">
        <f t="shared" si="254"/>
        <v>0.25</v>
      </c>
      <c r="CB111" s="2">
        <f t="shared" si="255"/>
        <v>0</v>
      </c>
      <c r="CC111" s="2">
        <f t="shared" si="256"/>
        <v>0</v>
      </c>
      <c r="CD111" s="2">
        <f t="shared" si="257"/>
        <v>0</v>
      </c>
      <c r="CE111" s="2">
        <f t="shared" si="258"/>
        <v>6</v>
      </c>
      <c r="CF111" s="6">
        <f t="shared" si="259"/>
        <v>0</v>
      </c>
      <c r="CG111" s="6">
        <f t="shared" si="260"/>
        <v>737.87900000000002</v>
      </c>
      <c r="CH111" s="6">
        <f t="shared" si="261"/>
        <v>510</v>
      </c>
      <c r="CI111" s="20">
        <f t="shared" si="262"/>
        <v>0.69117023251779763</v>
      </c>
      <c r="CJ111" s="133">
        <f t="shared" si="263"/>
        <v>2521</v>
      </c>
      <c r="CK111" s="5">
        <f t="shared" si="264"/>
        <v>6.53</v>
      </c>
      <c r="CL111" s="302"/>
      <c r="CM111" s="298" t="s">
        <v>13</v>
      </c>
      <c r="CN111" s="298" t="s">
        <v>1390</v>
      </c>
      <c r="CO111" s="298">
        <v>29</v>
      </c>
      <c r="CP111" s="298" t="s">
        <v>1416</v>
      </c>
      <c r="CQ111" s="298" t="s">
        <v>1131</v>
      </c>
      <c r="CR111" s="298" t="s">
        <v>644</v>
      </c>
      <c r="CS111" s="298" t="s">
        <v>887</v>
      </c>
      <c r="CT111" s="298" t="s">
        <v>911</v>
      </c>
      <c r="CU111" s="299">
        <v>47118</v>
      </c>
      <c r="CV111" s="298">
        <v>3</v>
      </c>
      <c r="CW111" s="298">
        <v>2070</v>
      </c>
      <c r="CX111" s="298">
        <v>38</v>
      </c>
      <c r="CY111" s="298">
        <v>23</v>
      </c>
      <c r="CZ111" s="298">
        <v>19</v>
      </c>
      <c r="DA111" s="298">
        <v>38</v>
      </c>
      <c r="DB111" s="298">
        <v>0</v>
      </c>
      <c r="DC111" s="298">
        <v>4.5999999999999996</v>
      </c>
      <c r="DD111" s="298">
        <v>6.3</v>
      </c>
      <c r="DE111" s="298">
        <v>5</v>
      </c>
      <c r="DF111" s="298">
        <v>0</v>
      </c>
      <c r="DG111" s="298">
        <v>0</v>
      </c>
      <c r="DH111" s="298">
        <v>0</v>
      </c>
      <c r="DI111" s="298">
        <v>6</v>
      </c>
      <c r="DJ111" s="298">
        <v>0</v>
      </c>
      <c r="DK111" s="298">
        <v>0</v>
      </c>
      <c r="DL111" s="298">
        <v>593</v>
      </c>
      <c r="DM111" s="298">
        <v>428</v>
      </c>
      <c r="DN111" s="298" t="s">
        <v>1417</v>
      </c>
      <c r="DO111" s="298">
        <v>0</v>
      </c>
      <c r="DP111" s="298">
        <v>1</v>
      </c>
      <c r="DQ111" s="298">
        <v>3</v>
      </c>
      <c r="DR111" s="298">
        <v>1</v>
      </c>
      <c r="DS111" s="298">
        <v>0</v>
      </c>
      <c r="DT111" s="298">
        <v>3</v>
      </c>
      <c r="DU111" s="298">
        <v>1</v>
      </c>
      <c r="DV111" s="303">
        <v>6.53</v>
      </c>
    </row>
    <row r="112" spans="1:126" ht="24.95" customHeight="1" thickBot="1" x14ac:dyDescent="0.3">
      <c r="A112" s="29" t="str">
        <f t="shared" si="176"/>
        <v>111º</v>
      </c>
      <c r="B112" s="69" t="str">
        <f t="shared" si="178"/>
        <v>André Pereira</v>
      </c>
      <c r="C112" s="269" t="str">
        <f t="shared" si="179"/>
        <v>BRA</v>
      </c>
      <c r="D112" s="99" t="str">
        <f t="shared" si="180"/>
        <v>Pé Direito</v>
      </c>
      <c r="E112" s="28" t="str">
        <f t="shared" si="181"/>
        <v>Cabofriense</v>
      </c>
      <c r="F112" s="169">
        <f t="shared" si="182"/>
        <v>28</v>
      </c>
      <c r="G112" s="2" t="str">
        <f t="shared" si="183"/>
        <v>0 €</v>
      </c>
      <c r="H112" s="154">
        <f t="shared" si="184"/>
        <v>1.9</v>
      </c>
      <c r="I112" s="64">
        <f t="shared" si="185"/>
        <v>47118</v>
      </c>
      <c r="J112" s="304" t="str">
        <f t="shared" si="186"/>
        <v>950 € p/m</v>
      </c>
      <c r="K112" s="96">
        <f t="shared" si="177"/>
        <v>3.5222222222222221</v>
      </c>
      <c r="L112" s="146">
        <f t="shared" si="187"/>
        <v>18.244444444444444</v>
      </c>
      <c r="M112" s="6">
        <f t="shared" si="188"/>
        <v>0</v>
      </c>
      <c r="N112" s="5">
        <f t="shared" si="189"/>
        <v>5400</v>
      </c>
      <c r="O112" s="21">
        <f t="shared" si="190"/>
        <v>0</v>
      </c>
      <c r="P112" s="2">
        <f t="shared" si="191"/>
        <v>380</v>
      </c>
      <c r="Q112" s="2">
        <f t="shared" si="192"/>
        <v>202</v>
      </c>
      <c r="R112" s="5">
        <f t="shared" si="193"/>
        <v>11.071863580998782</v>
      </c>
      <c r="S112" s="2">
        <f t="shared" si="194"/>
        <v>178</v>
      </c>
      <c r="T112" s="2">
        <f t="shared" si="195"/>
        <v>24</v>
      </c>
      <c r="U112" s="102">
        <f t="shared" si="196"/>
        <v>0.46842105263157896</v>
      </c>
      <c r="V112" s="102">
        <f t="shared" si="197"/>
        <v>0.53157894736842104</v>
      </c>
      <c r="W112" s="6">
        <f t="shared" si="198"/>
        <v>380</v>
      </c>
      <c r="X112" s="5">
        <f t="shared" si="199"/>
        <v>20.828258221680876</v>
      </c>
      <c r="Y112" s="6">
        <f t="shared" si="200"/>
        <v>0</v>
      </c>
      <c r="Z112" s="5">
        <f t="shared" si="201"/>
        <v>0</v>
      </c>
      <c r="AA112" s="21">
        <f t="shared" si="202"/>
        <v>0</v>
      </c>
      <c r="AB112" s="6">
        <f t="shared" si="203"/>
        <v>0</v>
      </c>
      <c r="AC112" s="5">
        <f t="shared" si="204"/>
        <v>0</v>
      </c>
      <c r="AD112" s="6">
        <f t="shared" si="205"/>
        <v>0</v>
      </c>
      <c r="AE112" s="5">
        <f t="shared" si="206"/>
        <v>0</v>
      </c>
      <c r="AF112" s="21">
        <f t="shared" si="207"/>
        <v>0</v>
      </c>
      <c r="AG112" s="6">
        <f t="shared" si="208"/>
        <v>0</v>
      </c>
      <c r="AH112" s="5">
        <f t="shared" si="209"/>
        <v>0</v>
      </c>
      <c r="AI112" s="21">
        <f t="shared" si="210"/>
        <v>0</v>
      </c>
      <c r="AJ112" s="6">
        <f t="shared" si="211"/>
        <v>0</v>
      </c>
      <c r="AK112" s="5">
        <f t="shared" si="212"/>
        <v>0</v>
      </c>
      <c r="AL112" s="21">
        <f t="shared" si="213"/>
        <v>0</v>
      </c>
      <c r="AM112" s="21">
        <f t="shared" si="214"/>
        <v>0.27405602923264311</v>
      </c>
      <c r="AN112" s="6">
        <f t="shared" si="215"/>
        <v>5</v>
      </c>
      <c r="AO112" s="5">
        <f t="shared" si="216"/>
        <v>0.27405602923264311</v>
      </c>
      <c r="AP112" s="6">
        <f t="shared" si="217"/>
        <v>0</v>
      </c>
      <c r="AQ112" s="5">
        <f t="shared" si="218"/>
        <v>0</v>
      </c>
      <c r="AR112" s="2">
        <f t="shared" si="219"/>
        <v>25</v>
      </c>
      <c r="AS112" s="5">
        <f t="shared" si="220"/>
        <v>1.3702801461632157</v>
      </c>
      <c r="AT112" s="21">
        <f t="shared" si="221"/>
        <v>0</v>
      </c>
      <c r="AU112" s="20">
        <f t="shared" si="222"/>
        <v>0</v>
      </c>
      <c r="AV112" s="20">
        <f t="shared" si="223"/>
        <v>1</v>
      </c>
      <c r="AW112" s="199">
        <f t="shared" si="224"/>
        <v>0</v>
      </c>
      <c r="AX112" s="24">
        <f t="shared" si="225"/>
        <v>65.680000000000007</v>
      </c>
      <c r="AY112" s="5">
        <f t="shared" si="226"/>
        <v>1</v>
      </c>
      <c r="AZ112" s="5">
        <f t="shared" si="227"/>
        <v>1</v>
      </c>
      <c r="BA112" s="5">
        <f t="shared" si="228"/>
        <v>0</v>
      </c>
      <c r="BB112" s="5">
        <f t="shared" si="229"/>
        <v>0</v>
      </c>
      <c r="BC112" s="5">
        <f t="shared" si="230"/>
        <v>0</v>
      </c>
      <c r="BD112" s="5">
        <f t="shared" si="231"/>
        <v>0</v>
      </c>
      <c r="BE112" s="199">
        <f t="shared" si="232"/>
        <v>0</v>
      </c>
      <c r="BF112" s="21">
        <f t="shared" si="233"/>
        <v>0</v>
      </c>
      <c r="BG112" s="6">
        <f t="shared" si="234"/>
        <v>0</v>
      </c>
      <c r="BH112" s="5">
        <f t="shared" si="235"/>
        <v>0</v>
      </c>
      <c r="BI112" s="6">
        <f t="shared" si="236"/>
        <v>0</v>
      </c>
      <c r="BJ112" s="5">
        <f t="shared" si="237"/>
        <v>0</v>
      </c>
      <c r="BK112" s="20">
        <f t="shared" si="238"/>
        <v>-9.9999999999999998E-13</v>
      </c>
      <c r="BL112" s="20">
        <f t="shared" si="239"/>
        <v>1.6857720836142953E-2</v>
      </c>
      <c r="BM112" s="6">
        <f t="shared" si="240"/>
        <v>25</v>
      </c>
      <c r="BN112" s="5">
        <f t="shared" si="241"/>
        <v>1.3702801461632157</v>
      </c>
      <c r="BO112" s="333">
        <f t="shared" si="242"/>
        <v>0</v>
      </c>
      <c r="BP112" s="334">
        <f t="shared" si="243"/>
        <v>0</v>
      </c>
      <c r="BQ112" s="6">
        <f t="shared" si="244"/>
        <v>0</v>
      </c>
      <c r="BR112" s="5">
        <f t="shared" si="245"/>
        <v>0</v>
      </c>
      <c r="BS112" s="6">
        <f t="shared" si="246"/>
        <v>0</v>
      </c>
      <c r="BT112" s="5">
        <f t="shared" si="247"/>
        <v>0</v>
      </c>
      <c r="BU112" s="181">
        <f t="shared" si="248"/>
        <v>0</v>
      </c>
      <c r="BV112" s="154">
        <f t="shared" si="249"/>
        <v>0</v>
      </c>
      <c r="BW112" s="181">
        <f t="shared" si="250"/>
        <v>0</v>
      </c>
      <c r="BX112" s="180">
        <f t="shared" si="251"/>
        <v>0</v>
      </c>
      <c r="BY112" s="181">
        <f t="shared" si="252"/>
        <v>0</v>
      </c>
      <c r="BZ112" s="154">
        <f t="shared" si="253"/>
        <v>0</v>
      </c>
      <c r="CA112" s="182">
        <f t="shared" si="254"/>
        <v>0</v>
      </c>
      <c r="CB112" s="2">
        <f t="shared" si="255"/>
        <v>0</v>
      </c>
      <c r="CC112" s="2">
        <f t="shared" si="256"/>
        <v>0</v>
      </c>
      <c r="CD112" s="2">
        <f t="shared" si="257"/>
        <v>0</v>
      </c>
      <c r="CE112" s="2">
        <f t="shared" si="258"/>
        <v>3</v>
      </c>
      <c r="CF112" s="6">
        <f t="shared" si="259"/>
        <v>0</v>
      </c>
      <c r="CG112" s="6">
        <f t="shared" si="260"/>
        <v>415</v>
      </c>
      <c r="CH112" s="6">
        <f t="shared" si="261"/>
        <v>202</v>
      </c>
      <c r="CI112" s="20">
        <f t="shared" si="262"/>
        <v>0.48674698795180721</v>
      </c>
      <c r="CJ112" s="133">
        <f t="shared" si="263"/>
        <v>2521</v>
      </c>
      <c r="CK112" s="5">
        <f t="shared" si="264"/>
        <v>5.74</v>
      </c>
      <c r="CL112" s="300"/>
      <c r="CM112" s="296" t="s">
        <v>13</v>
      </c>
      <c r="CN112" s="296" t="s">
        <v>1418</v>
      </c>
      <c r="CO112" s="296">
        <v>28</v>
      </c>
      <c r="CP112" s="296" t="s">
        <v>1419</v>
      </c>
      <c r="CQ112" s="296" t="s">
        <v>1131</v>
      </c>
      <c r="CR112" s="296" t="s">
        <v>644</v>
      </c>
      <c r="CS112" s="296" t="s">
        <v>1420</v>
      </c>
      <c r="CT112" s="296" t="s">
        <v>682</v>
      </c>
      <c r="CU112" s="297">
        <v>47118</v>
      </c>
      <c r="CV112" s="296">
        <v>0</v>
      </c>
      <c r="CW112" s="296">
        <v>1642</v>
      </c>
      <c r="CX112" s="296">
        <v>25</v>
      </c>
      <c r="CY112" s="296">
        <v>0</v>
      </c>
      <c r="CZ112" s="296">
        <v>0</v>
      </c>
      <c r="DA112" s="296">
        <v>0</v>
      </c>
      <c r="DB112" s="296">
        <v>0</v>
      </c>
      <c r="DC112" s="296">
        <v>0</v>
      </c>
      <c r="DD112" s="296">
        <v>0</v>
      </c>
      <c r="DE112" s="296">
        <v>5</v>
      </c>
      <c r="DF112" s="296">
        <v>0</v>
      </c>
      <c r="DG112" s="296">
        <v>0</v>
      </c>
      <c r="DH112" s="296">
        <v>0</v>
      </c>
      <c r="DI112" s="296">
        <v>3</v>
      </c>
      <c r="DJ112" s="296">
        <v>0</v>
      </c>
      <c r="DK112" s="296">
        <v>0</v>
      </c>
      <c r="DL112" s="296">
        <v>380</v>
      </c>
      <c r="DM112" s="296">
        <v>202</v>
      </c>
      <c r="DN112" s="296">
        <v>0</v>
      </c>
      <c r="DO112" s="296">
        <v>0</v>
      </c>
      <c r="DP112" s="296">
        <v>0</v>
      </c>
      <c r="DQ112" s="296">
        <v>0</v>
      </c>
      <c r="DR112" s="296">
        <v>0</v>
      </c>
      <c r="DS112" s="296">
        <v>0</v>
      </c>
      <c r="DT112" s="296">
        <v>0</v>
      </c>
      <c r="DU112" s="296">
        <v>0</v>
      </c>
      <c r="DV112" s="301">
        <v>5.74</v>
      </c>
    </row>
    <row r="113" spans="1:126" ht="24.95" customHeight="1" thickBot="1" x14ac:dyDescent="0.3">
      <c r="A113" s="29" t="str">
        <f t="shared" si="176"/>
        <v>112º</v>
      </c>
      <c r="B113" s="69" t="str">
        <f t="shared" si="178"/>
        <v>Guilherme</v>
      </c>
      <c r="C113" s="269" t="str">
        <f t="shared" si="179"/>
        <v>BRA</v>
      </c>
      <c r="D113" s="99" t="str">
        <f t="shared" si="180"/>
        <v>Pé Direito</v>
      </c>
      <c r="E113" s="28" t="str">
        <f t="shared" si="181"/>
        <v>Guarany (SE)</v>
      </c>
      <c r="F113" s="169">
        <f t="shared" si="182"/>
        <v>29</v>
      </c>
      <c r="G113" s="2" t="str">
        <f t="shared" si="183"/>
        <v>0 €</v>
      </c>
      <c r="H113" s="154">
        <f t="shared" si="184"/>
        <v>1.87</v>
      </c>
      <c r="I113" s="64">
        <f t="shared" si="185"/>
        <v>47118</v>
      </c>
      <c r="J113" s="304" t="str">
        <f t="shared" si="186"/>
        <v>500 € p/m</v>
      </c>
      <c r="K113" s="96">
        <f t="shared" si="177"/>
        <v>3.5222222222222221</v>
      </c>
      <c r="L113" s="146">
        <f t="shared" si="187"/>
        <v>23.677777777777777</v>
      </c>
      <c r="M113" s="6">
        <f t="shared" si="188"/>
        <v>0</v>
      </c>
      <c r="N113" s="5">
        <f t="shared" si="189"/>
        <v>5400</v>
      </c>
      <c r="O113" s="21">
        <f t="shared" si="190"/>
        <v>0</v>
      </c>
      <c r="P113" s="2">
        <f t="shared" si="191"/>
        <v>603</v>
      </c>
      <c r="Q113" s="2">
        <f t="shared" si="192"/>
        <v>384</v>
      </c>
      <c r="R113" s="5">
        <f t="shared" si="193"/>
        <v>16.217738151102768</v>
      </c>
      <c r="S113" s="2">
        <f t="shared" si="194"/>
        <v>219</v>
      </c>
      <c r="T113" s="2">
        <f t="shared" si="195"/>
        <v>165</v>
      </c>
      <c r="U113" s="102">
        <f t="shared" si="196"/>
        <v>0.36318407960199006</v>
      </c>
      <c r="V113" s="102">
        <f t="shared" si="197"/>
        <v>0.63681592039800994</v>
      </c>
      <c r="W113" s="6">
        <f t="shared" si="198"/>
        <v>597</v>
      </c>
      <c r="X113" s="5">
        <f t="shared" si="199"/>
        <v>25.213514781792586</v>
      </c>
      <c r="Y113" s="6">
        <f t="shared" si="200"/>
        <v>6</v>
      </c>
      <c r="Z113" s="5">
        <f t="shared" si="201"/>
        <v>0.25340215861098075</v>
      </c>
      <c r="AA113" s="21">
        <f t="shared" si="202"/>
        <v>1.0050251256281407E-2</v>
      </c>
      <c r="AB113" s="6">
        <f t="shared" si="203"/>
        <v>0</v>
      </c>
      <c r="AC113" s="5">
        <f t="shared" si="204"/>
        <v>0</v>
      </c>
      <c r="AD113" s="6">
        <f t="shared" si="205"/>
        <v>0</v>
      </c>
      <c r="AE113" s="5">
        <f t="shared" si="206"/>
        <v>0</v>
      </c>
      <c r="AF113" s="21">
        <f t="shared" si="207"/>
        <v>0</v>
      </c>
      <c r="AG113" s="6">
        <f t="shared" si="208"/>
        <v>0</v>
      </c>
      <c r="AH113" s="5">
        <f t="shared" si="209"/>
        <v>0</v>
      </c>
      <c r="AI113" s="21">
        <f t="shared" si="210"/>
        <v>0</v>
      </c>
      <c r="AJ113" s="6">
        <f t="shared" si="211"/>
        <v>0</v>
      </c>
      <c r="AK113" s="5">
        <f t="shared" si="212"/>
        <v>0</v>
      </c>
      <c r="AL113" s="21">
        <f t="shared" si="213"/>
        <v>0</v>
      </c>
      <c r="AM113" s="21">
        <f t="shared" si="214"/>
        <v>0.25340215861098075</v>
      </c>
      <c r="AN113" s="6">
        <f t="shared" si="215"/>
        <v>6</v>
      </c>
      <c r="AO113" s="5">
        <f t="shared" si="216"/>
        <v>0.25340215861098075</v>
      </c>
      <c r="AP113" s="6">
        <f t="shared" si="217"/>
        <v>0</v>
      </c>
      <c r="AQ113" s="5">
        <f t="shared" si="218"/>
        <v>0</v>
      </c>
      <c r="AR113" s="2">
        <f t="shared" si="219"/>
        <v>23</v>
      </c>
      <c r="AS113" s="5">
        <f t="shared" si="220"/>
        <v>0.9713749413420929</v>
      </c>
      <c r="AT113" s="21">
        <f t="shared" si="221"/>
        <v>0</v>
      </c>
      <c r="AU113" s="20">
        <f t="shared" si="222"/>
        <v>0</v>
      </c>
      <c r="AV113" s="20">
        <f t="shared" si="223"/>
        <v>1</v>
      </c>
      <c r="AW113" s="199">
        <f t="shared" si="224"/>
        <v>0</v>
      </c>
      <c r="AX113" s="24">
        <f t="shared" si="225"/>
        <v>92.652173913043484</v>
      </c>
      <c r="AY113" s="5">
        <f t="shared" si="226"/>
        <v>1</v>
      </c>
      <c r="AZ113" s="5">
        <f t="shared" si="227"/>
        <v>1</v>
      </c>
      <c r="BA113" s="5">
        <f t="shared" si="228"/>
        <v>0</v>
      </c>
      <c r="BB113" s="5">
        <f t="shared" si="229"/>
        <v>0</v>
      </c>
      <c r="BC113" s="5">
        <f t="shared" si="230"/>
        <v>0</v>
      </c>
      <c r="BD113" s="5">
        <f t="shared" si="231"/>
        <v>0</v>
      </c>
      <c r="BE113" s="199">
        <f t="shared" si="232"/>
        <v>0</v>
      </c>
      <c r="BF113" s="21">
        <f t="shared" si="233"/>
        <v>0</v>
      </c>
      <c r="BG113" s="6">
        <f t="shared" si="234"/>
        <v>0</v>
      </c>
      <c r="BH113" s="5">
        <f t="shared" si="235"/>
        <v>0</v>
      </c>
      <c r="BI113" s="6">
        <f t="shared" si="236"/>
        <v>0</v>
      </c>
      <c r="BJ113" s="5">
        <f t="shared" si="237"/>
        <v>0</v>
      </c>
      <c r="BK113" s="20">
        <f t="shared" si="238"/>
        <v>-9.9999999999999998E-13</v>
      </c>
      <c r="BL113" s="20">
        <f t="shared" si="239"/>
        <v>1.5509103169251517E-2</v>
      </c>
      <c r="BM113" s="6">
        <f t="shared" si="240"/>
        <v>23</v>
      </c>
      <c r="BN113" s="5">
        <f t="shared" si="241"/>
        <v>0.9713749413420929</v>
      </c>
      <c r="BO113" s="333">
        <f t="shared" si="242"/>
        <v>0</v>
      </c>
      <c r="BP113" s="334">
        <f t="shared" si="243"/>
        <v>0</v>
      </c>
      <c r="BQ113" s="6">
        <f t="shared" si="244"/>
        <v>9.4711111111111119</v>
      </c>
      <c r="BR113" s="5">
        <f t="shared" si="245"/>
        <v>0.4</v>
      </c>
      <c r="BS113" s="6">
        <f t="shared" si="246"/>
        <v>21.31</v>
      </c>
      <c r="BT113" s="5">
        <f t="shared" si="247"/>
        <v>0.9</v>
      </c>
      <c r="BU113" s="181">
        <f t="shared" si="248"/>
        <v>11</v>
      </c>
      <c r="BV113" s="154">
        <f t="shared" si="249"/>
        <v>0.46457062412013139</v>
      </c>
      <c r="BW113" s="181">
        <f t="shared" si="250"/>
        <v>2</v>
      </c>
      <c r="BX113" s="180">
        <f t="shared" si="251"/>
        <v>8.4467386203660261E-2</v>
      </c>
      <c r="BY113" s="181">
        <f t="shared" si="252"/>
        <v>9</v>
      </c>
      <c r="BZ113" s="154">
        <f t="shared" si="253"/>
        <v>0.38010323791647116</v>
      </c>
      <c r="CA113" s="182">
        <f t="shared" si="254"/>
        <v>0.18181818181818182</v>
      </c>
      <c r="CB113" s="2">
        <f t="shared" si="255"/>
        <v>0</v>
      </c>
      <c r="CC113" s="2">
        <f t="shared" si="256"/>
        <v>0</v>
      </c>
      <c r="CD113" s="2">
        <f t="shared" si="257"/>
        <v>0</v>
      </c>
      <c r="CE113" s="2">
        <f t="shared" si="258"/>
        <v>11</v>
      </c>
      <c r="CF113" s="6">
        <f t="shared" si="259"/>
        <v>1</v>
      </c>
      <c r="CG113" s="6">
        <f t="shared" si="260"/>
        <v>650.197</v>
      </c>
      <c r="CH113" s="6">
        <f t="shared" si="261"/>
        <v>386</v>
      </c>
      <c r="CI113" s="20">
        <f t="shared" si="262"/>
        <v>0.59366622731264529</v>
      </c>
      <c r="CJ113" s="133">
        <f t="shared" si="263"/>
        <v>2521</v>
      </c>
      <c r="CK113" s="5">
        <f t="shared" si="264"/>
        <v>6.3</v>
      </c>
      <c r="CL113" s="302"/>
      <c r="CM113" s="298" t="s">
        <v>13</v>
      </c>
      <c r="CN113" s="298" t="s">
        <v>1421</v>
      </c>
      <c r="CO113" s="298">
        <v>29</v>
      </c>
      <c r="CP113" s="298" t="s">
        <v>1422</v>
      </c>
      <c r="CQ113" s="298" t="s">
        <v>1131</v>
      </c>
      <c r="CR113" s="298" t="s">
        <v>644</v>
      </c>
      <c r="CS113" s="298" t="s">
        <v>760</v>
      </c>
      <c r="CT113" s="298" t="s">
        <v>911</v>
      </c>
      <c r="CU113" s="299">
        <v>47118</v>
      </c>
      <c r="CV113" s="298">
        <v>0</v>
      </c>
      <c r="CW113" s="298">
        <v>2131</v>
      </c>
      <c r="CX113" s="298">
        <v>23</v>
      </c>
      <c r="CY113" s="298">
        <v>0</v>
      </c>
      <c r="CZ113" s="298">
        <v>0</v>
      </c>
      <c r="DA113" s="298">
        <v>0</v>
      </c>
      <c r="DB113" s="298">
        <v>11</v>
      </c>
      <c r="DC113" s="298">
        <v>0.4</v>
      </c>
      <c r="DD113" s="298">
        <v>0.9</v>
      </c>
      <c r="DE113" s="298">
        <v>6</v>
      </c>
      <c r="DF113" s="298">
        <v>0</v>
      </c>
      <c r="DG113" s="298">
        <v>0</v>
      </c>
      <c r="DH113" s="298">
        <v>1</v>
      </c>
      <c r="DI113" s="298">
        <v>11</v>
      </c>
      <c r="DJ113" s="298">
        <v>6</v>
      </c>
      <c r="DK113" s="298">
        <v>0</v>
      </c>
      <c r="DL113" s="298">
        <v>603</v>
      </c>
      <c r="DM113" s="298">
        <v>384</v>
      </c>
      <c r="DN113" s="298">
        <v>0</v>
      </c>
      <c r="DO113" s="298">
        <v>2</v>
      </c>
      <c r="DP113" s="298">
        <v>0</v>
      </c>
      <c r="DQ113" s="298">
        <v>0</v>
      </c>
      <c r="DR113" s="298">
        <v>0</v>
      </c>
      <c r="DS113" s="298">
        <v>0</v>
      </c>
      <c r="DT113" s="298">
        <v>0</v>
      </c>
      <c r="DU113" s="298">
        <v>0</v>
      </c>
      <c r="DV113" s="303">
        <v>6.3</v>
      </c>
    </row>
    <row r="114" spans="1:126" ht="24.95" customHeight="1" thickBot="1" x14ac:dyDescent="0.3">
      <c r="A114" s="29" t="str">
        <f t="shared" si="176"/>
        <v>113º</v>
      </c>
      <c r="B114" s="69" t="str">
        <f t="shared" si="178"/>
        <v>Alexandre Simonato</v>
      </c>
      <c r="C114" s="269" t="str">
        <f t="shared" si="179"/>
        <v>BRA</v>
      </c>
      <c r="D114" s="99" t="str">
        <f t="shared" si="180"/>
        <v>Pé Direito</v>
      </c>
      <c r="E114" s="28" t="str">
        <f t="shared" si="181"/>
        <v>MFC</v>
      </c>
      <c r="F114" s="169">
        <f t="shared" si="182"/>
        <v>18</v>
      </c>
      <c r="G114" s="2" t="str">
        <f t="shared" si="183"/>
        <v>325m € - 3,3M €</v>
      </c>
      <c r="H114" s="154">
        <f t="shared" si="184"/>
        <v>1.83</v>
      </c>
      <c r="I114" s="64">
        <f t="shared" si="185"/>
        <v>47848</v>
      </c>
      <c r="J114" s="304" t="str">
        <f t="shared" si="186"/>
        <v>2m € p/m</v>
      </c>
      <c r="K114" s="96">
        <f t="shared" si="177"/>
        <v>3.5222222222222221</v>
      </c>
      <c r="L114" s="146">
        <f t="shared" si="187"/>
        <v>1</v>
      </c>
      <c r="M114" s="6">
        <f t="shared" si="188"/>
        <v>0</v>
      </c>
      <c r="N114" s="5">
        <f t="shared" si="189"/>
        <v>5400</v>
      </c>
      <c r="O114" s="21">
        <f t="shared" si="190"/>
        <v>0</v>
      </c>
      <c r="P114" s="2">
        <f t="shared" si="191"/>
        <v>27</v>
      </c>
      <c r="Q114" s="2">
        <f t="shared" si="192"/>
        <v>22</v>
      </c>
      <c r="R114" s="5">
        <f t="shared" si="193"/>
        <v>22</v>
      </c>
      <c r="S114" s="2">
        <f t="shared" si="194"/>
        <v>5</v>
      </c>
      <c r="T114" s="2">
        <f t="shared" si="195"/>
        <v>17</v>
      </c>
      <c r="U114" s="102">
        <f t="shared" si="196"/>
        <v>0.18518518518518517</v>
      </c>
      <c r="V114" s="102">
        <f t="shared" si="197"/>
        <v>0.81481481481481477</v>
      </c>
      <c r="W114" s="6">
        <f t="shared" si="198"/>
        <v>27</v>
      </c>
      <c r="X114" s="5">
        <f t="shared" si="199"/>
        <v>27</v>
      </c>
      <c r="Y114" s="6">
        <f t="shared" si="200"/>
        <v>0</v>
      </c>
      <c r="Z114" s="5">
        <f t="shared" si="201"/>
        <v>0</v>
      </c>
      <c r="AA114" s="21">
        <f t="shared" si="202"/>
        <v>0</v>
      </c>
      <c r="AB114" s="6">
        <f t="shared" si="203"/>
        <v>0</v>
      </c>
      <c r="AC114" s="5">
        <f t="shared" si="204"/>
        <v>0</v>
      </c>
      <c r="AD114" s="6">
        <f t="shared" si="205"/>
        <v>1</v>
      </c>
      <c r="AE114" s="5">
        <f t="shared" si="206"/>
        <v>1</v>
      </c>
      <c r="AF114" s="21">
        <f t="shared" si="207"/>
        <v>0.5</v>
      </c>
      <c r="AG114" s="6">
        <f t="shared" si="208"/>
        <v>0</v>
      </c>
      <c r="AH114" s="5">
        <f t="shared" si="209"/>
        <v>0</v>
      </c>
      <c r="AI114" s="21">
        <f t="shared" si="210"/>
        <v>0</v>
      </c>
      <c r="AJ114" s="6">
        <f t="shared" si="211"/>
        <v>1</v>
      </c>
      <c r="AK114" s="5">
        <f t="shared" si="212"/>
        <v>4.5454545454545456E-2</v>
      </c>
      <c r="AL114" s="21">
        <f t="shared" si="213"/>
        <v>0.5</v>
      </c>
      <c r="AM114" s="21">
        <f t="shared" si="214"/>
        <v>1</v>
      </c>
      <c r="AN114" s="6">
        <f t="shared" si="215"/>
        <v>1</v>
      </c>
      <c r="AO114" s="5">
        <f t="shared" si="216"/>
        <v>1</v>
      </c>
      <c r="AP114" s="6">
        <f t="shared" si="217"/>
        <v>2</v>
      </c>
      <c r="AQ114" s="5">
        <f t="shared" si="218"/>
        <v>2</v>
      </c>
      <c r="AR114" s="2">
        <f t="shared" si="219"/>
        <v>2</v>
      </c>
      <c r="AS114" s="5">
        <f t="shared" si="220"/>
        <v>2</v>
      </c>
      <c r="AT114" s="21">
        <f t="shared" si="221"/>
        <v>1</v>
      </c>
      <c r="AU114" s="20">
        <f t="shared" si="222"/>
        <v>1</v>
      </c>
      <c r="AV114" s="20">
        <f t="shared" si="223"/>
        <v>0</v>
      </c>
      <c r="AW114" s="199">
        <f t="shared" si="224"/>
        <v>1.25</v>
      </c>
      <c r="AX114" s="24">
        <f t="shared" si="225"/>
        <v>0</v>
      </c>
      <c r="AY114" s="5">
        <f t="shared" si="226"/>
        <v>0</v>
      </c>
      <c r="AZ114" s="5">
        <f t="shared" si="227"/>
        <v>0</v>
      </c>
      <c r="BA114" s="5">
        <f t="shared" si="228"/>
        <v>0.7</v>
      </c>
      <c r="BB114" s="5">
        <f t="shared" si="229"/>
        <v>0.7</v>
      </c>
      <c r="BC114" s="5">
        <f t="shared" si="230"/>
        <v>0.7</v>
      </c>
      <c r="BD114" s="5">
        <f t="shared" si="231"/>
        <v>0.7</v>
      </c>
      <c r="BE114" s="199">
        <f t="shared" si="232"/>
        <v>0.7</v>
      </c>
      <c r="BF114" s="21">
        <f t="shared" si="233"/>
        <v>1</v>
      </c>
      <c r="BG114" s="6">
        <f t="shared" si="234"/>
        <v>0</v>
      </c>
      <c r="BH114" s="5">
        <f t="shared" si="235"/>
        <v>0</v>
      </c>
      <c r="BI114" s="6">
        <f t="shared" si="236"/>
        <v>0</v>
      </c>
      <c r="BJ114" s="5">
        <f t="shared" si="237"/>
        <v>0</v>
      </c>
      <c r="BK114" s="20">
        <f t="shared" si="238"/>
        <v>-9.9999999999999998E-13</v>
      </c>
      <c r="BL114" s="20">
        <f t="shared" si="239"/>
        <v>0</v>
      </c>
      <c r="BM114" s="6">
        <f t="shared" si="240"/>
        <v>0</v>
      </c>
      <c r="BN114" s="5">
        <f t="shared" si="241"/>
        <v>0</v>
      </c>
      <c r="BO114" s="333">
        <f t="shared" si="242"/>
        <v>0</v>
      </c>
      <c r="BP114" s="334">
        <f t="shared" si="243"/>
        <v>0</v>
      </c>
      <c r="BQ114" s="6">
        <f t="shared" si="244"/>
        <v>3</v>
      </c>
      <c r="BR114" s="5">
        <f t="shared" si="245"/>
        <v>3</v>
      </c>
      <c r="BS114" s="6">
        <f t="shared" si="246"/>
        <v>7</v>
      </c>
      <c r="BT114" s="5">
        <f t="shared" si="247"/>
        <v>7</v>
      </c>
      <c r="BU114" s="181">
        <f t="shared" si="248"/>
        <v>0</v>
      </c>
      <c r="BV114" s="154">
        <f t="shared" si="249"/>
        <v>0</v>
      </c>
      <c r="BW114" s="181">
        <f t="shared" si="250"/>
        <v>0</v>
      </c>
      <c r="BX114" s="180">
        <f t="shared" si="251"/>
        <v>0</v>
      </c>
      <c r="BY114" s="181">
        <f t="shared" si="252"/>
        <v>0</v>
      </c>
      <c r="BZ114" s="154">
        <f t="shared" si="253"/>
        <v>0</v>
      </c>
      <c r="CA114" s="182">
        <f t="shared" si="254"/>
        <v>0</v>
      </c>
      <c r="CB114" s="2">
        <f t="shared" si="255"/>
        <v>0</v>
      </c>
      <c r="CC114" s="2">
        <f t="shared" si="256"/>
        <v>0</v>
      </c>
      <c r="CD114" s="2">
        <f t="shared" si="257"/>
        <v>0</v>
      </c>
      <c r="CE114" s="2">
        <f t="shared" si="258"/>
        <v>1</v>
      </c>
      <c r="CF114" s="6">
        <f t="shared" si="259"/>
        <v>0</v>
      </c>
      <c r="CG114" s="6">
        <f t="shared" si="260"/>
        <v>40.31</v>
      </c>
      <c r="CH114" s="6">
        <f t="shared" si="261"/>
        <v>24</v>
      </c>
      <c r="CI114" s="20">
        <f t="shared" si="262"/>
        <v>0.59538576035723145</v>
      </c>
      <c r="CJ114" s="133">
        <f t="shared" si="263"/>
        <v>2521</v>
      </c>
      <c r="CK114" s="5">
        <f t="shared" si="264"/>
        <v>7.3</v>
      </c>
      <c r="CL114" s="300" t="s">
        <v>1235</v>
      </c>
      <c r="CM114" s="296" t="s">
        <v>13</v>
      </c>
      <c r="CN114" s="296" t="s">
        <v>1423</v>
      </c>
      <c r="CO114" s="296">
        <v>18</v>
      </c>
      <c r="CP114" s="296" t="s">
        <v>1424</v>
      </c>
      <c r="CQ114" s="296" t="s">
        <v>1425</v>
      </c>
      <c r="CR114" s="296" t="s">
        <v>644</v>
      </c>
      <c r="CS114" s="296" t="s">
        <v>693</v>
      </c>
      <c r="CT114" s="296" t="s">
        <v>586</v>
      </c>
      <c r="CU114" s="297">
        <v>47848</v>
      </c>
      <c r="CV114" s="296">
        <v>0</v>
      </c>
      <c r="CW114" s="296">
        <v>90</v>
      </c>
      <c r="CX114" s="296">
        <v>0</v>
      </c>
      <c r="CY114" s="296">
        <v>1</v>
      </c>
      <c r="CZ114" s="296">
        <v>0</v>
      </c>
      <c r="DA114" s="296">
        <v>1</v>
      </c>
      <c r="DB114" s="296">
        <v>0</v>
      </c>
      <c r="DC114" s="296">
        <v>3</v>
      </c>
      <c r="DD114" s="296">
        <v>7</v>
      </c>
      <c r="DE114" s="296">
        <v>1</v>
      </c>
      <c r="DF114" s="296">
        <v>0</v>
      </c>
      <c r="DG114" s="296">
        <v>0</v>
      </c>
      <c r="DH114" s="296">
        <v>0</v>
      </c>
      <c r="DI114" s="296">
        <v>1</v>
      </c>
      <c r="DJ114" s="296">
        <v>0</v>
      </c>
      <c r="DK114" s="296">
        <v>0</v>
      </c>
      <c r="DL114" s="296">
        <v>27</v>
      </c>
      <c r="DM114" s="296">
        <v>22</v>
      </c>
      <c r="DN114" s="296" t="s">
        <v>1426</v>
      </c>
      <c r="DO114" s="296">
        <v>0</v>
      </c>
      <c r="DP114" s="296">
        <v>0</v>
      </c>
      <c r="DQ114" s="296">
        <v>0</v>
      </c>
      <c r="DR114" s="296">
        <v>0</v>
      </c>
      <c r="DS114" s="296">
        <v>0</v>
      </c>
      <c r="DT114" s="296">
        <v>0</v>
      </c>
      <c r="DU114" s="296">
        <v>0</v>
      </c>
      <c r="DV114" s="301">
        <v>7.3</v>
      </c>
    </row>
    <row r="115" spans="1:126" ht="24.95" customHeight="1" thickBot="1" x14ac:dyDescent="0.3">
      <c r="A115" s="29" t="str">
        <f t="shared" si="176"/>
        <v>114º</v>
      </c>
      <c r="B115" s="69" t="str">
        <f t="shared" si="178"/>
        <v>Walter Goyiaz</v>
      </c>
      <c r="C115" s="269" t="str">
        <f t="shared" si="179"/>
        <v>BRA</v>
      </c>
      <c r="D115" s="99" t="str">
        <f t="shared" si="180"/>
        <v>Pé Direito</v>
      </c>
      <c r="E115" s="28" t="str">
        <f t="shared" si="181"/>
        <v>MFC</v>
      </c>
      <c r="F115" s="169">
        <f t="shared" si="182"/>
        <v>18</v>
      </c>
      <c r="G115" s="2" t="str">
        <f t="shared" si="183"/>
        <v>230m € - 2,3M €</v>
      </c>
      <c r="H115" s="154">
        <f t="shared" si="184"/>
        <v>1.86</v>
      </c>
      <c r="I115" s="64">
        <f t="shared" si="185"/>
        <v>47848</v>
      </c>
      <c r="J115" s="304" t="str">
        <f t="shared" si="186"/>
        <v>975 € p/m</v>
      </c>
      <c r="K115" s="96">
        <f t="shared" si="177"/>
        <v>3.5222222222222221</v>
      </c>
      <c r="L115" s="146">
        <f t="shared" si="187"/>
        <v>0</v>
      </c>
      <c r="M115" s="6">
        <f t="shared" si="188"/>
        <v>0</v>
      </c>
      <c r="N115" s="5">
        <f t="shared" si="189"/>
        <v>5400</v>
      </c>
      <c r="O115" s="21">
        <f t="shared" si="190"/>
        <v>0</v>
      </c>
      <c r="P115" s="2">
        <f t="shared" si="191"/>
        <v>0</v>
      </c>
      <c r="Q115" s="2">
        <f t="shared" si="192"/>
        <v>0</v>
      </c>
      <c r="R115" s="5">
        <f t="shared" si="193"/>
        <v>0</v>
      </c>
      <c r="S115" s="2">
        <f t="shared" si="194"/>
        <v>0</v>
      </c>
      <c r="T115" s="2">
        <f t="shared" si="195"/>
        <v>0</v>
      </c>
      <c r="U115" s="102">
        <f t="shared" si="196"/>
        <v>0</v>
      </c>
      <c r="V115" s="102">
        <f t="shared" si="197"/>
        <v>0</v>
      </c>
      <c r="W115" s="6">
        <f t="shared" si="198"/>
        <v>0</v>
      </c>
      <c r="X115" s="5">
        <f t="shared" si="199"/>
        <v>0</v>
      </c>
      <c r="Y115" s="6">
        <f t="shared" si="200"/>
        <v>0</v>
      </c>
      <c r="Z115" s="5" t="e">
        <f t="shared" si="201"/>
        <v>#DIV/0!</v>
      </c>
      <c r="AA115" s="21">
        <f t="shared" si="202"/>
        <v>0</v>
      </c>
      <c r="AB115" s="6">
        <f t="shared" si="203"/>
        <v>0</v>
      </c>
      <c r="AC115" s="5" t="e">
        <f t="shared" si="204"/>
        <v>#DIV/0!</v>
      </c>
      <c r="AD115" s="6">
        <f t="shared" si="205"/>
        <v>0</v>
      </c>
      <c r="AE115" s="5">
        <f t="shared" si="206"/>
        <v>0</v>
      </c>
      <c r="AF115" s="21">
        <f t="shared" si="207"/>
        <v>0</v>
      </c>
      <c r="AG115" s="6">
        <f t="shared" si="208"/>
        <v>0</v>
      </c>
      <c r="AH115" s="5">
        <f t="shared" si="209"/>
        <v>0</v>
      </c>
      <c r="AI115" s="21">
        <f t="shared" si="210"/>
        <v>0</v>
      </c>
      <c r="AJ115" s="6">
        <f t="shared" si="211"/>
        <v>0</v>
      </c>
      <c r="AK115" s="5">
        <f t="shared" si="212"/>
        <v>0</v>
      </c>
      <c r="AL115" s="21">
        <f t="shared" si="213"/>
        <v>0</v>
      </c>
      <c r="AM115" s="21">
        <f t="shared" si="214"/>
        <v>0</v>
      </c>
      <c r="AN115" s="6">
        <f t="shared" si="215"/>
        <v>0</v>
      </c>
      <c r="AO115" s="5">
        <f t="shared" si="216"/>
        <v>0</v>
      </c>
      <c r="AP115" s="6">
        <f t="shared" si="217"/>
        <v>0</v>
      </c>
      <c r="AQ115" s="5">
        <f t="shared" si="218"/>
        <v>0</v>
      </c>
      <c r="AR115" s="2">
        <f t="shared" si="219"/>
        <v>0</v>
      </c>
      <c r="AS115" s="5">
        <f t="shared" si="220"/>
        <v>0</v>
      </c>
      <c r="AT115" s="21">
        <f t="shared" si="221"/>
        <v>0</v>
      </c>
      <c r="AU115" s="20">
        <f t="shared" si="222"/>
        <v>0</v>
      </c>
      <c r="AV115" s="20">
        <f t="shared" si="223"/>
        <v>1</v>
      </c>
      <c r="AW115" s="199">
        <f t="shared" si="224"/>
        <v>0</v>
      </c>
      <c r="AX115" s="24">
        <f t="shared" si="225"/>
        <v>0</v>
      </c>
      <c r="AY115" s="5">
        <f t="shared" si="226"/>
        <v>0</v>
      </c>
      <c r="AZ115" s="5">
        <f t="shared" si="227"/>
        <v>0</v>
      </c>
      <c r="BA115" s="5">
        <f t="shared" si="228"/>
        <v>0</v>
      </c>
      <c r="BB115" s="5">
        <f t="shared" si="229"/>
        <v>0</v>
      </c>
      <c r="BC115" s="5">
        <f t="shared" si="230"/>
        <v>0</v>
      </c>
      <c r="BD115" s="5">
        <f t="shared" si="231"/>
        <v>0</v>
      </c>
      <c r="BE115" s="199">
        <f t="shared" si="232"/>
        <v>0</v>
      </c>
      <c r="BF115" s="21">
        <f t="shared" si="233"/>
        <v>0</v>
      </c>
      <c r="BG115" s="6">
        <f t="shared" si="234"/>
        <v>0</v>
      </c>
      <c r="BH115" s="5" t="e">
        <f t="shared" si="235"/>
        <v>#DIV/0!</v>
      </c>
      <c r="BI115" s="6">
        <f t="shared" si="236"/>
        <v>0</v>
      </c>
      <c r="BJ115" s="5" t="e">
        <f t="shared" si="237"/>
        <v>#DIV/0!</v>
      </c>
      <c r="BK115" s="20">
        <f t="shared" si="238"/>
        <v>-9.9999999999999998E-13</v>
      </c>
      <c r="BL115" s="20">
        <f t="shared" si="239"/>
        <v>0</v>
      </c>
      <c r="BM115" s="6">
        <f t="shared" si="240"/>
        <v>0</v>
      </c>
      <c r="BN115" s="5">
        <f t="shared" si="241"/>
        <v>0</v>
      </c>
      <c r="BO115" s="333">
        <f t="shared" si="242"/>
        <v>0</v>
      </c>
      <c r="BP115" s="334">
        <f t="shared" si="243"/>
        <v>0</v>
      </c>
      <c r="BQ115" s="6">
        <f t="shared" si="244"/>
        <v>0</v>
      </c>
      <c r="BR115" s="5">
        <f t="shared" si="245"/>
        <v>0</v>
      </c>
      <c r="BS115" s="6">
        <f t="shared" si="246"/>
        <v>0</v>
      </c>
      <c r="BT115" s="5">
        <f t="shared" si="247"/>
        <v>0</v>
      </c>
      <c r="BU115" s="181">
        <f t="shared" si="248"/>
        <v>0</v>
      </c>
      <c r="BV115" s="154">
        <f t="shared" si="249"/>
        <v>0</v>
      </c>
      <c r="BW115" s="181">
        <f t="shared" si="250"/>
        <v>0</v>
      </c>
      <c r="BX115" s="180">
        <f t="shared" si="251"/>
        <v>0</v>
      </c>
      <c r="BY115" s="181">
        <f t="shared" si="252"/>
        <v>0</v>
      </c>
      <c r="BZ115" s="154">
        <f t="shared" si="253"/>
        <v>0</v>
      </c>
      <c r="CA115" s="182">
        <f t="shared" si="254"/>
        <v>0</v>
      </c>
      <c r="CB115" s="2">
        <f t="shared" si="255"/>
        <v>0</v>
      </c>
      <c r="CC115" s="2">
        <f t="shared" si="256"/>
        <v>0</v>
      </c>
      <c r="CD115" s="2">
        <f t="shared" si="257"/>
        <v>0</v>
      </c>
      <c r="CE115" s="2">
        <f t="shared" si="258"/>
        <v>0</v>
      </c>
      <c r="CF115" s="6">
        <f t="shared" si="259"/>
        <v>0</v>
      </c>
      <c r="CG115" s="6">
        <f t="shared" si="260"/>
        <v>0</v>
      </c>
      <c r="CH115" s="6">
        <f t="shared" si="261"/>
        <v>0</v>
      </c>
      <c r="CI115" s="20">
        <f t="shared" si="262"/>
        <v>0</v>
      </c>
      <c r="CJ115" s="133">
        <f t="shared" si="263"/>
        <v>2521</v>
      </c>
      <c r="CK115" s="5">
        <f t="shared" si="264"/>
        <v>0</v>
      </c>
      <c r="CL115" s="302" t="s">
        <v>1235</v>
      </c>
      <c r="CM115" s="298" t="s">
        <v>13</v>
      </c>
      <c r="CN115" s="298" t="s">
        <v>1423</v>
      </c>
      <c r="CO115" s="298">
        <v>18</v>
      </c>
      <c r="CP115" s="298" t="s">
        <v>1427</v>
      </c>
      <c r="CQ115" s="298" t="s">
        <v>1428</v>
      </c>
      <c r="CR115" s="298" t="s">
        <v>644</v>
      </c>
      <c r="CS115" s="298" t="s">
        <v>1257</v>
      </c>
      <c r="CT115" s="298" t="s">
        <v>575</v>
      </c>
      <c r="CU115" s="299">
        <v>47848</v>
      </c>
      <c r="CV115" s="298">
        <v>0</v>
      </c>
      <c r="CW115" s="298">
        <v>0</v>
      </c>
      <c r="CX115" s="298">
        <v>0</v>
      </c>
      <c r="CY115" s="298">
        <v>0</v>
      </c>
      <c r="CZ115" s="298">
        <v>0</v>
      </c>
      <c r="DA115" s="298">
        <v>0</v>
      </c>
      <c r="DB115" s="298">
        <v>0</v>
      </c>
      <c r="DC115" s="298">
        <v>0</v>
      </c>
      <c r="DD115" s="298">
        <v>0</v>
      </c>
      <c r="DE115" s="298">
        <v>0</v>
      </c>
      <c r="DF115" s="298">
        <v>0</v>
      </c>
      <c r="DG115" s="298">
        <v>0</v>
      </c>
      <c r="DH115" s="298">
        <v>0</v>
      </c>
      <c r="DI115" s="298">
        <v>0</v>
      </c>
      <c r="DJ115" s="298">
        <v>0</v>
      </c>
      <c r="DK115" s="298">
        <v>0</v>
      </c>
      <c r="DL115" s="298">
        <v>0</v>
      </c>
      <c r="DM115" s="298">
        <v>0</v>
      </c>
      <c r="DN115" s="298">
        <v>0</v>
      </c>
      <c r="DO115" s="298">
        <v>0</v>
      </c>
      <c r="DP115" s="298">
        <v>0</v>
      </c>
      <c r="DQ115" s="298">
        <v>0</v>
      </c>
      <c r="DR115" s="298">
        <v>0</v>
      </c>
      <c r="DS115" s="298">
        <v>0</v>
      </c>
      <c r="DT115" s="298">
        <v>0</v>
      </c>
      <c r="DU115" s="298">
        <v>0</v>
      </c>
      <c r="DV115" s="303" t="s">
        <v>548</v>
      </c>
    </row>
    <row r="116" spans="1:126" ht="24.95" customHeight="1" thickBot="1" x14ac:dyDescent="0.3">
      <c r="A116" s="29" t="str">
        <f t="shared" si="176"/>
        <v>115º</v>
      </c>
      <c r="B116" s="69" t="str">
        <f t="shared" si="178"/>
        <v>Bruno</v>
      </c>
      <c r="C116" s="269" t="str">
        <f t="shared" si="179"/>
        <v>BRA</v>
      </c>
      <c r="D116" s="99" t="str">
        <f t="shared" si="180"/>
        <v>Pé Direito</v>
      </c>
      <c r="E116" s="28" t="str">
        <f t="shared" si="181"/>
        <v>RFC</v>
      </c>
      <c r="F116" s="169">
        <f t="shared" si="182"/>
        <v>18</v>
      </c>
      <c r="G116" s="2" t="str">
        <f t="shared" si="183"/>
        <v>0 €</v>
      </c>
      <c r="H116" s="154">
        <f t="shared" si="184"/>
        <v>1.83</v>
      </c>
      <c r="I116" s="64">
        <f t="shared" si="185"/>
        <v>47118</v>
      </c>
      <c r="J116" s="304" t="str">
        <f t="shared" si="186"/>
        <v>420 € p/m</v>
      </c>
      <c r="K116" s="96">
        <f t="shared" si="177"/>
        <v>3.5222222222222221</v>
      </c>
      <c r="L116" s="146">
        <f t="shared" si="187"/>
        <v>0</v>
      </c>
      <c r="M116" s="6">
        <f t="shared" si="188"/>
        <v>0</v>
      </c>
      <c r="N116" s="5">
        <f t="shared" si="189"/>
        <v>5400</v>
      </c>
      <c r="O116" s="21">
        <f t="shared" si="190"/>
        <v>0</v>
      </c>
      <c r="P116" s="2">
        <f t="shared" si="191"/>
        <v>0</v>
      </c>
      <c r="Q116" s="2">
        <f t="shared" si="192"/>
        <v>0</v>
      </c>
      <c r="R116" s="5">
        <f t="shared" si="193"/>
        <v>0</v>
      </c>
      <c r="S116" s="2">
        <f t="shared" si="194"/>
        <v>0</v>
      </c>
      <c r="T116" s="2">
        <f t="shared" si="195"/>
        <v>0</v>
      </c>
      <c r="U116" s="102">
        <f t="shared" si="196"/>
        <v>0</v>
      </c>
      <c r="V116" s="102">
        <f t="shared" si="197"/>
        <v>0</v>
      </c>
      <c r="W116" s="6">
        <f t="shared" si="198"/>
        <v>0</v>
      </c>
      <c r="X116" s="5">
        <f t="shared" si="199"/>
        <v>0</v>
      </c>
      <c r="Y116" s="6">
        <f t="shared" si="200"/>
        <v>0</v>
      </c>
      <c r="Z116" s="5" t="e">
        <f t="shared" si="201"/>
        <v>#DIV/0!</v>
      </c>
      <c r="AA116" s="21">
        <f t="shared" si="202"/>
        <v>0</v>
      </c>
      <c r="AB116" s="6">
        <f t="shared" si="203"/>
        <v>0</v>
      </c>
      <c r="AC116" s="5" t="e">
        <f t="shared" si="204"/>
        <v>#DIV/0!</v>
      </c>
      <c r="AD116" s="6">
        <f t="shared" si="205"/>
        <v>0</v>
      </c>
      <c r="AE116" s="5">
        <f t="shared" si="206"/>
        <v>0</v>
      </c>
      <c r="AF116" s="21">
        <f t="shared" si="207"/>
        <v>0</v>
      </c>
      <c r="AG116" s="6">
        <f t="shared" si="208"/>
        <v>0</v>
      </c>
      <c r="AH116" s="5">
        <f t="shared" si="209"/>
        <v>0</v>
      </c>
      <c r="AI116" s="21">
        <f t="shared" si="210"/>
        <v>0</v>
      </c>
      <c r="AJ116" s="6">
        <f t="shared" si="211"/>
        <v>0</v>
      </c>
      <c r="AK116" s="5">
        <f t="shared" si="212"/>
        <v>0</v>
      </c>
      <c r="AL116" s="21">
        <f t="shared" si="213"/>
        <v>0</v>
      </c>
      <c r="AM116" s="21">
        <f t="shared" si="214"/>
        <v>0</v>
      </c>
      <c r="AN116" s="6">
        <f t="shared" si="215"/>
        <v>0</v>
      </c>
      <c r="AO116" s="5">
        <f t="shared" si="216"/>
        <v>0</v>
      </c>
      <c r="AP116" s="6">
        <f t="shared" si="217"/>
        <v>0</v>
      </c>
      <c r="AQ116" s="5">
        <f t="shared" si="218"/>
        <v>0</v>
      </c>
      <c r="AR116" s="2">
        <f t="shared" si="219"/>
        <v>0</v>
      </c>
      <c r="AS116" s="5">
        <f t="shared" si="220"/>
        <v>0</v>
      </c>
      <c r="AT116" s="21">
        <f t="shared" si="221"/>
        <v>0</v>
      </c>
      <c r="AU116" s="20">
        <f t="shared" si="222"/>
        <v>0</v>
      </c>
      <c r="AV116" s="20">
        <f t="shared" si="223"/>
        <v>1</v>
      </c>
      <c r="AW116" s="199">
        <f t="shared" si="224"/>
        <v>0</v>
      </c>
      <c r="AX116" s="24">
        <f t="shared" si="225"/>
        <v>0</v>
      </c>
      <c r="AY116" s="5">
        <f t="shared" si="226"/>
        <v>0</v>
      </c>
      <c r="AZ116" s="5">
        <f t="shared" si="227"/>
        <v>0</v>
      </c>
      <c r="BA116" s="5">
        <f t="shared" si="228"/>
        <v>0</v>
      </c>
      <c r="BB116" s="5">
        <f t="shared" si="229"/>
        <v>0</v>
      </c>
      <c r="BC116" s="5">
        <f t="shared" si="230"/>
        <v>0</v>
      </c>
      <c r="BD116" s="5">
        <f t="shared" si="231"/>
        <v>0</v>
      </c>
      <c r="BE116" s="199">
        <f t="shared" si="232"/>
        <v>0</v>
      </c>
      <c r="BF116" s="21">
        <f t="shared" si="233"/>
        <v>0</v>
      </c>
      <c r="BG116" s="6">
        <f t="shared" si="234"/>
        <v>0</v>
      </c>
      <c r="BH116" s="5" t="e">
        <f t="shared" si="235"/>
        <v>#DIV/0!</v>
      </c>
      <c r="BI116" s="6">
        <f t="shared" si="236"/>
        <v>0</v>
      </c>
      <c r="BJ116" s="5" t="e">
        <f t="shared" si="237"/>
        <v>#DIV/0!</v>
      </c>
      <c r="BK116" s="20">
        <f t="shared" si="238"/>
        <v>-9.9999999999999998E-13</v>
      </c>
      <c r="BL116" s="20">
        <f t="shared" si="239"/>
        <v>0</v>
      </c>
      <c r="BM116" s="6">
        <f t="shared" si="240"/>
        <v>0</v>
      </c>
      <c r="BN116" s="5">
        <f t="shared" si="241"/>
        <v>0</v>
      </c>
      <c r="BO116" s="333">
        <f t="shared" si="242"/>
        <v>0</v>
      </c>
      <c r="BP116" s="334">
        <f t="shared" si="243"/>
        <v>0</v>
      </c>
      <c r="BQ116" s="6">
        <f t="shared" si="244"/>
        <v>0</v>
      </c>
      <c r="BR116" s="5">
        <f t="shared" si="245"/>
        <v>0</v>
      </c>
      <c r="BS116" s="6">
        <f t="shared" si="246"/>
        <v>0</v>
      </c>
      <c r="BT116" s="5">
        <f t="shared" si="247"/>
        <v>0</v>
      </c>
      <c r="BU116" s="181">
        <f t="shared" si="248"/>
        <v>0</v>
      </c>
      <c r="BV116" s="154">
        <f t="shared" si="249"/>
        <v>0</v>
      </c>
      <c r="BW116" s="181">
        <f t="shared" si="250"/>
        <v>0</v>
      </c>
      <c r="BX116" s="180">
        <f t="shared" si="251"/>
        <v>0</v>
      </c>
      <c r="BY116" s="181">
        <f t="shared" si="252"/>
        <v>0</v>
      </c>
      <c r="BZ116" s="154">
        <f t="shared" si="253"/>
        <v>0</v>
      </c>
      <c r="CA116" s="182">
        <f t="shared" si="254"/>
        <v>0</v>
      </c>
      <c r="CB116" s="2">
        <f t="shared" si="255"/>
        <v>0</v>
      </c>
      <c r="CC116" s="2">
        <f t="shared" si="256"/>
        <v>0</v>
      </c>
      <c r="CD116" s="2">
        <f t="shared" si="257"/>
        <v>0</v>
      </c>
      <c r="CE116" s="2">
        <f t="shared" si="258"/>
        <v>0</v>
      </c>
      <c r="CF116" s="6">
        <f t="shared" si="259"/>
        <v>0</v>
      </c>
      <c r="CG116" s="6">
        <f t="shared" si="260"/>
        <v>0</v>
      </c>
      <c r="CH116" s="6">
        <f t="shared" si="261"/>
        <v>0</v>
      </c>
      <c r="CI116" s="20">
        <f t="shared" si="262"/>
        <v>0</v>
      </c>
      <c r="CJ116" s="133">
        <f t="shared" si="263"/>
        <v>2521</v>
      </c>
      <c r="CK116" s="5">
        <f t="shared" si="264"/>
        <v>0</v>
      </c>
      <c r="CL116" s="300" t="s">
        <v>19</v>
      </c>
      <c r="CM116" s="296" t="s">
        <v>13</v>
      </c>
      <c r="CN116" s="296" t="s">
        <v>1361</v>
      </c>
      <c r="CO116" s="296">
        <v>18</v>
      </c>
      <c r="CP116" s="296" t="s">
        <v>1429</v>
      </c>
      <c r="CQ116" s="296" t="s">
        <v>1131</v>
      </c>
      <c r="CR116" s="296" t="s">
        <v>644</v>
      </c>
      <c r="CS116" s="296" t="s">
        <v>1430</v>
      </c>
      <c r="CT116" s="296" t="s">
        <v>586</v>
      </c>
      <c r="CU116" s="297">
        <v>47118</v>
      </c>
      <c r="CV116" s="296">
        <v>0</v>
      </c>
      <c r="CW116" s="296">
        <v>0</v>
      </c>
      <c r="CX116" s="296">
        <v>0</v>
      </c>
      <c r="CY116" s="296">
        <v>0</v>
      </c>
      <c r="CZ116" s="296">
        <v>0</v>
      </c>
      <c r="DA116" s="296">
        <v>0</v>
      </c>
      <c r="DB116" s="296">
        <v>0</v>
      </c>
      <c r="DC116" s="296">
        <v>0</v>
      </c>
      <c r="DD116" s="296">
        <v>0</v>
      </c>
      <c r="DE116" s="296">
        <v>0</v>
      </c>
      <c r="DF116" s="296">
        <v>0</v>
      </c>
      <c r="DG116" s="296">
        <v>0</v>
      </c>
      <c r="DH116" s="296">
        <v>0</v>
      </c>
      <c r="DI116" s="296">
        <v>0</v>
      </c>
      <c r="DJ116" s="296">
        <v>0</v>
      </c>
      <c r="DK116" s="296">
        <v>0</v>
      </c>
      <c r="DL116" s="296">
        <v>0</v>
      </c>
      <c r="DM116" s="296">
        <v>0</v>
      </c>
      <c r="DN116" s="296">
        <v>0</v>
      </c>
      <c r="DO116" s="296">
        <v>0</v>
      </c>
      <c r="DP116" s="296">
        <v>0</v>
      </c>
      <c r="DQ116" s="296">
        <v>0</v>
      </c>
      <c r="DR116" s="296">
        <v>0</v>
      </c>
      <c r="DS116" s="296">
        <v>0</v>
      </c>
      <c r="DT116" s="296">
        <v>0</v>
      </c>
      <c r="DU116" s="296">
        <v>0</v>
      </c>
      <c r="DV116" s="301" t="s">
        <v>548</v>
      </c>
    </row>
    <row r="117" spans="1:126" ht="24.95" customHeight="1" thickBot="1" x14ac:dyDescent="0.3">
      <c r="A117" s="29" t="str">
        <f t="shared" si="176"/>
        <v>116º</v>
      </c>
      <c r="B117" s="69" t="str">
        <f t="shared" si="178"/>
        <v>Batata</v>
      </c>
      <c r="C117" s="269" t="str">
        <f t="shared" si="179"/>
        <v>BRA</v>
      </c>
      <c r="D117" s="99" t="str">
        <f t="shared" si="180"/>
        <v>Pé Direito</v>
      </c>
      <c r="E117" s="28" t="str">
        <f t="shared" si="181"/>
        <v>RFC</v>
      </c>
      <c r="F117" s="169">
        <f t="shared" si="182"/>
        <v>17</v>
      </c>
      <c r="G117" s="2" t="str">
        <f t="shared" si="183"/>
        <v>0 €</v>
      </c>
      <c r="H117" s="154">
        <f t="shared" si="184"/>
        <v>1.8</v>
      </c>
      <c r="I117" s="64">
        <f t="shared" si="185"/>
        <v>47118</v>
      </c>
      <c r="J117" s="304" t="str">
        <f t="shared" si="186"/>
        <v>180 € p/m</v>
      </c>
      <c r="K117" s="96">
        <f t="shared" si="177"/>
        <v>3.5222222222222221</v>
      </c>
      <c r="L117" s="146">
        <f t="shared" si="187"/>
        <v>0</v>
      </c>
      <c r="M117" s="6">
        <f t="shared" si="188"/>
        <v>0</v>
      </c>
      <c r="N117" s="5">
        <f t="shared" si="189"/>
        <v>5400</v>
      </c>
      <c r="O117" s="21">
        <f t="shared" si="190"/>
        <v>0</v>
      </c>
      <c r="P117" s="2">
        <f t="shared" si="191"/>
        <v>0</v>
      </c>
      <c r="Q117" s="2">
        <f t="shared" si="192"/>
        <v>0</v>
      </c>
      <c r="R117" s="5">
        <f t="shared" si="193"/>
        <v>0</v>
      </c>
      <c r="S117" s="2">
        <f t="shared" si="194"/>
        <v>0</v>
      </c>
      <c r="T117" s="2">
        <f t="shared" si="195"/>
        <v>0</v>
      </c>
      <c r="U117" s="102">
        <f t="shared" si="196"/>
        <v>0</v>
      </c>
      <c r="V117" s="102">
        <f t="shared" si="197"/>
        <v>0</v>
      </c>
      <c r="W117" s="6">
        <f t="shared" si="198"/>
        <v>0</v>
      </c>
      <c r="X117" s="5">
        <f t="shared" si="199"/>
        <v>0</v>
      </c>
      <c r="Y117" s="6">
        <f t="shared" si="200"/>
        <v>0</v>
      </c>
      <c r="Z117" s="5" t="e">
        <f t="shared" si="201"/>
        <v>#DIV/0!</v>
      </c>
      <c r="AA117" s="21">
        <f t="shared" si="202"/>
        <v>0</v>
      </c>
      <c r="AB117" s="6">
        <f t="shared" si="203"/>
        <v>0</v>
      </c>
      <c r="AC117" s="5" t="e">
        <f t="shared" si="204"/>
        <v>#DIV/0!</v>
      </c>
      <c r="AD117" s="6">
        <f t="shared" si="205"/>
        <v>0</v>
      </c>
      <c r="AE117" s="5">
        <f t="shared" si="206"/>
        <v>0</v>
      </c>
      <c r="AF117" s="21">
        <f t="shared" si="207"/>
        <v>0</v>
      </c>
      <c r="AG117" s="6">
        <f t="shared" si="208"/>
        <v>0</v>
      </c>
      <c r="AH117" s="5">
        <f t="shared" si="209"/>
        <v>0</v>
      </c>
      <c r="AI117" s="21">
        <f t="shared" si="210"/>
        <v>0</v>
      </c>
      <c r="AJ117" s="6">
        <f t="shared" si="211"/>
        <v>0</v>
      </c>
      <c r="AK117" s="5">
        <f t="shared" si="212"/>
        <v>0</v>
      </c>
      <c r="AL117" s="21">
        <f t="shared" si="213"/>
        <v>0</v>
      </c>
      <c r="AM117" s="21">
        <f t="shared" si="214"/>
        <v>0</v>
      </c>
      <c r="AN117" s="6">
        <f t="shared" si="215"/>
        <v>0</v>
      </c>
      <c r="AO117" s="5">
        <f t="shared" si="216"/>
        <v>0</v>
      </c>
      <c r="AP117" s="6">
        <f t="shared" si="217"/>
        <v>0</v>
      </c>
      <c r="AQ117" s="5">
        <f t="shared" si="218"/>
        <v>0</v>
      </c>
      <c r="AR117" s="2">
        <f t="shared" si="219"/>
        <v>0</v>
      </c>
      <c r="AS117" s="5">
        <f t="shared" si="220"/>
        <v>0</v>
      </c>
      <c r="AT117" s="21">
        <f t="shared" si="221"/>
        <v>0</v>
      </c>
      <c r="AU117" s="20">
        <f t="shared" si="222"/>
        <v>0</v>
      </c>
      <c r="AV117" s="20">
        <f t="shared" si="223"/>
        <v>1</v>
      </c>
      <c r="AW117" s="199">
        <f t="shared" si="224"/>
        <v>0</v>
      </c>
      <c r="AX117" s="24">
        <f t="shared" si="225"/>
        <v>0</v>
      </c>
      <c r="AY117" s="5">
        <f t="shared" si="226"/>
        <v>0</v>
      </c>
      <c r="AZ117" s="5">
        <f t="shared" si="227"/>
        <v>0</v>
      </c>
      <c r="BA117" s="5">
        <f t="shared" si="228"/>
        <v>0</v>
      </c>
      <c r="BB117" s="5">
        <f t="shared" si="229"/>
        <v>0</v>
      </c>
      <c r="BC117" s="5">
        <f t="shared" si="230"/>
        <v>0</v>
      </c>
      <c r="BD117" s="5">
        <f t="shared" si="231"/>
        <v>0</v>
      </c>
      <c r="BE117" s="199">
        <f t="shared" si="232"/>
        <v>0</v>
      </c>
      <c r="BF117" s="21">
        <f t="shared" si="233"/>
        <v>0</v>
      </c>
      <c r="BG117" s="6">
        <f t="shared" si="234"/>
        <v>0</v>
      </c>
      <c r="BH117" s="5" t="e">
        <f t="shared" si="235"/>
        <v>#DIV/0!</v>
      </c>
      <c r="BI117" s="6">
        <f t="shared" si="236"/>
        <v>0</v>
      </c>
      <c r="BJ117" s="5" t="e">
        <f t="shared" si="237"/>
        <v>#DIV/0!</v>
      </c>
      <c r="BK117" s="20">
        <f t="shared" si="238"/>
        <v>-9.9999999999999998E-13</v>
      </c>
      <c r="BL117" s="20">
        <f t="shared" si="239"/>
        <v>0</v>
      </c>
      <c r="BM117" s="6">
        <f t="shared" si="240"/>
        <v>0</v>
      </c>
      <c r="BN117" s="5">
        <f t="shared" si="241"/>
        <v>0</v>
      </c>
      <c r="BO117" s="333">
        <f t="shared" si="242"/>
        <v>0</v>
      </c>
      <c r="BP117" s="334">
        <f t="shared" si="243"/>
        <v>0</v>
      </c>
      <c r="BQ117" s="6">
        <f t="shared" si="244"/>
        <v>0</v>
      </c>
      <c r="BR117" s="5">
        <f t="shared" si="245"/>
        <v>0</v>
      </c>
      <c r="BS117" s="6">
        <f t="shared" si="246"/>
        <v>0</v>
      </c>
      <c r="BT117" s="5">
        <f t="shared" si="247"/>
        <v>0</v>
      </c>
      <c r="BU117" s="181">
        <f t="shared" si="248"/>
        <v>0</v>
      </c>
      <c r="BV117" s="154">
        <f t="shared" si="249"/>
        <v>0</v>
      </c>
      <c r="BW117" s="181">
        <f t="shared" si="250"/>
        <v>0</v>
      </c>
      <c r="BX117" s="180">
        <f t="shared" si="251"/>
        <v>0</v>
      </c>
      <c r="BY117" s="181">
        <f t="shared" si="252"/>
        <v>0</v>
      </c>
      <c r="BZ117" s="154">
        <f t="shared" si="253"/>
        <v>0</v>
      </c>
      <c r="CA117" s="182">
        <f t="shared" si="254"/>
        <v>0</v>
      </c>
      <c r="CB117" s="2">
        <f t="shared" si="255"/>
        <v>0</v>
      </c>
      <c r="CC117" s="2">
        <f t="shared" si="256"/>
        <v>0</v>
      </c>
      <c r="CD117" s="2">
        <f t="shared" si="257"/>
        <v>0</v>
      </c>
      <c r="CE117" s="2">
        <f t="shared" si="258"/>
        <v>0</v>
      </c>
      <c r="CF117" s="6">
        <f t="shared" si="259"/>
        <v>0</v>
      </c>
      <c r="CG117" s="6">
        <f t="shared" si="260"/>
        <v>0</v>
      </c>
      <c r="CH117" s="6">
        <f t="shared" si="261"/>
        <v>0</v>
      </c>
      <c r="CI117" s="20">
        <f t="shared" si="262"/>
        <v>0</v>
      </c>
      <c r="CJ117" s="133">
        <f t="shared" si="263"/>
        <v>2521</v>
      </c>
      <c r="CK117" s="5">
        <f t="shared" si="264"/>
        <v>0</v>
      </c>
      <c r="CL117" s="302" t="s">
        <v>1235</v>
      </c>
      <c r="CM117" s="298" t="s">
        <v>13</v>
      </c>
      <c r="CN117" s="298" t="s">
        <v>1361</v>
      </c>
      <c r="CO117" s="298">
        <v>17</v>
      </c>
      <c r="CP117" s="298" t="s">
        <v>1431</v>
      </c>
      <c r="CQ117" s="298" t="s">
        <v>1131</v>
      </c>
      <c r="CR117" s="298" t="s">
        <v>644</v>
      </c>
      <c r="CS117" s="298" t="s">
        <v>1432</v>
      </c>
      <c r="CT117" s="298" t="s">
        <v>589</v>
      </c>
      <c r="CU117" s="299">
        <v>47118</v>
      </c>
      <c r="CV117" s="298">
        <v>0</v>
      </c>
      <c r="CW117" s="298">
        <v>0</v>
      </c>
      <c r="CX117" s="298">
        <v>0</v>
      </c>
      <c r="CY117" s="298">
        <v>0</v>
      </c>
      <c r="CZ117" s="298">
        <v>0</v>
      </c>
      <c r="DA117" s="298">
        <v>0</v>
      </c>
      <c r="DB117" s="298">
        <v>0</v>
      </c>
      <c r="DC117" s="298">
        <v>0</v>
      </c>
      <c r="DD117" s="298">
        <v>0</v>
      </c>
      <c r="DE117" s="298">
        <v>0</v>
      </c>
      <c r="DF117" s="298">
        <v>0</v>
      </c>
      <c r="DG117" s="298">
        <v>0</v>
      </c>
      <c r="DH117" s="298">
        <v>0</v>
      </c>
      <c r="DI117" s="298">
        <v>0</v>
      </c>
      <c r="DJ117" s="298">
        <v>0</v>
      </c>
      <c r="DK117" s="298">
        <v>0</v>
      </c>
      <c r="DL117" s="298">
        <v>0</v>
      </c>
      <c r="DM117" s="298">
        <v>0</v>
      </c>
      <c r="DN117" s="298">
        <v>0</v>
      </c>
      <c r="DO117" s="298">
        <v>0</v>
      </c>
      <c r="DP117" s="298">
        <v>0</v>
      </c>
      <c r="DQ117" s="298">
        <v>0</v>
      </c>
      <c r="DR117" s="298">
        <v>0</v>
      </c>
      <c r="DS117" s="298">
        <v>0</v>
      </c>
      <c r="DT117" s="298">
        <v>0</v>
      </c>
      <c r="DU117" s="298">
        <v>0</v>
      </c>
      <c r="DV117" s="303" t="s">
        <v>548</v>
      </c>
    </row>
    <row r="118" spans="1:126" ht="24.95" customHeight="1" thickBot="1" x14ac:dyDescent="0.3">
      <c r="A118" s="29" t="str">
        <f t="shared" si="176"/>
        <v>117º</v>
      </c>
      <c r="B118" s="69" t="str">
        <f t="shared" si="178"/>
        <v>Ronaldo Bentes</v>
      </c>
      <c r="C118" s="269" t="str">
        <f t="shared" si="179"/>
        <v>BRA</v>
      </c>
      <c r="D118" s="99" t="str">
        <f t="shared" si="180"/>
        <v>Pé Direito</v>
      </c>
      <c r="E118" s="28" t="str">
        <f t="shared" si="181"/>
        <v>AMG</v>
      </c>
      <c r="F118" s="169">
        <f t="shared" si="182"/>
        <v>17</v>
      </c>
      <c r="G118" s="2" t="str">
        <f t="shared" si="183"/>
        <v>18m € - 190m €</v>
      </c>
      <c r="H118" s="154">
        <f t="shared" si="184"/>
        <v>1.85</v>
      </c>
      <c r="I118" s="64">
        <f t="shared" si="185"/>
        <v>47848</v>
      </c>
      <c r="J118" s="304" t="str">
        <f t="shared" si="186"/>
        <v>180 € p/m</v>
      </c>
      <c r="K118" s="96">
        <f t="shared" si="177"/>
        <v>3.5222222222222221</v>
      </c>
      <c r="L118" s="146">
        <f t="shared" si="187"/>
        <v>0</v>
      </c>
      <c r="M118" s="6">
        <f t="shared" si="188"/>
        <v>0</v>
      </c>
      <c r="N118" s="5">
        <f t="shared" si="189"/>
        <v>5400</v>
      </c>
      <c r="O118" s="21">
        <f t="shared" si="190"/>
        <v>0</v>
      </c>
      <c r="P118" s="2">
        <f t="shared" si="191"/>
        <v>0</v>
      </c>
      <c r="Q118" s="2">
        <f t="shared" si="192"/>
        <v>0</v>
      </c>
      <c r="R118" s="5">
        <f t="shared" si="193"/>
        <v>0</v>
      </c>
      <c r="S118" s="2">
        <f t="shared" si="194"/>
        <v>0</v>
      </c>
      <c r="T118" s="2">
        <f t="shared" si="195"/>
        <v>0</v>
      </c>
      <c r="U118" s="102">
        <f t="shared" si="196"/>
        <v>0</v>
      </c>
      <c r="V118" s="102">
        <f t="shared" si="197"/>
        <v>0</v>
      </c>
      <c r="W118" s="6">
        <f t="shared" si="198"/>
        <v>0</v>
      </c>
      <c r="X118" s="5">
        <f t="shared" si="199"/>
        <v>0</v>
      </c>
      <c r="Y118" s="6">
        <f t="shared" si="200"/>
        <v>0</v>
      </c>
      <c r="Z118" s="5" t="e">
        <f t="shared" si="201"/>
        <v>#DIV/0!</v>
      </c>
      <c r="AA118" s="21">
        <f t="shared" si="202"/>
        <v>0</v>
      </c>
      <c r="AB118" s="6">
        <f t="shared" si="203"/>
        <v>0</v>
      </c>
      <c r="AC118" s="5" t="e">
        <f t="shared" si="204"/>
        <v>#DIV/0!</v>
      </c>
      <c r="AD118" s="6">
        <f t="shared" si="205"/>
        <v>0</v>
      </c>
      <c r="AE118" s="5">
        <f t="shared" si="206"/>
        <v>0</v>
      </c>
      <c r="AF118" s="21">
        <f t="shared" si="207"/>
        <v>0</v>
      </c>
      <c r="AG118" s="6">
        <f t="shared" si="208"/>
        <v>0</v>
      </c>
      <c r="AH118" s="5">
        <f t="shared" si="209"/>
        <v>0</v>
      </c>
      <c r="AI118" s="21">
        <f t="shared" si="210"/>
        <v>0</v>
      </c>
      <c r="AJ118" s="6">
        <f t="shared" si="211"/>
        <v>0</v>
      </c>
      <c r="AK118" s="5">
        <f t="shared" si="212"/>
        <v>0</v>
      </c>
      <c r="AL118" s="21">
        <f t="shared" si="213"/>
        <v>0</v>
      </c>
      <c r="AM118" s="21">
        <f t="shared" si="214"/>
        <v>0</v>
      </c>
      <c r="AN118" s="6">
        <f t="shared" si="215"/>
        <v>0</v>
      </c>
      <c r="AO118" s="5">
        <f t="shared" si="216"/>
        <v>0</v>
      </c>
      <c r="AP118" s="6">
        <f t="shared" si="217"/>
        <v>0</v>
      </c>
      <c r="AQ118" s="5">
        <f t="shared" si="218"/>
        <v>0</v>
      </c>
      <c r="AR118" s="2">
        <f t="shared" si="219"/>
        <v>0</v>
      </c>
      <c r="AS118" s="5">
        <f t="shared" si="220"/>
        <v>0</v>
      </c>
      <c r="AT118" s="21">
        <f t="shared" si="221"/>
        <v>0</v>
      </c>
      <c r="AU118" s="20">
        <f t="shared" si="222"/>
        <v>0</v>
      </c>
      <c r="AV118" s="20">
        <f t="shared" si="223"/>
        <v>1</v>
      </c>
      <c r="AW118" s="199">
        <f t="shared" si="224"/>
        <v>0</v>
      </c>
      <c r="AX118" s="24">
        <f t="shared" si="225"/>
        <v>0</v>
      </c>
      <c r="AY118" s="5">
        <f t="shared" si="226"/>
        <v>0</v>
      </c>
      <c r="AZ118" s="5">
        <f t="shared" si="227"/>
        <v>0</v>
      </c>
      <c r="BA118" s="5">
        <f t="shared" si="228"/>
        <v>0</v>
      </c>
      <c r="BB118" s="5">
        <f t="shared" si="229"/>
        <v>0</v>
      </c>
      <c r="BC118" s="5">
        <f t="shared" si="230"/>
        <v>0</v>
      </c>
      <c r="BD118" s="5">
        <f t="shared" si="231"/>
        <v>0</v>
      </c>
      <c r="BE118" s="199">
        <f t="shared" si="232"/>
        <v>0</v>
      </c>
      <c r="BF118" s="21">
        <f t="shared" si="233"/>
        <v>0</v>
      </c>
      <c r="BG118" s="6">
        <f t="shared" si="234"/>
        <v>0</v>
      </c>
      <c r="BH118" s="5" t="e">
        <f t="shared" si="235"/>
        <v>#DIV/0!</v>
      </c>
      <c r="BI118" s="6">
        <f t="shared" si="236"/>
        <v>0</v>
      </c>
      <c r="BJ118" s="5" t="e">
        <f t="shared" si="237"/>
        <v>#DIV/0!</v>
      </c>
      <c r="BK118" s="20">
        <f t="shared" si="238"/>
        <v>-9.9999999999999998E-13</v>
      </c>
      <c r="BL118" s="20">
        <f t="shared" si="239"/>
        <v>0</v>
      </c>
      <c r="BM118" s="6">
        <f t="shared" si="240"/>
        <v>0</v>
      </c>
      <c r="BN118" s="5">
        <f t="shared" si="241"/>
        <v>0</v>
      </c>
      <c r="BO118" s="333">
        <f t="shared" si="242"/>
        <v>0</v>
      </c>
      <c r="BP118" s="334">
        <f t="shared" si="243"/>
        <v>0</v>
      </c>
      <c r="BQ118" s="6">
        <f t="shared" si="244"/>
        <v>0</v>
      </c>
      <c r="BR118" s="5">
        <f t="shared" si="245"/>
        <v>0</v>
      </c>
      <c r="BS118" s="6">
        <f t="shared" si="246"/>
        <v>0</v>
      </c>
      <c r="BT118" s="5">
        <f t="shared" si="247"/>
        <v>0</v>
      </c>
      <c r="BU118" s="181">
        <f t="shared" si="248"/>
        <v>0</v>
      </c>
      <c r="BV118" s="154">
        <f t="shared" si="249"/>
        <v>0</v>
      </c>
      <c r="BW118" s="181">
        <f t="shared" si="250"/>
        <v>0</v>
      </c>
      <c r="BX118" s="180">
        <f t="shared" si="251"/>
        <v>0</v>
      </c>
      <c r="BY118" s="181">
        <f t="shared" si="252"/>
        <v>0</v>
      </c>
      <c r="BZ118" s="154">
        <f t="shared" si="253"/>
        <v>0</v>
      </c>
      <c r="CA118" s="182">
        <f t="shared" si="254"/>
        <v>0</v>
      </c>
      <c r="CB118" s="2">
        <f t="shared" si="255"/>
        <v>0</v>
      </c>
      <c r="CC118" s="2">
        <f t="shared" si="256"/>
        <v>0</v>
      </c>
      <c r="CD118" s="2">
        <f t="shared" si="257"/>
        <v>0</v>
      </c>
      <c r="CE118" s="2">
        <f t="shared" si="258"/>
        <v>0</v>
      </c>
      <c r="CF118" s="6">
        <f t="shared" si="259"/>
        <v>0</v>
      </c>
      <c r="CG118" s="6">
        <f t="shared" si="260"/>
        <v>0</v>
      </c>
      <c r="CH118" s="6">
        <f t="shared" si="261"/>
        <v>0</v>
      </c>
      <c r="CI118" s="20">
        <f t="shared" si="262"/>
        <v>0</v>
      </c>
      <c r="CJ118" s="133">
        <f t="shared" si="263"/>
        <v>2521</v>
      </c>
      <c r="CK118" s="5">
        <f t="shared" si="264"/>
        <v>0</v>
      </c>
      <c r="CL118" s="300" t="s">
        <v>1235</v>
      </c>
      <c r="CM118" s="296" t="s">
        <v>13</v>
      </c>
      <c r="CN118" s="296" t="s">
        <v>1254</v>
      </c>
      <c r="CO118" s="296">
        <v>17</v>
      </c>
      <c r="CP118" s="296" t="s">
        <v>1433</v>
      </c>
      <c r="CQ118" s="296" t="s">
        <v>1434</v>
      </c>
      <c r="CR118" s="296" t="s">
        <v>644</v>
      </c>
      <c r="CS118" s="296" t="s">
        <v>1432</v>
      </c>
      <c r="CT118" s="296" t="s">
        <v>587</v>
      </c>
      <c r="CU118" s="297">
        <v>47848</v>
      </c>
      <c r="CV118" s="296">
        <v>0</v>
      </c>
      <c r="CW118" s="296">
        <v>0</v>
      </c>
      <c r="CX118" s="296">
        <v>0</v>
      </c>
      <c r="CY118" s="296">
        <v>0</v>
      </c>
      <c r="CZ118" s="296">
        <v>0</v>
      </c>
      <c r="DA118" s="296">
        <v>0</v>
      </c>
      <c r="DB118" s="296">
        <v>0</v>
      </c>
      <c r="DC118" s="296">
        <v>0</v>
      </c>
      <c r="DD118" s="296">
        <v>0</v>
      </c>
      <c r="DE118" s="296">
        <v>0</v>
      </c>
      <c r="DF118" s="296">
        <v>0</v>
      </c>
      <c r="DG118" s="296">
        <v>0</v>
      </c>
      <c r="DH118" s="296">
        <v>0</v>
      </c>
      <c r="DI118" s="296">
        <v>0</v>
      </c>
      <c r="DJ118" s="296">
        <v>0</v>
      </c>
      <c r="DK118" s="296">
        <v>0</v>
      </c>
      <c r="DL118" s="296">
        <v>0</v>
      </c>
      <c r="DM118" s="296">
        <v>0</v>
      </c>
      <c r="DN118" s="296">
        <v>0</v>
      </c>
      <c r="DO118" s="296">
        <v>0</v>
      </c>
      <c r="DP118" s="296">
        <v>0</v>
      </c>
      <c r="DQ118" s="296">
        <v>0</v>
      </c>
      <c r="DR118" s="296">
        <v>0</v>
      </c>
      <c r="DS118" s="296">
        <v>0</v>
      </c>
      <c r="DT118" s="296">
        <v>0</v>
      </c>
      <c r="DU118" s="296">
        <v>0</v>
      </c>
      <c r="DV118" s="301" t="s">
        <v>548</v>
      </c>
    </row>
    <row r="119" spans="1:126" ht="24.95" customHeight="1" thickBot="1" x14ac:dyDescent="0.3">
      <c r="A119" s="29" t="str">
        <f t="shared" si="176"/>
        <v>118º</v>
      </c>
      <c r="B119" s="69" t="str">
        <f t="shared" si="178"/>
        <v>Júlio César</v>
      </c>
      <c r="C119" s="269" t="str">
        <f t="shared" si="179"/>
        <v>BRA</v>
      </c>
      <c r="D119" s="99" t="str">
        <f t="shared" si="180"/>
        <v>Pé Direito</v>
      </c>
      <c r="E119" s="28" t="str">
        <f t="shared" si="181"/>
        <v>CRI</v>
      </c>
      <c r="F119" s="169">
        <f t="shared" si="182"/>
        <v>18</v>
      </c>
      <c r="G119" s="2" t="str">
        <f t="shared" si="183"/>
        <v>0 €</v>
      </c>
      <c r="H119" s="154">
        <f t="shared" si="184"/>
        <v>1.87</v>
      </c>
      <c r="I119" s="64">
        <f t="shared" si="185"/>
        <v>47118</v>
      </c>
      <c r="J119" s="304" t="str">
        <f t="shared" si="186"/>
        <v>420 € p/m</v>
      </c>
      <c r="K119" s="96">
        <f t="shared" si="177"/>
        <v>3.5222222222222221</v>
      </c>
      <c r="L119" s="146">
        <f t="shared" si="187"/>
        <v>0</v>
      </c>
      <c r="M119" s="6">
        <f t="shared" si="188"/>
        <v>0</v>
      </c>
      <c r="N119" s="5">
        <f t="shared" si="189"/>
        <v>5400</v>
      </c>
      <c r="O119" s="21">
        <f t="shared" si="190"/>
        <v>0</v>
      </c>
      <c r="P119" s="2">
        <f t="shared" si="191"/>
        <v>0</v>
      </c>
      <c r="Q119" s="2">
        <f t="shared" si="192"/>
        <v>0</v>
      </c>
      <c r="R119" s="5">
        <f t="shared" si="193"/>
        <v>0</v>
      </c>
      <c r="S119" s="2">
        <f t="shared" si="194"/>
        <v>0</v>
      </c>
      <c r="T119" s="2">
        <f t="shared" si="195"/>
        <v>0</v>
      </c>
      <c r="U119" s="102">
        <f t="shared" si="196"/>
        <v>0</v>
      </c>
      <c r="V119" s="102">
        <f t="shared" si="197"/>
        <v>0</v>
      </c>
      <c r="W119" s="6">
        <f t="shared" si="198"/>
        <v>0</v>
      </c>
      <c r="X119" s="5">
        <f t="shared" si="199"/>
        <v>0</v>
      </c>
      <c r="Y119" s="6">
        <f t="shared" si="200"/>
        <v>0</v>
      </c>
      <c r="Z119" s="5" t="e">
        <f t="shared" si="201"/>
        <v>#DIV/0!</v>
      </c>
      <c r="AA119" s="21">
        <f t="shared" si="202"/>
        <v>0</v>
      </c>
      <c r="AB119" s="6">
        <f t="shared" si="203"/>
        <v>0</v>
      </c>
      <c r="AC119" s="5" t="e">
        <f t="shared" si="204"/>
        <v>#DIV/0!</v>
      </c>
      <c r="AD119" s="6">
        <f t="shared" si="205"/>
        <v>0</v>
      </c>
      <c r="AE119" s="5">
        <f t="shared" si="206"/>
        <v>0</v>
      </c>
      <c r="AF119" s="21">
        <f t="shared" si="207"/>
        <v>0</v>
      </c>
      <c r="AG119" s="6">
        <f t="shared" si="208"/>
        <v>0</v>
      </c>
      <c r="AH119" s="5">
        <f t="shared" si="209"/>
        <v>0</v>
      </c>
      <c r="AI119" s="21">
        <f t="shared" si="210"/>
        <v>0</v>
      </c>
      <c r="AJ119" s="6">
        <f t="shared" si="211"/>
        <v>0</v>
      </c>
      <c r="AK119" s="5">
        <f t="shared" si="212"/>
        <v>0</v>
      </c>
      <c r="AL119" s="21">
        <f t="shared" si="213"/>
        <v>0</v>
      </c>
      <c r="AM119" s="21">
        <f t="shared" si="214"/>
        <v>0</v>
      </c>
      <c r="AN119" s="6">
        <f t="shared" si="215"/>
        <v>0</v>
      </c>
      <c r="AO119" s="5">
        <f t="shared" si="216"/>
        <v>0</v>
      </c>
      <c r="AP119" s="6">
        <f t="shared" si="217"/>
        <v>0</v>
      </c>
      <c r="AQ119" s="5">
        <f t="shared" si="218"/>
        <v>0</v>
      </c>
      <c r="AR119" s="2">
        <f t="shared" si="219"/>
        <v>0</v>
      </c>
      <c r="AS119" s="5">
        <f t="shared" si="220"/>
        <v>0</v>
      </c>
      <c r="AT119" s="21">
        <f t="shared" si="221"/>
        <v>0</v>
      </c>
      <c r="AU119" s="20">
        <f t="shared" si="222"/>
        <v>0</v>
      </c>
      <c r="AV119" s="20">
        <f t="shared" si="223"/>
        <v>1</v>
      </c>
      <c r="AW119" s="199">
        <f t="shared" si="224"/>
        <v>0</v>
      </c>
      <c r="AX119" s="24">
        <f t="shared" si="225"/>
        <v>0</v>
      </c>
      <c r="AY119" s="5">
        <f t="shared" si="226"/>
        <v>0</v>
      </c>
      <c r="AZ119" s="5">
        <f t="shared" si="227"/>
        <v>0</v>
      </c>
      <c r="BA119" s="5">
        <f t="shared" si="228"/>
        <v>0</v>
      </c>
      <c r="BB119" s="5">
        <f t="shared" si="229"/>
        <v>0</v>
      </c>
      <c r="BC119" s="5">
        <f t="shared" si="230"/>
        <v>0</v>
      </c>
      <c r="BD119" s="5">
        <f t="shared" si="231"/>
        <v>0</v>
      </c>
      <c r="BE119" s="199">
        <f t="shared" si="232"/>
        <v>0</v>
      </c>
      <c r="BF119" s="21">
        <f t="shared" si="233"/>
        <v>0</v>
      </c>
      <c r="BG119" s="6">
        <f t="shared" si="234"/>
        <v>0</v>
      </c>
      <c r="BH119" s="5" t="e">
        <f t="shared" si="235"/>
        <v>#DIV/0!</v>
      </c>
      <c r="BI119" s="6">
        <f t="shared" si="236"/>
        <v>0</v>
      </c>
      <c r="BJ119" s="5" t="e">
        <f t="shared" si="237"/>
        <v>#DIV/0!</v>
      </c>
      <c r="BK119" s="20">
        <f t="shared" si="238"/>
        <v>-9.9999999999999998E-13</v>
      </c>
      <c r="BL119" s="20">
        <f t="shared" si="239"/>
        <v>0</v>
      </c>
      <c r="BM119" s="6">
        <f t="shared" si="240"/>
        <v>0</v>
      </c>
      <c r="BN119" s="5">
        <f t="shared" si="241"/>
        <v>0</v>
      </c>
      <c r="BO119" s="333">
        <f t="shared" si="242"/>
        <v>0</v>
      </c>
      <c r="BP119" s="334">
        <f t="shared" si="243"/>
        <v>0</v>
      </c>
      <c r="BQ119" s="6">
        <f t="shared" si="244"/>
        <v>0</v>
      </c>
      <c r="BR119" s="5">
        <f t="shared" si="245"/>
        <v>0</v>
      </c>
      <c r="BS119" s="6">
        <f t="shared" si="246"/>
        <v>0</v>
      </c>
      <c r="BT119" s="5">
        <f t="shared" si="247"/>
        <v>0</v>
      </c>
      <c r="BU119" s="181">
        <f t="shared" si="248"/>
        <v>0</v>
      </c>
      <c r="BV119" s="154">
        <f t="shared" si="249"/>
        <v>0</v>
      </c>
      <c r="BW119" s="181">
        <f t="shared" si="250"/>
        <v>0</v>
      </c>
      <c r="BX119" s="180">
        <f t="shared" si="251"/>
        <v>0</v>
      </c>
      <c r="BY119" s="181">
        <f t="shared" si="252"/>
        <v>0</v>
      </c>
      <c r="BZ119" s="154">
        <f t="shared" si="253"/>
        <v>0</v>
      </c>
      <c r="CA119" s="182">
        <f t="shared" si="254"/>
        <v>0</v>
      </c>
      <c r="CB119" s="2">
        <f t="shared" si="255"/>
        <v>0</v>
      </c>
      <c r="CC119" s="2">
        <f t="shared" si="256"/>
        <v>0</v>
      </c>
      <c r="CD119" s="2">
        <f t="shared" si="257"/>
        <v>0</v>
      </c>
      <c r="CE119" s="2">
        <f t="shared" si="258"/>
        <v>0</v>
      </c>
      <c r="CF119" s="6">
        <f t="shared" si="259"/>
        <v>0</v>
      </c>
      <c r="CG119" s="6">
        <f t="shared" si="260"/>
        <v>0</v>
      </c>
      <c r="CH119" s="6">
        <f t="shared" si="261"/>
        <v>0</v>
      </c>
      <c r="CI119" s="20">
        <f t="shared" si="262"/>
        <v>0</v>
      </c>
      <c r="CJ119" s="133">
        <f t="shared" si="263"/>
        <v>2521</v>
      </c>
      <c r="CK119" s="5">
        <f t="shared" si="264"/>
        <v>0</v>
      </c>
      <c r="CL119" s="302" t="s">
        <v>19</v>
      </c>
      <c r="CM119" s="298" t="s">
        <v>13</v>
      </c>
      <c r="CN119" s="298" t="s">
        <v>1343</v>
      </c>
      <c r="CO119" s="298">
        <v>18</v>
      </c>
      <c r="CP119" s="298" t="s">
        <v>1435</v>
      </c>
      <c r="CQ119" s="298" t="s">
        <v>1131</v>
      </c>
      <c r="CR119" s="298" t="s">
        <v>644</v>
      </c>
      <c r="CS119" s="298" t="s">
        <v>1430</v>
      </c>
      <c r="CT119" s="298" t="s">
        <v>911</v>
      </c>
      <c r="CU119" s="299">
        <v>47118</v>
      </c>
      <c r="CV119" s="298">
        <v>0</v>
      </c>
      <c r="CW119" s="298">
        <v>0</v>
      </c>
      <c r="CX119" s="298">
        <v>0</v>
      </c>
      <c r="CY119" s="298">
        <v>0</v>
      </c>
      <c r="CZ119" s="298">
        <v>0</v>
      </c>
      <c r="DA119" s="298">
        <v>0</v>
      </c>
      <c r="DB119" s="298">
        <v>0</v>
      </c>
      <c r="DC119" s="298">
        <v>0</v>
      </c>
      <c r="DD119" s="298">
        <v>0</v>
      </c>
      <c r="DE119" s="298">
        <v>0</v>
      </c>
      <c r="DF119" s="298">
        <v>0</v>
      </c>
      <c r="DG119" s="298">
        <v>0</v>
      </c>
      <c r="DH119" s="298">
        <v>0</v>
      </c>
      <c r="DI119" s="298">
        <v>0</v>
      </c>
      <c r="DJ119" s="298">
        <v>0</v>
      </c>
      <c r="DK119" s="298">
        <v>0</v>
      </c>
      <c r="DL119" s="298">
        <v>0</v>
      </c>
      <c r="DM119" s="298">
        <v>0</v>
      </c>
      <c r="DN119" s="298">
        <v>0</v>
      </c>
      <c r="DO119" s="298">
        <v>0</v>
      </c>
      <c r="DP119" s="298">
        <v>0</v>
      </c>
      <c r="DQ119" s="298">
        <v>0</v>
      </c>
      <c r="DR119" s="298">
        <v>0</v>
      </c>
      <c r="DS119" s="298">
        <v>0</v>
      </c>
      <c r="DT119" s="298">
        <v>0</v>
      </c>
      <c r="DU119" s="298">
        <v>0</v>
      </c>
      <c r="DV119" s="303" t="s">
        <v>548</v>
      </c>
    </row>
    <row r="120" spans="1:126" ht="24.95" customHeight="1" thickBot="1" x14ac:dyDescent="0.3">
      <c r="A120" s="29" t="str">
        <f t="shared" si="176"/>
        <v>119º</v>
      </c>
      <c r="B120" s="69" t="str">
        <f t="shared" si="178"/>
        <v>Agnaldo Torreão</v>
      </c>
      <c r="C120" s="269" t="str">
        <f t="shared" si="179"/>
        <v>BRA</v>
      </c>
      <c r="D120" s="99" t="str">
        <f t="shared" si="180"/>
        <v>Pé Direito</v>
      </c>
      <c r="E120" s="28" t="str">
        <f t="shared" si="181"/>
        <v>AVA</v>
      </c>
      <c r="F120" s="169">
        <f t="shared" si="182"/>
        <v>18</v>
      </c>
      <c r="G120" s="2" t="str">
        <f t="shared" si="183"/>
        <v>0 €</v>
      </c>
      <c r="H120" s="154">
        <f t="shared" si="184"/>
        <v>1.89</v>
      </c>
      <c r="I120" s="64">
        <f t="shared" si="185"/>
        <v>47483</v>
      </c>
      <c r="J120" s="304" t="str">
        <f t="shared" si="186"/>
        <v>420 € p/m</v>
      </c>
      <c r="K120" s="96">
        <f t="shared" si="177"/>
        <v>3.5222222222222221</v>
      </c>
      <c r="L120" s="146">
        <f t="shared" si="187"/>
        <v>1</v>
      </c>
      <c r="M120" s="6">
        <f t="shared" si="188"/>
        <v>0</v>
      </c>
      <c r="N120" s="5">
        <f t="shared" si="189"/>
        <v>5400</v>
      </c>
      <c r="O120" s="21">
        <f t="shared" si="190"/>
        <v>0</v>
      </c>
      <c r="P120" s="2">
        <f t="shared" si="191"/>
        <v>27</v>
      </c>
      <c r="Q120" s="2">
        <f t="shared" si="192"/>
        <v>11</v>
      </c>
      <c r="R120" s="5">
        <f t="shared" si="193"/>
        <v>11</v>
      </c>
      <c r="S120" s="2">
        <f t="shared" si="194"/>
        <v>16</v>
      </c>
      <c r="T120" s="2">
        <f t="shared" si="195"/>
        <v>-5</v>
      </c>
      <c r="U120" s="102">
        <f t="shared" si="196"/>
        <v>0.59259259259259256</v>
      </c>
      <c r="V120" s="102">
        <f t="shared" si="197"/>
        <v>0.40740740740740738</v>
      </c>
      <c r="W120" s="6">
        <f t="shared" si="198"/>
        <v>27</v>
      </c>
      <c r="X120" s="5">
        <f t="shared" si="199"/>
        <v>27</v>
      </c>
      <c r="Y120" s="6">
        <f t="shared" si="200"/>
        <v>0</v>
      </c>
      <c r="Z120" s="5">
        <f t="shared" si="201"/>
        <v>0</v>
      </c>
      <c r="AA120" s="21">
        <f t="shared" si="202"/>
        <v>0</v>
      </c>
      <c r="AB120" s="6">
        <f t="shared" si="203"/>
        <v>0</v>
      </c>
      <c r="AC120" s="5">
        <f t="shared" si="204"/>
        <v>0</v>
      </c>
      <c r="AD120" s="6">
        <f t="shared" si="205"/>
        <v>0</v>
      </c>
      <c r="AE120" s="5">
        <f t="shared" si="206"/>
        <v>0</v>
      </c>
      <c r="AF120" s="21">
        <f t="shared" si="207"/>
        <v>0</v>
      </c>
      <c r="AG120" s="6">
        <f t="shared" si="208"/>
        <v>0</v>
      </c>
      <c r="AH120" s="5">
        <f t="shared" si="209"/>
        <v>0</v>
      </c>
      <c r="AI120" s="21">
        <f t="shared" si="210"/>
        <v>0</v>
      </c>
      <c r="AJ120" s="6">
        <f t="shared" si="211"/>
        <v>1</v>
      </c>
      <c r="AK120" s="5">
        <f t="shared" si="212"/>
        <v>9.0909090909090912E-2</v>
      </c>
      <c r="AL120" s="21">
        <f t="shared" si="213"/>
        <v>1</v>
      </c>
      <c r="AM120" s="21">
        <f t="shared" si="214"/>
        <v>1</v>
      </c>
      <c r="AN120" s="6">
        <f t="shared" si="215"/>
        <v>1</v>
      </c>
      <c r="AO120" s="5">
        <f t="shared" si="216"/>
        <v>1</v>
      </c>
      <c r="AP120" s="6">
        <f t="shared" si="217"/>
        <v>1</v>
      </c>
      <c r="AQ120" s="5">
        <f t="shared" si="218"/>
        <v>1</v>
      </c>
      <c r="AR120" s="2">
        <f t="shared" si="219"/>
        <v>1</v>
      </c>
      <c r="AS120" s="5">
        <f t="shared" si="220"/>
        <v>1</v>
      </c>
      <c r="AT120" s="21">
        <f t="shared" si="221"/>
        <v>1</v>
      </c>
      <c r="AU120" s="20">
        <f t="shared" si="222"/>
        <v>1</v>
      </c>
      <c r="AV120" s="20">
        <f t="shared" si="223"/>
        <v>0</v>
      </c>
      <c r="AW120" s="199">
        <f t="shared" si="224"/>
        <v>1.5</v>
      </c>
      <c r="AX120" s="24">
        <f t="shared" si="225"/>
        <v>0</v>
      </c>
      <c r="AY120" s="5">
        <f t="shared" si="226"/>
        <v>0</v>
      </c>
      <c r="AZ120" s="5">
        <f t="shared" si="227"/>
        <v>0</v>
      </c>
      <c r="BA120" s="5">
        <f t="shared" si="228"/>
        <v>0.19</v>
      </c>
      <c r="BB120" s="5">
        <f t="shared" si="229"/>
        <v>0.19</v>
      </c>
      <c r="BC120" s="5">
        <f t="shared" si="230"/>
        <v>0.19</v>
      </c>
      <c r="BD120" s="5">
        <f t="shared" si="231"/>
        <v>0.19</v>
      </c>
      <c r="BE120" s="199">
        <f t="shared" si="232"/>
        <v>0.19</v>
      </c>
      <c r="BF120" s="21">
        <f t="shared" si="233"/>
        <v>1</v>
      </c>
      <c r="BG120" s="6">
        <f t="shared" si="234"/>
        <v>0</v>
      </c>
      <c r="BH120" s="5">
        <f t="shared" si="235"/>
        <v>0</v>
      </c>
      <c r="BI120" s="6">
        <f t="shared" si="236"/>
        <v>0</v>
      </c>
      <c r="BJ120" s="5">
        <f t="shared" si="237"/>
        <v>0</v>
      </c>
      <c r="BK120" s="20">
        <f t="shared" si="238"/>
        <v>-9.9999999999999998E-13</v>
      </c>
      <c r="BL120" s="20">
        <f t="shared" si="239"/>
        <v>0</v>
      </c>
      <c r="BM120" s="6">
        <f t="shared" si="240"/>
        <v>0</v>
      </c>
      <c r="BN120" s="5">
        <f t="shared" si="241"/>
        <v>0</v>
      </c>
      <c r="BO120" s="333">
        <f t="shared" si="242"/>
        <v>0</v>
      </c>
      <c r="BP120" s="334">
        <f t="shared" si="243"/>
        <v>0</v>
      </c>
      <c r="BQ120" s="6">
        <f t="shared" si="244"/>
        <v>0</v>
      </c>
      <c r="BR120" s="5">
        <f t="shared" si="245"/>
        <v>0</v>
      </c>
      <c r="BS120" s="6">
        <f t="shared" si="246"/>
        <v>13</v>
      </c>
      <c r="BT120" s="5">
        <f t="shared" si="247"/>
        <v>13</v>
      </c>
      <c r="BU120" s="181">
        <f t="shared" si="248"/>
        <v>0</v>
      </c>
      <c r="BV120" s="154">
        <f t="shared" si="249"/>
        <v>0</v>
      </c>
      <c r="BW120" s="181">
        <f t="shared" si="250"/>
        <v>0</v>
      </c>
      <c r="BX120" s="180">
        <f t="shared" si="251"/>
        <v>0</v>
      </c>
      <c r="BY120" s="181">
        <f t="shared" si="252"/>
        <v>0</v>
      </c>
      <c r="BZ120" s="154">
        <f t="shared" si="253"/>
        <v>0</v>
      </c>
      <c r="CA120" s="182">
        <f t="shared" si="254"/>
        <v>0</v>
      </c>
      <c r="CB120" s="2">
        <f t="shared" si="255"/>
        <v>0</v>
      </c>
      <c r="CC120" s="2">
        <f t="shared" si="256"/>
        <v>0</v>
      </c>
      <c r="CD120" s="2">
        <f t="shared" si="257"/>
        <v>0</v>
      </c>
      <c r="CE120" s="2">
        <f t="shared" si="258"/>
        <v>0</v>
      </c>
      <c r="CF120" s="6">
        <f t="shared" si="259"/>
        <v>0</v>
      </c>
      <c r="CG120" s="6">
        <f t="shared" si="260"/>
        <v>47.29</v>
      </c>
      <c r="CH120" s="6">
        <f t="shared" si="261"/>
        <v>12</v>
      </c>
      <c r="CI120" s="20">
        <f t="shared" si="262"/>
        <v>0.25375343624444913</v>
      </c>
      <c r="CJ120" s="133">
        <f t="shared" si="263"/>
        <v>2521</v>
      </c>
      <c r="CK120" s="5">
        <f t="shared" si="264"/>
        <v>6.7</v>
      </c>
      <c r="CL120" s="300" t="s">
        <v>19</v>
      </c>
      <c r="CM120" s="296" t="s">
        <v>13</v>
      </c>
      <c r="CN120" s="296" t="s">
        <v>1436</v>
      </c>
      <c r="CO120" s="296">
        <v>18</v>
      </c>
      <c r="CP120" s="296" t="s">
        <v>1437</v>
      </c>
      <c r="CQ120" s="296" t="s">
        <v>1131</v>
      </c>
      <c r="CR120" s="296" t="s">
        <v>644</v>
      </c>
      <c r="CS120" s="296" t="s">
        <v>1430</v>
      </c>
      <c r="CT120" s="296" t="s">
        <v>593</v>
      </c>
      <c r="CU120" s="297">
        <v>47483</v>
      </c>
      <c r="CV120" s="296">
        <v>0</v>
      </c>
      <c r="CW120" s="296">
        <v>90</v>
      </c>
      <c r="CX120" s="296">
        <v>0</v>
      </c>
      <c r="CY120" s="296">
        <v>0</v>
      </c>
      <c r="CZ120" s="296">
        <v>0</v>
      </c>
      <c r="DA120" s="296">
        <v>1</v>
      </c>
      <c r="DB120" s="296">
        <v>0</v>
      </c>
      <c r="DC120" s="296">
        <v>0</v>
      </c>
      <c r="DD120" s="296">
        <v>13</v>
      </c>
      <c r="DE120" s="296">
        <v>1</v>
      </c>
      <c r="DF120" s="296">
        <v>0</v>
      </c>
      <c r="DG120" s="296">
        <v>0</v>
      </c>
      <c r="DH120" s="296">
        <v>0</v>
      </c>
      <c r="DI120" s="296">
        <v>0</v>
      </c>
      <c r="DJ120" s="296">
        <v>0</v>
      </c>
      <c r="DK120" s="296">
        <v>0</v>
      </c>
      <c r="DL120" s="296">
        <v>27</v>
      </c>
      <c r="DM120" s="296">
        <v>11</v>
      </c>
      <c r="DN120" s="296" t="s">
        <v>1438</v>
      </c>
      <c r="DO120" s="296">
        <v>0</v>
      </c>
      <c r="DP120" s="296">
        <v>0</v>
      </c>
      <c r="DQ120" s="296">
        <v>0</v>
      </c>
      <c r="DR120" s="296">
        <v>0</v>
      </c>
      <c r="DS120" s="296">
        <v>0</v>
      </c>
      <c r="DT120" s="296">
        <v>0</v>
      </c>
      <c r="DU120" s="296">
        <v>0</v>
      </c>
      <c r="DV120" s="301">
        <v>6.7</v>
      </c>
    </row>
    <row r="121" spans="1:126" ht="24.95" customHeight="1" thickBot="1" x14ac:dyDescent="0.3">
      <c r="A121" s="29" t="str">
        <f t="shared" si="176"/>
        <v>120º</v>
      </c>
      <c r="B121" s="69" t="str">
        <f t="shared" si="178"/>
        <v>Fabio</v>
      </c>
      <c r="C121" s="269" t="str">
        <f t="shared" si="179"/>
        <v>BRA</v>
      </c>
      <c r="D121" s="99" t="str">
        <f t="shared" si="180"/>
        <v>Pé Direito</v>
      </c>
      <c r="E121" s="28" t="str">
        <f t="shared" si="181"/>
        <v>JUV</v>
      </c>
      <c r="F121" s="169">
        <f t="shared" si="182"/>
        <v>18</v>
      </c>
      <c r="G121" s="2" t="str">
        <f t="shared" si="183"/>
        <v>0 €</v>
      </c>
      <c r="H121" s="154">
        <f t="shared" si="184"/>
        <v>1.78</v>
      </c>
      <c r="I121" s="64">
        <f t="shared" si="185"/>
        <v>47118</v>
      </c>
      <c r="J121" s="304" t="str">
        <f t="shared" si="186"/>
        <v>500 € p/m</v>
      </c>
      <c r="K121" s="96">
        <f t="shared" si="177"/>
        <v>3.5222222222222221</v>
      </c>
      <c r="L121" s="146">
        <f t="shared" si="187"/>
        <v>0</v>
      </c>
      <c r="M121" s="6">
        <f t="shared" si="188"/>
        <v>0</v>
      </c>
      <c r="N121" s="5">
        <f t="shared" si="189"/>
        <v>5400</v>
      </c>
      <c r="O121" s="21">
        <f t="shared" si="190"/>
        <v>0</v>
      </c>
      <c r="P121" s="2">
        <f t="shared" si="191"/>
        <v>0</v>
      </c>
      <c r="Q121" s="2">
        <f t="shared" si="192"/>
        <v>0</v>
      </c>
      <c r="R121" s="5">
        <f t="shared" si="193"/>
        <v>0</v>
      </c>
      <c r="S121" s="2">
        <f t="shared" si="194"/>
        <v>0</v>
      </c>
      <c r="T121" s="2">
        <f t="shared" si="195"/>
        <v>0</v>
      </c>
      <c r="U121" s="102">
        <f t="shared" si="196"/>
        <v>0</v>
      </c>
      <c r="V121" s="102">
        <f t="shared" si="197"/>
        <v>0</v>
      </c>
      <c r="W121" s="6">
        <f t="shared" si="198"/>
        <v>0</v>
      </c>
      <c r="X121" s="5">
        <f t="shared" si="199"/>
        <v>0</v>
      </c>
      <c r="Y121" s="6">
        <f t="shared" si="200"/>
        <v>0</v>
      </c>
      <c r="Z121" s="5" t="e">
        <f t="shared" si="201"/>
        <v>#DIV/0!</v>
      </c>
      <c r="AA121" s="21">
        <f t="shared" si="202"/>
        <v>0</v>
      </c>
      <c r="AB121" s="6">
        <f t="shared" si="203"/>
        <v>0</v>
      </c>
      <c r="AC121" s="5" t="e">
        <f t="shared" si="204"/>
        <v>#DIV/0!</v>
      </c>
      <c r="AD121" s="6">
        <f t="shared" si="205"/>
        <v>0</v>
      </c>
      <c r="AE121" s="5">
        <f t="shared" si="206"/>
        <v>0</v>
      </c>
      <c r="AF121" s="21">
        <f t="shared" si="207"/>
        <v>0</v>
      </c>
      <c r="AG121" s="6">
        <f t="shared" si="208"/>
        <v>0</v>
      </c>
      <c r="AH121" s="5">
        <f t="shared" si="209"/>
        <v>0</v>
      </c>
      <c r="AI121" s="21">
        <f t="shared" si="210"/>
        <v>0</v>
      </c>
      <c r="AJ121" s="6">
        <f t="shared" si="211"/>
        <v>0</v>
      </c>
      <c r="AK121" s="5">
        <f t="shared" si="212"/>
        <v>0</v>
      </c>
      <c r="AL121" s="21">
        <f t="shared" si="213"/>
        <v>0</v>
      </c>
      <c r="AM121" s="21">
        <f t="shared" si="214"/>
        <v>0</v>
      </c>
      <c r="AN121" s="6">
        <f t="shared" si="215"/>
        <v>0</v>
      </c>
      <c r="AO121" s="5">
        <f t="shared" si="216"/>
        <v>0</v>
      </c>
      <c r="AP121" s="6">
        <f t="shared" si="217"/>
        <v>0</v>
      </c>
      <c r="AQ121" s="5">
        <f t="shared" si="218"/>
        <v>0</v>
      </c>
      <c r="AR121" s="2">
        <f t="shared" si="219"/>
        <v>0</v>
      </c>
      <c r="AS121" s="5">
        <f t="shared" si="220"/>
        <v>0</v>
      </c>
      <c r="AT121" s="21">
        <f t="shared" si="221"/>
        <v>0</v>
      </c>
      <c r="AU121" s="20">
        <f t="shared" si="222"/>
        <v>0</v>
      </c>
      <c r="AV121" s="20">
        <f t="shared" si="223"/>
        <v>1</v>
      </c>
      <c r="AW121" s="199">
        <f t="shared" si="224"/>
        <v>0</v>
      </c>
      <c r="AX121" s="24">
        <f t="shared" si="225"/>
        <v>0</v>
      </c>
      <c r="AY121" s="5">
        <f t="shared" si="226"/>
        <v>0</v>
      </c>
      <c r="AZ121" s="5">
        <f t="shared" si="227"/>
        <v>0</v>
      </c>
      <c r="BA121" s="5">
        <f t="shared" si="228"/>
        <v>0</v>
      </c>
      <c r="BB121" s="5">
        <f t="shared" si="229"/>
        <v>0</v>
      </c>
      <c r="BC121" s="5">
        <f t="shared" si="230"/>
        <v>0</v>
      </c>
      <c r="BD121" s="5">
        <f t="shared" si="231"/>
        <v>0</v>
      </c>
      <c r="BE121" s="199">
        <f t="shared" si="232"/>
        <v>0</v>
      </c>
      <c r="BF121" s="21">
        <f t="shared" si="233"/>
        <v>0</v>
      </c>
      <c r="BG121" s="6">
        <f t="shared" si="234"/>
        <v>0</v>
      </c>
      <c r="BH121" s="5" t="e">
        <f t="shared" si="235"/>
        <v>#DIV/0!</v>
      </c>
      <c r="BI121" s="6">
        <f t="shared" si="236"/>
        <v>0</v>
      </c>
      <c r="BJ121" s="5" t="e">
        <f t="shared" si="237"/>
        <v>#DIV/0!</v>
      </c>
      <c r="BK121" s="20">
        <f t="shared" si="238"/>
        <v>-9.9999999999999998E-13</v>
      </c>
      <c r="BL121" s="20">
        <f t="shared" si="239"/>
        <v>0</v>
      </c>
      <c r="BM121" s="6">
        <f t="shared" si="240"/>
        <v>0</v>
      </c>
      <c r="BN121" s="5">
        <f t="shared" si="241"/>
        <v>0</v>
      </c>
      <c r="BO121" s="333">
        <f t="shared" si="242"/>
        <v>0</v>
      </c>
      <c r="BP121" s="334">
        <f t="shared" si="243"/>
        <v>0</v>
      </c>
      <c r="BQ121" s="6">
        <f t="shared" si="244"/>
        <v>0</v>
      </c>
      <c r="BR121" s="5">
        <f t="shared" si="245"/>
        <v>0</v>
      </c>
      <c r="BS121" s="6">
        <f t="shared" si="246"/>
        <v>0</v>
      </c>
      <c r="BT121" s="5">
        <f t="shared" si="247"/>
        <v>0</v>
      </c>
      <c r="BU121" s="181">
        <f t="shared" si="248"/>
        <v>0</v>
      </c>
      <c r="BV121" s="154">
        <f t="shared" si="249"/>
        <v>0</v>
      </c>
      <c r="BW121" s="181">
        <f t="shared" si="250"/>
        <v>0</v>
      </c>
      <c r="BX121" s="180">
        <f t="shared" si="251"/>
        <v>0</v>
      </c>
      <c r="BY121" s="181">
        <f t="shared" si="252"/>
        <v>0</v>
      </c>
      <c r="BZ121" s="154">
        <f t="shared" si="253"/>
        <v>0</v>
      </c>
      <c r="CA121" s="182">
        <f t="shared" si="254"/>
        <v>0</v>
      </c>
      <c r="CB121" s="2">
        <f t="shared" si="255"/>
        <v>0</v>
      </c>
      <c r="CC121" s="2">
        <f t="shared" si="256"/>
        <v>0</v>
      </c>
      <c r="CD121" s="2">
        <f t="shared" si="257"/>
        <v>0</v>
      </c>
      <c r="CE121" s="2">
        <f t="shared" si="258"/>
        <v>0</v>
      </c>
      <c r="CF121" s="6">
        <f t="shared" si="259"/>
        <v>0</v>
      </c>
      <c r="CG121" s="6">
        <f t="shared" si="260"/>
        <v>0</v>
      </c>
      <c r="CH121" s="6">
        <f t="shared" si="261"/>
        <v>0</v>
      </c>
      <c r="CI121" s="20">
        <f t="shared" si="262"/>
        <v>0</v>
      </c>
      <c r="CJ121" s="133">
        <f t="shared" si="263"/>
        <v>2521</v>
      </c>
      <c r="CK121" s="5">
        <f t="shared" si="264"/>
        <v>0</v>
      </c>
      <c r="CL121" s="302"/>
      <c r="CM121" s="298" t="s">
        <v>13</v>
      </c>
      <c r="CN121" s="298" t="s">
        <v>1307</v>
      </c>
      <c r="CO121" s="298">
        <v>18</v>
      </c>
      <c r="CP121" s="298" t="s">
        <v>1439</v>
      </c>
      <c r="CQ121" s="298" t="s">
        <v>1131</v>
      </c>
      <c r="CR121" s="298" t="s">
        <v>644</v>
      </c>
      <c r="CS121" s="298" t="s">
        <v>760</v>
      </c>
      <c r="CT121" s="298" t="s">
        <v>550</v>
      </c>
      <c r="CU121" s="299">
        <v>47118</v>
      </c>
      <c r="CV121" s="298">
        <v>0</v>
      </c>
      <c r="CW121" s="298">
        <v>0</v>
      </c>
      <c r="CX121" s="298">
        <v>0</v>
      </c>
      <c r="CY121" s="298">
        <v>0</v>
      </c>
      <c r="CZ121" s="298">
        <v>0</v>
      </c>
      <c r="DA121" s="298">
        <v>0</v>
      </c>
      <c r="DB121" s="298">
        <v>0</v>
      </c>
      <c r="DC121" s="298">
        <v>0</v>
      </c>
      <c r="DD121" s="298">
        <v>0</v>
      </c>
      <c r="DE121" s="298">
        <v>0</v>
      </c>
      <c r="DF121" s="298">
        <v>0</v>
      </c>
      <c r="DG121" s="298">
        <v>0</v>
      </c>
      <c r="DH121" s="298">
        <v>0</v>
      </c>
      <c r="DI121" s="298">
        <v>0</v>
      </c>
      <c r="DJ121" s="298">
        <v>0</v>
      </c>
      <c r="DK121" s="298">
        <v>0</v>
      </c>
      <c r="DL121" s="298">
        <v>0</v>
      </c>
      <c r="DM121" s="298">
        <v>0</v>
      </c>
      <c r="DN121" s="298">
        <v>0</v>
      </c>
      <c r="DO121" s="298">
        <v>0</v>
      </c>
      <c r="DP121" s="298">
        <v>0</v>
      </c>
      <c r="DQ121" s="298">
        <v>0</v>
      </c>
      <c r="DR121" s="298">
        <v>0</v>
      </c>
      <c r="DS121" s="298">
        <v>0</v>
      </c>
      <c r="DT121" s="298">
        <v>0</v>
      </c>
      <c r="DU121" s="298">
        <v>0</v>
      </c>
      <c r="DV121" s="303" t="s">
        <v>548</v>
      </c>
    </row>
    <row r="122" spans="1:126" ht="24.95" customHeight="1" thickBot="1" x14ac:dyDescent="0.3">
      <c r="A122" s="29" t="str">
        <f t="shared" si="176"/>
        <v>121º</v>
      </c>
      <c r="B122" s="69" t="str">
        <f t="shared" si="178"/>
        <v>Diego Henrique</v>
      </c>
      <c r="C122" s="269" t="str">
        <f t="shared" si="179"/>
        <v>BRA</v>
      </c>
      <c r="D122" s="99" t="str">
        <f t="shared" si="180"/>
        <v>Pé Direito</v>
      </c>
      <c r="E122" s="28" t="str">
        <f t="shared" si="181"/>
        <v>PON</v>
      </c>
      <c r="F122" s="169">
        <f t="shared" si="182"/>
        <v>17</v>
      </c>
      <c r="G122" s="2" t="str">
        <f t="shared" si="183"/>
        <v>130m € - 1,3M €</v>
      </c>
      <c r="H122" s="154">
        <f t="shared" si="184"/>
        <v>1.83</v>
      </c>
      <c r="I122" s="64">
        <f t="shared" si="185"/>
        <v>47848</v>
      </c>
      <c r="J122" s="304" t="str">
        <f t="shared" si="186"/>
        <v>600 € p/m</v>
      </c>
      <c r="K122" s="96">
        <f t="shared" si="177"/>
        <v>3.5222222222222221</v>
      </c>
      <c r="L122" s="146">
        <f t="shared" si="187"/>
        <v>0</v>
      </c>
      <c r="M122" s="6">
        <f t="shared" si="188"/>
        <v>0</v>
      </c>
      <c r="N122" s="5">
        <f t="shared" si="189"/>
        <v>5400</v>
      </c>
      <c r="O122" s="21">
        <f t="shared" si="190"/>
        <v>0</v>
      </c>
      <c r="P122" s="2">
        <f t="shared" si="191"/>
        <v>0</v>
      </c>
      <c r="Q122" s="2">
        <f t="shared" si="192"/>
        <v>0</v>
      </c>
      <c r="R122" s="5">
        <f t="shared" si="193"/>
        <v>0</v>
      </c>
      <c r="S122" s="2">
        <f t="shared" si="194"/>
        <v>0</v>
      </c>
      <c r="T122" s="2">
        <f t="shared" si="195"/>
        <v>0</v>
      </c>
      <c r="U122" s="102">
        <f t="shared" si="196"/>
        <v>0</v>
      </c>
      <c r="V122" s="102">
        <f t="shared" si="197"/>
        <v>0</v>
      </c>
      <c r="W122" s="6">
        <f t="shared" si="198"/>
        <v>0</v>
      </c>
      <c r="X122" s="5">
        <f t="shared" si="199"/>
        <v>0</v>
      </c>
      <c r="Y122" s="6">
        <f t="shared" si="200"/>
        <v>0</v>
      </c>
      <c r="Z122" s="5" t="e">
        <f t="shared" si="201"/>
        <v>#DIV/0!</v>
      </c>
      <c r="AA122" s="21">
        <f t="shared" si="202"/>
        <v>0</v>
      </c>
      <c r="AB122" s="6">
        <f t="shared" si="203"/>
        <v>0</v>
      </c>
      <c r="AC122" s="5" t="e">
        <f t="shared" si="204"/>
        <v>#DIV/0!</v>
      </c>
      <c r="AD122" s="6">
        <f t="shared" si="205"/>
        <v>0</v>
      </c>
      <c r="AE122" s="5">
        <f t="shared" si="206"/>
        <v>0</v>
      </c>
      <c r="AF122" s="21">
        <f t="shared" si="207"/>
        <v>0</v>
      </c>
      <c r="AG122" s="6">
        <f t="shared" si="208"/>
        <v>0</v>
      </c>
      <c r="AH122" s="5">
        <f t="shared" si="209"/>
        <v>0</v>
      </c>
      <c r="AI122" s="21">
        <f t="shared" si="210"/>
        <v>0</v>
      </c>
      <c r="AJ122" s="6">
        <f t="shared" si="211"/>
        <v>0</v>
      </c>
      <c r="AK122" s="5">
        <f t="shared" si="212"/>
        <v>0</v>
      </c>
      <c r="AL122" s="21">
        <f t="shared" si="213"/>
        <v>0</v>
      </c>
      <c r="AM122" s="21">
        <f t="shared" si="214"/>
        <v>0</v>
      </c>
      <c r="AN122" s="6">
        <f t="shared" si="215"/>
        <v>0</v>
      </c>
      <c r="AO122" s="5">
        <f t="shared" si="216"/>
        <v>0</v>
      </c>
      <c r="AP122" s="6">
        <f t="shared" si="217"/>
        <v>0</v>
      </c>
      <c r="AQ122" s="5">
        <f t="shared" si="218"/>
        <v>0</v>
      </c>
      <c r="AR122" s="2">
        <f t="shared" si="219"/>
        <v>0</v>
      </c>
      <c r="AS122" s="5">
        <f t="shared" si="220"/>
        <v>0</v>
      </c>
      <c r="AT122" s="21">
        <f t="shared" si="221"/>
        <v>0</v>
      </c>
      <c r="AU122" s="20">
        <f t="shared" si="222"/>
        <v>0</v>
      </c>
      <c r="AV122" s="20">
        <f t="shared" si="223"/>
        <v>1</v>
      </c>
      <c r="AW122" s="199">
        <f t="shared" si="224"/>
        <v>0</v>
      </c>
      <c r="AX122" s="24">
        <f t="shared" si="225"/>
        <v>0</v>
      </c>
      <c r="AY122" s="5">
        <f t="shared" si="226"/>
        <v>0</v>
      </c>
      <c r="AZ122" s="5">
        <f t="shared" si="227"/>
        <v>0</v>
      </c>
      <c r="BA122" s="5">
        <f t="shared" si="228"/>
        <v>0</v>
      </c>
      <c r="BB122" s="5">
        <f t="shared" si="229"/>
        <v>0</v>
      </c>
      <c r="BC122" s="5">
        <f t="shared" si="230"/>
        <v>0</v>
      </c>
      <c r="BD122" s="5">
        <f t="shared" si="231"/>
        <v>0</v>
      </c>
      <c r="BE122" s="199">
        <f t="shared" si="232"/>
        <v>0</v>
      </c>
      <c r="BF122" s="21">
        <f t="shared" si="233"/>
        <v>0</v>
      </c>
      <c r="BG122" s="6">
        <f t="shared" si="234"/>
        <v>0</v>
      </c>
      <c r="BH122" s="5" t="e">
        <f t="shared" si="235"/>
        <v>#DIV/0!</v>
      </c>
      <c r="BI122" s="6">
        <f t="shared" si="236"/>
        <v>0</v>
      </c>
      <c r="BJ122" s="5" t="e">
        <f t="shared" si="237"/>
        <v>#DIV/0!</v>
      </c>
      <c r="BK122" s="20">
        <f t="shared" si="238"/>
        <v>-9.9999999999999998E-13</v>
      </c>
      <c r="BL122" s="20">
        <f t="shared" si="239"/>
        <v>0</v>
      </c>
      <c r="BM122" s="6">
        <f t="shared" si="240"/>
        <v>0</v>
      </c>
      <c r="BN122" s="5">
        <f t="shared" si="241"/>
        <v>0</v>
      </c>
      <c r="BO122" s="333">
        <f t="shared" si="242"/>
        <v>0</v>
      </c>
      <c r="BP122" s="334">
        <f t="shared" si="243"/>
        <v>0</v>
      </c>
      <c r="BQ122" s="6">
        <f t="shared" si="244"/>
        <v>0</v>
      </c>
      <c r="BR122" s="5">
        <f t="shared" si="245"/>
        <v>0</v>
      </c>
      <c r="BS122" s="6">
        <f t="shared" si="246"/>
        <v>0</v>
      </c>
      <c r="BT122" s="5">
        <f t="shared" si="247"/>
        <v>0</v>
      </c>
      <c r="BU122" s="181">
        <f t="shared" si="248"/>
        <v>0</v>
      </c>
      <c r="BV122" s="154">
        <f t="shared" si="249"/>
        <v>0</v>
      </c>
      <c r="BW122" s="181">
        <f t="shared" si="250"/>
        <v>0</v>
      </c>
      <c r="BX122" s="180">
        <f t="shared" si="251"/>
        <v>0</v>
      </c>
      <c r="BY122" s="181">
        <f t="shared" si="252"/>
        <v>0</v>
      </c>
      <c r="BZ122" s="154">
        <f t="shared" si="253"/>
        <v>0</v>
      </c>
      <c r="CA122" s="182">
        <f t="shared" si="254"/>
        <v>0</v>
      </c>
      <c r="CB122" s="2">
        <f t="shared" si="255"/>
        <v>0</v>
      </c>
      <c r="CC122" s="2">
        <f t="shared" si="256"/>
        <v>0</v>
      </c>
      <c r="CD122" s="2">
        <f t="shared" si="257"/>
        <v>0</v>
      </c>
      <c r="CE122" s="2">
        <f t="shared" si="258"/>
        <v>0</v>
      </c>
      <c r="CF122" s="6">
        <f t="shared" si="259"/>
        <v>0</v>
      </c>
      <c r="CG122" s="6">
        <f t="shared" si="260"/>
        <v>0</v>
      </c>
      <c r="CH122" s="6">
        <f t="shared" si="261"/>
        <v>0</v>
      </c>
      <c r="CI122" s="20">
        <f t="shared" si="262"/>
        <v>0</v>
      </c>
      <c r="CJ122" s="133">
        <f t="shared" si="263"/>
        <v>2521</v>
      </c>
      <c r="CK122" s="5">
        <f t="shared" si="264"/>
        <v>0</v>
      </c>
      <c r="CL122" s="300" t="s">
        <v>1440</v>
      </c>
      <c r="CM122" s="296" t="s">
        <v>13</v>
      </c>
      <c r="CN122" s="296" t="s">
        <v>1441</v>
      </c>
      <c r="CO122" s="296">
        <v>17</v>
      </c>
      <c r="CP122" s="296" t="s">
        <v>1442</v>
      </c>
      <c r="CQ122" s="296" t="s">
        <v>662</v>
      </c>
      <c r="CR122" s="296" t="s">
        <v>644</v>
      </c>
      <c r="CS122" s="296" t="s">
        <v>1443</v>
      </c>
      <c r="CT122" s="296" t="s">
        <v>586</v>
      </c>
      <c r="CU122" s="297">
        <v>47848</v>
      </c>
      <c r="CV122" s="296">
        <v>0</v>
      </c>
      <c r="CW122" s="296">
        <v>0</v>
      </c>
      <c r="CX122" s="296">
        <v>0</v>
      </c>
      <c r="CY122" s="296">
        <v>0</v>
      </c>
      <c r="CZ122" s="296">
        <v>0</v>
      </c>
      <c r="DA122" s="296">
        <v>0</v>
      </c>
      <c r="DB122" s="296">
        <v>0</v>
      </c>
      <c r="DC122" s="296">
        <v>0</v>
      </c>
      <c r="DD122" s="296">
        <v>0</v>
      </c>
      <c r="DE122" s="296">
        <v>0</v>
      </c>
      <c r="DF122" s="296">
        <v>0</v>
      </c>
      <c r="DG122" s="296">
        <v>0</v>
      </c>
      <c r="DH122" s="296">
        <v>0</v>
      </c>
      <c r="DI122" s="296">
        <v>0</v>
      </c>
      <c r="DJ122" s="296">
        <v>0</v>
      </c>
      <c r="DK122" s="296">
        <v>0</v>
      </c>
      <c r="DL122" s="296">
        <v>0</v>
      </c>
      <c r="DM122" s="296">
        <v>0</v>
      </c>
      <c r="DN122" s="296">
        <v>0</v>
      </c>
      <c r="DO122" s="296">
        <v>0</v>
      </c>
      <c r="DP122" s="296">
        <v>0</v>
      </c>
      <c r="DQ122" s="296">
        <v>0</v>
      </c>
      <c r="DR122" s="296">
        <v>0</v>
      </c>
      <c r="DS122" s="296">
        <v>0</v>
      </c>
      <c r="DT122" s="296">
        <v>0</v>
      </c>
      <c r="DU122" s="296">
        <v>0</v>
      </c>
      <c r="DV122" s="301" t="s">
        <v>548</v>
      </c>
    </row>
    <row r="123" spans="1:126" ht="24.95" customHeight="1" thickBot="1" x14ac:dyDescent="0.3">
      <c r="A123" s="29" t="str">
        <f t="shared" si="176"/>
        <v>122º</v>
      </c>
      <c r="B123" s="69" t="str">
        <f t="shared" si="178"/>
        <v>Fumaça</v>
      </c>
      <c r="C123" s="269" t="str">
        <f t="shared" si="179"/>
        <v>BRA</v>
      </c>
      <c r="D123" s="99" t="str">
        <f t="shared" si="180"/>
        <v>Pé Direito</v>
      </c>
      <c r="E123" s="28" t="str">
        <f t="shared" si="181"/>
        <v>CHA</v>
      </c>
      <c r="F123" s="169">
        <f t="shared" si="182"/>
        <v>17</v>
      </c>
      <c r="G123" s="2" t="str">
        <f t="shared" si="183"/>
        <v>0 € - 50m €</v>
      </c>
      <c r="H123" s="154">
        <f t="shared" si="184"/>
        <v>1.76</v>
      </c>
      <c r="I123" s="64">
        <f t="shared" si="185"/>
        <v>47118</v>
      </c>
      <c r="J123" s="304" t="str">
        <f t="shared" si="186"/>
        <v>180 € p/m</v>
      </c>
      <c r="K123" s="96">
        <f t="shared" si="177"/>
        <v>3.5222222222222221</v>
      </c>
      <c r="L123" s="146">
        <f t="shared" si="187"/>
        <v>0</v>
      </c>
      <c r="M123" s="6">
        <f t="shared" si="188"/>
        <v>0</v>
      </c>
      <c r="N123" s="5">
        <f t="shared" si="189"/>
        <v>5400</v>
      </c>
      <c r="O123" s="21">
        <f t="shared" si="190"/>
        <v>0</v>
      </c>
      <c r="P123" s="2">
        <f t="shared" si="191"/>
        <v>0</v>
      </c>
      <c r="Q123" s="2">
        <f t="shared" si="192"/>
        <v>0</v>
      </c>
      <c r="R123" s="5">
        <f t="shared" si="193"/>
        <v>0</v>
      </c>
      <c r="S123" s="2">
        <f t="shared" si="194"/>
        <v>0</v>
      </c>
      <c r="T123" s="2">
        <f t="shared" si="195"/>
        <v>0</v>
      </c>
      <c r="U123" s="102">
        <f t="shared" si="196"/>
        <v>0</v>
      </c>
      <c r="V123" s="102">
        <f t="shared" si="197"/>
        <v>0</v>
      </c>
      <c r="W123" s="6">
        <f t="shared" si="198"/>
        <v>0</v>
      </c>
      <c r="X123" s="5">
        <f t="shared" si="199"/>
        <v>0</v>
      </c>
      <c r="Y123" s="6">
        <f t="shared" si="200"/>
        <v>0</v>
      </c>
      <c r="Z123" s="5" t="e">
        <f t="shared" si="201"/>
        <v>#DIV/0!</v>
      </c>
      <c r="AA123" s="21">
        <f t="shared" si="202"/>
        <v>0</v>
      </c>
      <c r="AB123" s="6">
        <f t="shared" si="203"/>
        <v>0</v>
      </c>
      <c r="AC123" s="5" t="e">
        <f t="shared" si="204"/>
        <v>#DIV/0!</v>
      </c>
      <c r="AD123" s="6">
        <f t="shared" si="205"/>
        <v>0</v>
      </c>
      <c r="AE123" s="5">
        <f t="shared" si="206"/>
        <v>0</v>
      </c>
      <c r="AF123" s="21">
        <f t="shared" si="207"/>
        <v>0</v>
      </c>
      <c r="AG123" s="6">
        <f t="shared" si="208"/>
        <v>0</v>
      </c>
      <c r="AH123" s="5">
        <f t="shared" si="209"/>
        <v>0</v>
      </c>
      <c r="AI123" s="21">
        <f t="shared" si="210"/>
        <v>0</v>
      </c>
      <c r="AJ123" s="6">
        <f t="shared" si="211"/>
        <v>0</v>
      </c>
      <c r="AK123" s="5">
        <f t="shared" si="212"/>
        <v>0</v>
      </c>
      <c r="AL123" s="21">
        <f t="shared" si="213"/>
        <v>0</v>
      </c>
      <c r="AM123" s="21">
        <f t="shared" si="214"/>
        <v>0</v>
      </c>
      <c r="AN123" s="6">
        <f t="shared" si="215"/>
        <v>0</v>
      </c>
      <c r="AO123" s="5">
        <f t="shared" si="216"/>
        <v>0</v>
      </c>
      <c r="AP123" s="6">
        <f t="shared" si="217"/>
        <v>0</v>
      </c>
      <c r="AQ123" s="5">
        <f t="shared" si="218"/>
        <v>0</v>
      </c>
      <c r="AR123" s="2">
        <f t="shared" si="219"/>
        <v>0</v>
      </c>
      <c r="AS123" s="5">
        <f t="shared" si="220"/>
        <v>0</v>
      </c>
      <c r="AT123" s="21">
        <f t="shared" si="221"/>
        <v>0</v>
      </c>
      <c r="AU123" s="20">
        <f t="shared" si="222"/>
        <v>0</v>
      </c>
      <c r="AV123" s="20">
        <f t="shared" si="223"/>
        <v>1</v>
      </c>
      <c r="AW123" s="199">
        <f t="shared" si="224"/>
        <v>0</v>
      </c>
      <c r="AX123" s="24">
        <f t="shared" si="225"/>
        <v>0</v>
      </c>
      <c r="AY123" s="5">
        <f t="shared" si="226"/>
        <v>0</v>
      </c>
      <c r="AZ123" s="5">
        <f t="shared" si="227"/>
        <v>0</v>
      </c>
      <c r="BA123" s="5">
        <f t="shared" si="228"/>
        <v>0</v>
      </c>
      <c r="BB123" s="5">
        <f t="shared" si="229"/>
        <v>0</v>
      </c>
      <c r="BC123" s="5">
        <f t="shared" si="230"/>
        <v>0</v>
      </c>
      <c r="BD123" s="5">
        <f t="shared" si="231"/>
        <v>0</v>
      </c>
      <c r="BE123" s="199">
        <f t="shared" si="232"/>
        <v>0</v>
      </c>
      <c r="BF123" s="21">
        <f t="shared" si="233"/>
        <v>0</v>
      </c>
      <c r="BG123" s="6">
        <f t="shared" si="234"/>
        <v>0</v>
      </c>
      <c r="BH123" s="5" t="e">
        <f t="shared" si="235"/>
        <v>#DIV/0!</v>
      </c>
      <c r="BI123" s="6">
        <f t="shared" si="236"/>
        <v>0</v>
      </c>
      <c r="BJ123" s="5" t="e">
        <f t="shared" si="237"/>
        <v>#DIV/0!</v>
      </c>
      <c r="BK123" s="20">
        <f t="shared" si="238"/>
        <v>-9.9999999999999998E-13</v>
      </c>
      <c r="BL123" s="20">
        <f t="shared" si="239"/>
        <v>0</v>
      </c>
      <c r="BM123" s="6">
        <f t="shared" si="240"/>
        <v>0</v>
      </c>
      <c r="BN123" s="5">
        <f t="shared" si="241"/>
        <v>0</v>
      </c>
      <c r="BO123" s="333">
        <f t="shared" si="242"/>
        <v>0</v>
      </c>
      <c r="BP123" s="334">
        <f t="shared" si="243"/>
        <v>0</v>
      </c>
      <c r="BQ123" s="6">
        <f t="shared" si="244"/>
        <v>0</v>
      </c>
      <c r="BR123" s="5">
        <f t="shared" si="245"/>
        <v>0</v>
      </c>
      <c r="BS123" s="6">
        <f t="shared" si="246"/>
        <v>0</v>
      </c>
      <c r="BT123" s="5">
        <f t="shared" si="247"/>
        <v>0</v>
      </c>
      <c r="BU123" s="181">
        <f t="shared" si="248"/>
        <v>0</v>
      </c>
      <c r="BV123" s="154">
        <f t="shared" si="249"/>
        <v>0</v>
      </c>
      <c r="BW123" s="181">
        <f t="shared" si="250"/>
        <v>0</v>
      </c>
      <c r="BX123" s="180">
        <f t="shared" si="251"/>
        <v>0</v>
      </c>
      <c r="BY123" s="181">
        <f t="shared" si="252"/>
        <v>0</v>
      </c>
      <c r="BZ123" s="154">
        <f t="shared" si="253"/>
        <v>0</v>
      </c>
      <c r="CA123" s="182">
        <f t="shared" si="254"/>
        <v>0</v>
      </c>
      <c r="CB123" s="2">
        <f t="shared" si="255"/>
        <v>0</v>
      </c>
      <c r="CC123" s="2">
        <f t="shared" si="256"/>
        <v>0</v>
      </c>
      <c r="CD123" s="2">
        <f t="shared" si="257"/>
        <v>0</v>
      </c>
      <c r="CE123" s="2">
        <f t="shared" si="258"/>
        <v>0</v>
      </c>
      <c r="CF123" s="6">
        <f t="shared" si="259"/>
        <v>0</v>
      </c>
      <c r="CG123" s="6">
        <f t="shared" si="260"/>
        <v>0</v>
      </c>
      <c r="CH123" s="6">
        <f t="shared" si="261"/>
        <v>0</v>
      </c>
      <c r="CI123" s="20">
        <f t="shared" si="262"/>
        <v>0</v>
      </c>
      <c r="CJ123" s="133">
        <f t="shared" si="263"/>
        <v>2521</v>
      </c>
      <c r="CK123" s="5">
        <f t="shared" si="264"/>
        <v>0</v>
      </c>
      <c r="CL123" s="302" t="s">
        <v>1235</v>
      </c>
      <c r="CM123" s="298" t="s">
        <v>13</v>
      </c>
      <c r="CN123" s="298" t="s">
        <v>1242</v>
      </c>
      <c r="CO123" s="298">
        <v>17</v>
      </c>
      <c r="CP123" s="298" t="s">
        <v>1444</v>
      </c>
      <c r="CQ123" s="298" t="s">
        <v>1445</v>
      </c>
      <c r="CR123" s="298" t="s">
        <v>644</v>
      </c>
      <c r="CS123" s="298" t="s">
        <v>1432</v>
      </c>
      <c r="CT123" s="298" t="s">
        <v>579</v>
      </c>
      <c r="CU123" s="299">
        <v>47118</v>
      </c>
      <c r="CV123" s="298">
        <v>0</v>
      </c>
      <c r="CW123" s="298">
        <v>0</v>
      </c>
      <c r="CX123" s="298">
        <v>0</v>
      </c>
      <c r="CY123" s="298">
        <v>0</v>
      </c>
      <c r="CZ123" s="298">
        <v>0</v>
      </c>
      <c r="DA123" s="298">
        <v>0</v>
      </c>
      <c r="DB123" s="298">
        <v>0</v>
      </c>
      <c r="DC123" s="298">
        <v>0</v>
      </c>
      <c r="DD123" s="298">
        <v>0</v>
      </c>
      <c r="DE123" s="298">
        <v>0</v>
      </c>
      <c r="DF123" s="298">
        <v>0</v>
      </c>
      <c r="DG123" s="298">
        <v>0</v>
      </c>
      <c r="DH123" s="298">
        <v>0</v>
      </c>
      <c r="DI123" s="298">
        <v>0</v>
      </c>
      <c r="DJ123" s="298">
        <v>0</v>
      </c>
      <c r="DK123" s="298">
        <v>0</v>
      </c>
      <c r="DL123" s="298">
        <v>0</v>
      </c>
      <c r="DM123" s="298">
        <v>0</v>
      </c>
      <c r="DN123" s="298">
        <v>0</v>
      </c>
      <c r="DO123" s="298">
        <v>0</v>
      </c>
      <c r="DP123" s="298">
        <v>0</v>
      </c>
      <c r="DQ123" s="298">
        <v>0</v>
      </c>
      <c r="DR123" s="298">
        <v>0</v>
      </c>
      <c r="DS123" s="298">
        <v>0</v>
      </c>
      <c r="DT123" s="298">
        <v>0</v>
      </c>
      <c r="DU123" s="298">
        <v>0</v>
      </c>
      <c r="DV123" s="303" t="s">
        <v>548</v>
      </c>
    </row>
    <row r="124" spans="1:126" ht="24.95" customHeight="1" thickBot="1" x14ac:dyDescent="0.3">
      <c r="A124" s="29" t="str">
        <f t="shared" si="176"/>
        <v>123º</v>
      </c>
      <c r="B124" s="69" t="str">
        <f t="shared" si="178"/>
        <v>André Luiz</v>
      </c>
      <c r="C124" s="269" t="str">
        <f t="shared" si="179"/>
        <v>BRA</v>
      </c>
      <c r="D124" s="99" t="str">
        <f t="shared" si="180"/>
        <v>Pé Direito</v>
      </c>
      <c r="E124" s="28" t="str">
        <f t="shared" si="181"/>
        <v>FIG</v>
      </c>
      <c r="F124" s="169">
        <f t="shared" si="182"/>
        <v>18</v>
      </c>
      <c r="G124" s="2" t="str">
        <f t="shared" si="183"/>
        <v>140m € - 400m €</v>
      </c>
      <c r="H124" s="154">
        <f t="shared" si="184"/>
        <v>1.83</v>
      </c>
      <c r="I124" s="64">
        <f t="shared" si="185"/>
        <v>47483</v>
      </c>
      <c r="J124" s="304" t="str">
        <f t="shared" si="186"/>
        <v>525 € p/m</v>
      </c>
      <c r="K124" s="96">
        <f t="shared" si="177"/>
        <v>3.5222222222222221</v>
      </c>
      <c r="L124" s="146">
        <f t="shared" si="187"/>
        <v>1</v>
      </c>
      <c r="M124" s="6">
        <f t="shared" si="188"/>
        <v>0</v>
      </c>
      <c r="N124" s="5">
        <f t="shared" si="189"/>
        <v>5400</v>
      </c>
      <c r="O124" s="21">
        <f t="shared" si="190"/>
        <v>0</v>
      </c>
      <c r="P124" s="2">
        <f t="shared" si="191"/>
        <v>25</v>
      </c>
      <c r="Q124" s="2">
        <f t="shared" si="192"/>
        <v>15</v>
      </c>
      <c r="R124" s="5">
        <f t="shared" si="193"/>
        <v>15</v>
      </c>
      <c r="S124" s="2">
        <f t="shared" si="194"/>
        <v>10</v>
      </c>
      <c r="T124" s="2">
        <f t="shared" si="195"/>
        <v>5</v>
      </c>
      <c r="U124" s="102">
        <f t="shared" si="196"/>
        <v>0.4</v>
      </c>
      <c r="V124" s="102">
        <f t="shared" si="197"/>
        <v>0.6</v>
      </c>
      <c r="W124" s="6">
        <f t="shared" si="198"/>
        <v>25</v>
      </c>
      <c r="X124" s="5">
        <f t="shared" si="199"/>
        <v>25</v>
      </c>
      <c r="Y124" s="6">
        <f t="shared" si="200"/>
        <v>0</v>
      </c>
      <c r="Z124" s="5">
        <f t="shared" si="201"/>
        <v>0</v>
      </c>
      <c r="AA124" s="21">
        <f t="shared" si="202"/>
        <v>0</v>
      </c>
      <c r="AB124" s="6">
        <f t="shared" si="203"/>
        <v>0</v>
      </c>
      <c r="AC124" s="5">
        <f t="shared" si="204"/>
        <v>0</v>
      </c>
      <c r="AD124" s="6">
        <f t="shared" si="205"/>
        <v>1</v>
      </c>
      <c r="AE124" s="5">
        <f t="shared" si="206"/>
        <v>1</v>
      </c>
      <c r="AF124" s="21">
        <f t="shared" si="207"/>
        <v>1</v>
      </c>
      <c r="AG124" s="6">
        <f t="shared" si="208"/>
        <v>0</v>
      </c>
      <c r="AH124" s="5">
        <f t="shared" si="209"/>
        <v>0</v>
      </c>
      <c r="AI124" s="21">
        <f t="shared" si="210"/>
        <v>0</v>
      </c>
      <c r="AJ124" s="6">
        <f t="shared" si="211"/>
        <v>0</v>
      </c>
      <c r="AK124" s="5">
        <f t="shared" si="212"/>
        <v>0</v>
      </c>
      <c r="AL124" s="21">
        <f t="shared" si="213"/>
        <v>0</v>
      </c>
      <c r="AM124" s="21">
        <f t="shared" si="214"/>
        <v>1</v>
      </c>
      <c r="AN124" s="6">
        <f t="shared" si="215"/>
        <v>1</v>
      </c>
      <c r="AO124" s="5">
        <f t="shared" si="216"/>
        <v>1</v>
      </c>
      <c r="AP124" s="6">
        <f t="shared" si="217"/>
        <v>1</v>
      </c>
      <c r="AQ124" s="5">
        <f t="shared" si="218"/>
        <v>1</v>
      </c>
      <c r="AR124" s="2">
        <f t="shared" si="219"/>
        <v>1</v>
      </c>
      <c r="AS124" s="5">
        <f t="shared" si="220"/>
        <v>1</v>
      </c>
      <c r="AT124" s="21">
        <f t="shared" si="221"/>
        <v>1</v>
      </c>
      <c r="AU124" s="20">
        <f t="shared" si="222"/>
        <v>0</v>
      </c>
      <c r="AV124" s="20">
        <f t="shared" si="223"/>
        <v>0</v>
      </c>
      <c r="AW124" s="199">
        <f t="shared" si="224"/>
        <v>1</v>
      </c>
      <c r="AX124" s="24">
        <f t="shared" si="225"/>
        <v>0</v>
      </c>
      <c r="AY124" s="5">
        <f t="shared" si="226"/>
        <v>0</v>
      </c>
      <c r="AZ124" s="5">
        <f t="shared" si="227"/>
        <v>0</v>
      </c>
      <c r="BA124" s="5">
        <f t="shared" si="228"/>
        <v>0.74</v>
      </c>
      <c r="BB124" s="5">
        <f t="shared" si="229"/>
        <v>0.74</v>
      </c>
      <c r="BC124" s="5">
        <f t="shared" si="230"/>
        <v>0.74</v>
      </c>
      <c r="BD124" s="5">
        <f t="shared" si="231"/>
        <v>0.74</v>
      </c>
      <c r="BE124" s="199">
        <f t="shared" si="232"/>
        <v>0.74</v>
      </c>
      <c r="BF124" s="21">
        <f t="shared" si="233"/>
        <v>1</v>
      </c>
      <c r="BG124" s="6">
        <f t="shared" si="234"/>
        <v>0</v>
      </c>
      <c r="BH124" s="5">
        <f t="shared" si="235"/>
        <v>0</v>
      </c>
      <c r="BI124" s="6">
        <f t="shared" si="236"/>
        <v>0</v>
      </c>
      <c r="BJ124" s="5">
        <f t="shared" si="237"/>
        <v>0</v>
      </c>
      <c r="BK124" s="20">
        <f t="shared" si="238"/>
        <v>-9.9999999999999998E-13</v>
      </c>
      <c r="BL124" s="20">
        <f t="shared" si="239"/>
        <v>0</v>
      </c>
      <c r="BM124" s="6">
        <f t="shared" si="240"/>
        <v>0</v>
      </c>
      <c r="BN124" s="5">
        <f t="shared" si="241"/>
        <v>0</v>
      </c>
      <c r="BO124" s="333">
        <f t="shared" si="242"/>
        <v>0</v>
      </c>
      <c r="BP124" s="334">
        <f t="shared" si="243"/>
        <v>0</v>
      </c>
      <c r="BQ124" s="6">
        <f t="shared" si="244"/>
        <v>3</v>
      </c>
      <c r="BR124" s="5">
        <f t="shared" si="245"/>
        <v>3</v>
      </c>
      <c r="BS124" s="6">
        <f t="shared" si="246"/>
        <v>10</v>
      </c>
      <c r="BT124" s="5">
        <f t="shared" si="247"/>
        <v>10</v>
      </c>
      <c r="BU124" s="181">
        <f t="shared" si="248"/>
        <v>1</v>
      </c>
      <c r="BV124" s="154">
        <f t="shared" si="249"/>
        <v>1</v>
      </c>
      <c r="BW124" s="181">
        <f t="shared" si="250"/>
        <v>0</v>
      </c>
      <c r="BX124" s="180">
        <f t="shared" si="251"/>
        <v>0</v>
      </c>
      <c r="BY124" s="181">
        <f t="shared" si="252"/>
        <v>1</v>
      </c>
      <c r="BZ124" s="154">
        <f t="shared" si="253"/>
        <v>1</v>
      </c>
      <c r="CA124" s="182">
        <f t="shared" si="254"/>
        <v>0</v>
      </c>
      <c r="CB124" s="2">
        <f t="shared" si="255"/>
        <v>1</v>
      </c>
      <c r="CC124" s="2">
        <f t="shared" si="256"/>
        <v>0</v>
      </c>
      <c r="CD124" s="2">
        <f t="shared" si="257"/>
        <v>1</v>
      </c>
      <c r="CE124" s="2">
        <f t="shared" si="258"/>
        <v>1</v>
      </c>
      <c r="CF124" s="6">
        <f t="shared" si="259"/>
        <v>1</v>
      </c>
      <c r="CG124" s="6">
        <f t="shared" si="260"/>
        <v>42.3</v>
      </c>
      <c r="CH124" s="6">
        <f t="shared" si="261"/>
        <v>16</v>
      </c>
      <c r="CI124" s="20">
        <f t="shared" si="262"/>
        <v>0.37825059101654851</v>
      </c>
      <c r="CJ124" s="133">
        <f t="shared" si="263"/>
        <v>2521</v>
      </c>
      <c r="CK124" s="5">
        <f t="shared" si="264"/>
        <v>7.6</v>
      </c>
      <c r="CL124" s="300" t="s">
        <v>1235</v>
      </c>
      <c r="CM124" s="296" t="s">
        <v>13</v>
      </c>
      <c r="CN124" s="296" t="s">
        <v>1446</v>
      </c>
      <c r="CO124" s="296">
        <v>18</v>
      </c>
      <c r="CP124" s="296" t="s">
        <v>1151</v>
      </c>
      <c r="CQ124" s="296" t="s">
        <v>1447</v>
      </c>
      <c r="CR124" s="296" t="s">
        <v>644</v>
      </c>
      <c r="CS124" s="296" t="s">
        <v>1322</v>
      </c>
      <c r="CT124" s="296" t="s">
        <v>586</v>
      </c>
      <c r="CU124" s="297">
        <v>47483</v>
      </c>
      <c r="CV124" s="296">
        <v>0</v>
      </c>
      <c r="CW124" s="296">
        <v>90</v>
      </c>
      <c r="CX124" s="296">
        <v>0</v>
      </c>
      <c r="CY124" s="296">
        <v>1</v>
      </c>
      <c r="CZ124" s="296">
        <v>0</v>
      </c>
      <c r="DA124" s="296">
        <v>0</v>
      </c>
      <c r="DB124" s="296">
        <v>0</v>
      </c>
      <c r="DC124" s="296">
        <v>3</v>
      </c>
      <c r="DD124" s="296">
        <v>10</v>
      </c>
      <c r="DE124" s="296">
        <v>1</v>
      </c>
      <c r="DF124" s="296">
        <v>1</v>
      </c>
      <c r="DG124" s="296">
        <v>0</v>
      </c>
      <c r="DH124" s="296">
        <v>1</v>
      </c>
      <c r="DI124" s="296">
        <v>1</v>
      </c>
      <c r="DJ124" s="296">
        <v>0</v>
      </c>
      <c r="DK124" s="296">
        <v>0</v>
      </c>
      <c r="DL124" s="296">
        <v>25</v>
      </c>
      <c r="DM124" s="296">
        <v>15</v>
      </c>
      <c r="DN124" s="296" t="s">
        <v>1448</v>
      </c>
      <c r="DO124" s="296">
        <v>0</v>
      </c>
      <c r="DP124" s="296">
        <v>0</v>
      </c>
      <c r="DQ124" s="296">
        <v>0</v>
      </c>
      <c r="DR124" s="296">
        <v>0</v>
      </c>
      <c r="DS124" s="296">
        <v>0</v>
      </c>
      <c r="DT124" s="296">
        <v>0</v>
      </c>
      <c r="DU124" s="296">
        <v>0</v>
      </c>
      <c r="DV124" s="301">
        <v>7.6</v>
      </c>
    </row>
    <row r="125" spans="1:126" ht="24.95" customHeight="1" thickBot="1" x14ac:dyDescent="0.3">
      <c r="A125" s="29" t="str">
        <f t="shared" si="176"/>
        <v>124º</v>
      </c>
      <c r="B125" s="69" t="str">
        <f t="shared" si="178"/>
        <v>Baltemar Moraes</v>
      </c>
      <c r="C125" s="269" t="str">
        <f t="shared" si="179"/>
        <v>BRA</v>
      </c>
      <c r="D125" s="99" t="str">
        <f t="shared" si="180"/>
        <v>Pé Direito</v>
      </c>
      <c r="E125" s="28" t="str">
        <f t="shared" si="181"/>
        <v>AFE</v>
      </c>
      <c r="F125" s="169">
        <f t="shared" si="182"/>
        <v>17</v>
      </c>
      <c r="G125" s="2" t="str">
        <f t="shared" si="183"/>
        <v>45m € - 140m €</v>
      </c>
      <c r="H125" s="154">
        <f t="shared" si="184"/>
        <v>1.93</v>
      </c>
      <c r="I125" s="64">
        <f t="shared" si="185"/>
        <v>47848</v>
      </c>
      <c r="J125" s="304" t="str">
        <f t="shared" si="186"/>
        <v>320 € p/m</v>
      </c>
      <c r="K125" s="96">
        <f t="shared" si="177"/>
        <v>3.5222222222222221</v>
      </c>
      <c r="L125" s="146">
        <f t="shared" si="187"/>
        <v>0</v>
      </c>
      <c r="M125" s="6">
        <f t="shared" si="188"/>
        <v>0</v>
      </c>
      <c r="N125" s="5">
        <f t="shared" si="189"/>
        <v>5400</v>
      </c>
      <c r="O125" s="21">
        <f t="shared" si="190"/>
        <v>0</v>
      </c>
      <c r="P125" s="2">
        <f t="shared" si="191"/>
        <v>0</v>
      </c>
      <c r="Q125" s="2">
        <f t="shared" si="192"/>
        <v>0</v>
      </c>
      <c r="R125" s="5">
        <f t="shared" si="193"/>
        <v>0</v>
      </c>
      <c r="S125" s="2">
        <f t="shared" si="194"/>
        <v>0</v>
      </c>
      <c r="T125" s="2">
        <f t="shared" si="195"/>
        <v>0</v>
      </c>
      <c r="U125" s="102">
        <f t="shared" si="196"/>
        <v>0</v>
      </c>
      <c r="V125" s="102">
        <f t="shared" si="197"/>
        <v>0</v>
      </c>
      <c r="W125" s="6">
        <f t="shared" si="198"/>
        <v>0</v>
      </c>
      <c r="X125" s="5">
        <f t="shared" si="199"/>
        <v>0</v>
      </c>
      <c r="Y125" s="6">
        <f t="shared" si="200"/>
        <v>0</v>
      </c>
      <c r="Z125" s="5" t="e">
        <f t="shared" si="201"/>
        <v>#DIV/0!</v>
      </c>
      <c r="AA125" s="21">
        <f t="shared" si="202"/>
        <v>0</v>
      </c>
      <c r="AB125" s="6">
        <f t="shared" si="203"/>
        <v>0</v>
      </c>
      <c r="AC125" s="5" t="e">
        <f t="shared" si="204"/>
        <v>#DIV/0!</v>
      </c>
      <c r="AD125" s="6">
        <f t="shared" si="205"/>
        <v>0</v>
      </c>
      <c r="AE125" s="5">
        <f t="shared" si="206"/>
        <v>0</v>
      </c>
      <c r="AF125" s="21">
        <f t="shared" si="207"/>
        <v>0</v>
      </c>
      <c r="AG125" s="6">
        <f t="shared" si="208"/>
        <v>0</v>
      </c>
      <c r="AH125" s="5">
        <f t="shared" si="209"/>
        <v>0</v>
      </c>
      <c r="AI125" s="21">
        <f t="shared" si="210"/>
        <v>0</v>
      </c>
      <c r="AJ125" s="6">
        <f t="shared" si="211"/>
        <v>0</v>
      </c>
      <c r="AK125" s="5">
        <f t="shared" si="212"/>
        <v>0</v>
      </c>
      <c r="AL125" s="21">
        <f t="shared" si="213"/>
        <v>0</v>
      </c>
      <c r="AM125" s="21">
        <f t="shared" si="214"/>
        <v>0</v>
      </c>
      <c r="AN125" s="6">
        <f t="shared" si="215"/>
        <v>0</v>
      </c>
      <c r="AO125" s="5">
        <f t="shared" si="216"/>
        <v>0</v>
      </c>
      <c r="AP125" s="6">
        <f t="shared" si="217"/>
        <v>0</v>
      </c>
      <c r="AQ125" s="5">
        <f t="shared" si="218"/>
        <v>0</v>
      </c>
      <c r="AR125" s="2">
        <f t="shared" si="219"/>
        <v>0</v>
      </c>
      <c r="AS125" s="5">
        <f t="shared" si="220"/>
        <v>0</v>
      </c>
      <c r="AT125" s="21">
        <f t="shared" si="221"/>
        <v>0</v>
      </c>
      <c r="AU125" s="20">
        <f t="shared" si="222"/>
        <v>0</v>
      </c>
      <c r="AV125" s="20">
        <f t="shared" si="223"/>
        <v>1</v>
      </c>
      <c r="AW125" s="199">
        <f t="shared" si="224"/>
        <v>0</v>
      </c>
      <c r="AX125" s="24">
        <f t="shared" si="225"/>
        <v>0</v>
      </c>
      <c r="AY125" s="5">
        <f t="shared" si="226"/>
        <v>0</v>
      </c>
      <c r="AZ125" s="5">
        <f t="shared" si="227"/>
        <v>0</v>
      </c>
      <c r="BA125" s="5">
        <f t="shared" si="228"/>
        <v>0</v>
      </c>
      <c r="BB125" s="5">
        <f t="shared" si="229"/>
        <v>0</v>
      </c>
      <c r="BC125" s="5">
        <f t="shared" si="230"/>
        <v>0</v>
      </c>
      <c r="BD125" s="5">
        <f t="shared" si="231"/>
        <v>0</v>
      </c>
      <c r="BE125" s="199">
        <f t="shared" si="232"/>
        <v>0</v>
      </c>
      <c r="BF125" s="21">
        <f t="shared" si="233"/>
        <v>0</v>
      </c>
      <c r="BG125" s="6">
        <f t="shared" si="234"/>
        <v>0</v>
      </c>
      <c r="BH125" s="5" t="e">
        <f t="shared" si="235"/>
        <v>#DIV/0!</v>
      </c>
      <c r="BI125" s="6">
        <f t="shared" si="236"/>
        <v>0</v>
      </c>
      <c r="BJ125" s="5" t="e">
        <f t="shared" si="237"/>
        <v>#DIV/0!</v>
      </c>
      <c r="BK125" s="20">
        <f t="shared" si="238"/>
        <v>-9.9999999999999998E-13</v>
      </c>
      <c r="BL125" s="20">
        <f t="shared" si="239"/>
        <v>0</v>
      </c>
      <c r="BM125" s="6">
        <f t="shared" si="240"/>
        <v>0</v>
      </c>
      <c r="BN125" s="5">
        <f t="shared" si="241"/>
        <v>0</v>
      </c>
      <c r="BO125" s="333">
        <f t="shared" si="242"/>
        <v>0</v>
      </c>
      <c r="BP125" s="334">
        <f t="shared" si="243"/>
        <v>0</v>
      </c>
      <c r="BQ125" s="6">
        <f t="shared" si="244"/>
        <v>0</v>
      </c>
      <c r="BR125" s="5">
        <f t="shared" si="245"/>
        <v>0</v>
      </c>
      <c r="BS125" s="6">
        <f t="shared" si="246"/>
        <v>0</v>
      </c>
      <c r="BT125" s="5">
        <f t="shared" si="247"/>
        <v>0</v>
      </c>
      <c r="BU125" s="181">
        <f t="shared" si="248"/>
        <v>0</v>
      </c>
      <c r="BV125" s="154">
        <f t="shared" si="249"/>
        <v>0</v>
      </c>
      <c r="BW125" s="181">
        <f t="shared" si="250"/>
        <v>0</v>
      </c>
      <c r="BX125" s="180">
        <f t="shared" si="251"/>
        <v>0</v>
      </c>
      <c r="BY125" s="181">
        <f t="shared" si="252"/>
        <v>0</v>
      </c>
      <c r="BZ125" s="154">
        <f t="shared" si="253"/>
        <v>0</v>
      </c>
      <c r="CA125" s="182">
        <f t="shared" si="254"/>
        <v>0</v>
      </c>
      <c r="CB125" s="2">
        <f t="shared" si="255"/>
        <v>0</v>
      </c>
      <c r="CC125" s="2">
        <f t="shared" si="256"/>
        <v>0</v>
      </c>
      <c r="CD125" s="2">
        <f t="shared" si="257"/>
        <v>0</v>
      </c>
      <c r="CE125" s="2">
        <f t="shared" si="258"/>
        <v>0</v>
      </c>
      <c r="CF125" s="6">
        <f t="shared" si="259"/>
        <v>0</v>
      </c>
      <c r="CG125" s="6">
        <f t="shared" si="260"/>
        <v>0</v>
      </c>
      <c r="CH125" s="6">
        <f t="shared" si="261"/>
        <v>0</v>
      </c>
      <c r="CI125" s="20">
        <f t="shared" si="262"/>
        <v>0</v>
      </c>
      <c r="CJ125" s="133">
        <f t="shared" si="263"/>
        <v>2521</v>
      </c>
      <c r="CK125" s="5">
        <f t="shared" si="264"/>
        <v>0</v>
      </c>
      <c r="CL125" s="302" t="s">
        <v>1235</v>
      </c>
      <c r="CM125" s="298" t="s">
        <v>13</v>
      </c>
      <c r="CN125" s="298" t="s">
        <v>1184</v>
      </c>
      <c r="CO125" s="298">
        <v>17</v>
      </c>
      <c r="CP125" s="298" t="s">
        <v>1449</v>
      </c>
      <c r="CQ125" s="298" t="s">
        <v>1223</v>
      </c>
      <c r="CR125" s="298" t="s">
        <v>644</v>
      </c>
      <c r="CS125" s="298" t="s">
        <v>1450</v>
      </c>
      <c r="CT125" s="298" t="s">
        <v>1123</v>
      </c>
      <c r="CU125" s="299">
        <v>47848</v>
      </c>
      <c r="CV125" s="298">
        <v>0</v>
      </c>
      <c r="CW125" s="298">
        <v>0</v>
      </c>
      <c r="CX125" s="298">
        <v>0</v>
      </c>
      <c r="CY125" s="298">
        <v>0</v>
      </c>
      <c r="CZ125" s="298">
        <v>0</v>
      </c>
      <c r="DA125" s="298">
        <v>0</v>
      </c>
      <c r="DB125" s="298">
        <v>0</v>
      </c>
      <c r="DC125" s="298">
        <v>0</v>
      </c>
      <c r="DD125" s="298">
        <v>0</v>
      </c>
      <c r="DE125" s="298">
        <v>0</v>
      </c>
      <c r="DF125" s="298">
        <v>0</v>
      </c>
      <c r="DG125" s="298">
        <v>0</v>
      </c>
      <c r="DH125" s="298">
        <v>0</v>
      </c>
      <c r="DI125" s="298">
        <v>0</v>
      </c>
      <c r="DJ125" s="298">
        <v>0</v>
      </c>
      <c r="DK125" s="298">
        <v>0</v>
      </c>
      <c r="DL125" s="298">
        <v>0</v>
      </c>
      <c r="DM125" s="298">
        <v>0</v>
      </c>
      <c r="DN125" s="298">
        <v>0</v>
      </c>
      <c r="DO125" s="298">
        <v>0</v>
      </c>
      <c r="DP125" s="298">
        <v>0</v>
      </c>
      <c r="DQ125" s="298">
        <v>0</v>
      </c>
      <c r="DR125" s="298">
        <v>0</v>
      </c>
      <c r="DS125" s="298">
        <v>0</v>
      </c>
      <c r="DT125" s="298">
        <v>0</v>
      </c>
      <c r="DU125" s="298">
        <v>0</v>
      </c>
      <c r="DV125" s="303" t="s">
        <v>548</v>
      </c>
    </row>
    <row r="126" spans="1:126" ht="24.95" customHeight="1" thickBot="1" x14ac:dyDescent="0.3">
      <c r="A126" s="29" t="str">
        <f t="shared" si="176"/>
        <v>125º</v>
      </c>
      <c r="B126" s="69" t="str">
        <f t="shared" si="178"/>
        <v>Vicente</v>
      </c>
      <c r="C126" s="269" t="str">
        <f t="shared" si="179"/>
        <v>BRA</v>
      </c>
      <c r="D126" s="99" t="str">
        <f t="shared" si="180"/>
        <v>Pé Direito</v>
      </c>
      <c r="E126" s="28" t="str">
        <f t="shared" si="181"/>
        <v>PAY</v>
      </c>
      <c r="F126" s="169">
        <f t="shared" si="182"/>
        <v>18</v>
      </c>
      <c r="G126" s="2" t="str">
        <f t="shared" si="183"/>
        <v>0 € - 8m €</v>
      </c>
      <c r="H126" s="154">
        <f t="shared" si="184"/>
        <v>1.86</v>
      </c>
      <c r="I126" s="64">
        <f t="shared" si="185"/>
        <v>47118</v>
      </c>
      <c r="J126" s="304" t="str">
        <f t="shared" si="186"/>
        <v>420 € p/m</v>
      </c>
      <c r="K126" s="96">
        <f t="shared" si="177"/>
        <v>3.5222222222222221</v>
      </c>
      <c r="L126" s="146">
        <f t="shared" si="187"/>
        <v>0</v>
      </c>
      <c r="M126" s="6">
        <f t="shared" si="188"/>
        <v>0</v>
      </c>
      <c r="N126" s="5">
        <f t="shared" si="189"/>
        <v>5400</v>
      </c>
      <c r="O126" s="21">
        <f t="shared" si="190"/>
        <v>0</v>
      </c>
      <c r="P126" s="2">
        <f t="shared" si="191"/>
        <v>0</v>
      </c>
      <c r="Q126" s="2">
        <f t="shared" si="192"/>
        <v>0</v>
      </c>
      <c r="R126" s="5">
        <f t="shared" si="193"/>
        <v>0</v>
      </c>
      <c r="S126" s="2">
        <f t="shared" si="194"/>
        <v>0</v>
      </c>
      <c r="T126" s="2">
        <f t="shared" si="195"/>
        <v>0</v>
      </c>
      <c r="U126" s="102">
        <f t="shared" si="196"/>
        <v>0</v>
      </c>
      <c r="V126" s="102">
        <f t="shared" si="197"/>
        <v>0</v>
      </c>
      <c r="W126" s="6">
        <f t="shared" si="198"/>
        <v>0</v>
      </c>
      <c r="X126" s="5">
        <f t="shared" si="199"/>
        <v>0</v>
      </c>
      <c r="Y126" s="6">
        <f t="shared" si="200"/>
        <v>0</v>
      </c>
      <c r="Z126" s="5" t="e">
        <f t="shared" si="201"/>
        <v>#DIV/0!</v>
      </c>
      <c r="AA126" s="21">
        <f t="shared" si="202"/>
        <v>0</v>
      </c>
      <c r="AB126" s="6">
        <f t="shared" si="203"/>
        <v>0</v>
      </c>
      <c r="AC126" s="5" t="e">
        <f t="shared" si="204"/>
        <v>#DIV/0!</v>
      </c>
      <c r="AD126" s="6">
        <f t="shared" si="205"/>
        <v>0</v>
      </c>
      <c r="AE126" s="5">
        <f t="shared" si="206"/>
        <v>0</v>
      </c>
      <c r="AF126" s="21">
        <f t="shared" si="207"/>
        <v>0</v>
      </c>
      <c r="AG126" s="6">
        <f t="shared" si="208"/>
        <v>0</v>
      </c>
      <c r="AH126" s="5">
        <f t="shared" si="209"/>
        <v>0</v>
      </c>
      <c r="AI126" s="21">
        <f t="shared" si="210"/>
        <v>0</v>
      </c>
      <c r="AJ126" s="6">
        <f t="shared" si="211"/>
        <v>0</v>
      </c>
      <c r="AK126" s="5">
        <f t="shared" si="212"/>
        <v>0</v>
      </c>
      <c r="AL126" s="21">
        <f t="shared" si="213"/>
        <v>0</v>
      </c>
      <c r="AM126" s="21">
        <f t="shared" si="214"/>
        <v>0</v>
      </c>
      <c r="AN126" s="6">
        <f t="shared" si="215"/>
        <v>0</v>
      </c>
      <c r="AO126" s="5">
        <f t="shared" si="216"/>
        <v>0</v>
      </c>
      <c r="AP126" s="6">
        <f t="shared" si="217"/>
        <v>0</v>
      </c>
      <c r="AQ126" s="5">
        <f t="shared" si="218"/>
        <v>0</v>
      </c>
      <c r="AR126" s="2">
        <f t="shared" si="219"/>
        <v>0</v>
      </c>
      <c r="AS126" s="5">
        <f t="shared" si="220"/>
        <v>0</v>
      </c>
      <c r="AT126" s="21">
        <f t="shared" si="221"/>
        <v>0</v>
      </c>
      <c r="AU126" s="20">
        <f t="shared" si="222"/>
        <v>0</v>
      </c>
      <c r="AV126" s="20">
        <f t="shared" si="223"/>
        <v>1</v>
      </c>
      <c r="AW126" s="199">
        <f t="shared" si="224"/>
        <v>0</v>
      </c>
      <c r="AX126" s="24">
        <f t="shared" si="225"/>
        <v>0</v>
      </c>
      <c r="AY126" s="5">
        <f t="shared" si="226"/>
        <v>0</v>
      </c>
      <c r="AZ126" s="5">
        <f t="shared" si="227"/>
        <v>0</v>
      </c>
      <c r="BA126" s="5">
        <f t="shared" si="228"/>
        <v>0</v>
      </c>
      <c r="BB126" s="5">
        <f t="shared" si="229"/>
        <v>0</v>
      </c>
      <c r="BC126" s="5">
        <f t="shared" si="230"/>
        <v>0</v>
      </c>
      <c r="BD126" s="5">
        <f t="shared" si="231"/>
        <v>0</v>
      </c>
      <c r="BE126" s="199">
        <f t="shared" si="232"/>
        <v>0</v>
      </c>
      <c r="BF126" s="21">
        <f t="shared" si="233"/>
        <v>0</v>
      </c>
      <c r="BG126" s="6">
        <f t="shared" si="234"/>
        <v>0</v>
      </c>
      <c r="BH126" s="5" t="e">
        <f t="shared" si="235"/>
        <v>#DIV/0!</v>
      </c>
      <c r="BI126" s="6">
        <f t="shared" si="236"/>
        <v>0</v>
      </c>
      <c r="BJ126" s="5" t="e">
        <f t="shared" si="237"/>
        <v>#DIV/0!</v>
      </c>
      <c r="BK126" s="20">
        <f t="shared" si="238"/>
        <v>-9.9999999999999998E-13</v>
      </c>
      <c r="BL126" s="20">
        <f t="shared" si="239"/>
        <v>0</v>
      </c>
      <c r="BM126" s="6">
        <f t="shared" si="240"/>
        <v>0</v>
      </c>
      <c r="BN126" s="5">
        <f t="shared" si="241"/>
        <v>0</v>
      </c>
      <c r="BO126" s="333">
        <f t="shared" si="242"/>
        <v>0</v>
      </c>
      <c r="BP126" s="334">
        <f t="shared" si="243"/>
        <v>0</v>
      </c>
      <c r="BQ126" s="6">
        <f t="shared" si="244"/>
        <v>0</v>
      </c>
      <c r="BR126" s="5">
        <f t="shared" si="245"/>
        <v>0</v>
      </c>
      <c r="BS126" s="6">
        <f t="shared" si="246"/>
        <v>0</v>
      </c>
      <c r="BT126" s="5">
        <f t="shared" si="247"/>
        <v>0</v>
      </c>
      <c r="BU126" s="181">
        <f t="shared" si="248"/>
        <v>0</v>
      </c>
      <c r="BV126" s="154">
        <f t="shared" si="249"/>
        <v>0</v>
      </c>
      <c r="BW126" s="181">
        <f t="shared" si="250"/>
        <v>0</v>
      </c>
      <c r="BX126" s="180">
        <f t="shared" si="251"/>
        <v>0</v>
      </c>
      <c r="BY126" s="181">
        <f t="shared" si="252"/>
        <v>0</v>
      </c>
      <c r="BZ126" s="154">
        <f t="shared" si="253"/>
        <v>0</v>
      </c>
      <c r="CA126" s="182">
        <f t="shared" si="254"/>
        <v>0</v>
      </c>
      <c r="CB126" s="2">
        <f t="shared" si="255"/>
        <v>0</v>
      </c>
      <c r="CC126" s="2">
        <f t="shared" si="256"/>
        <v>0</v>
      </c>
      <c r="CD126" s="2">
        <f t="shared" si="257"/>
        <v>0</v>
      </c>
      <c r="CE126" s="2">
        <f t="shared" si="258"/>
        <v>0</v>
      </c>
      <c r="CF126" s="6">
        <f t="shared" si="259"/>
        <v>0</v>
      </c>
      <c r="CG126" s="6">
        <f t="shared" si="260"/>
        <v>0</v>
      </c>
      <c r="CH126" s="6">
        <f t="shared" si="261"/>
        <v>0</v>
      </c>
      <c r="CI126" s="20">
        <f t="shared" si="262"/>
        <v>0</v>
      </c>
      <c r="CJ126" s="133">
        <f t="shared" si="263"/>
        <v>2521</v>
      </c>
      <c r="CK126" s="5">
        <f t="shared" si="264"/>
        <v>0</v>
      </c>
      <c r="CL126" s="300" t="s">
        <v>19</v>
      </c>
      <c r="CM126" s="296" t="s">
        <v>13</v>
      </c>
      <c r="CN126" s="296" t="s">
        <v>1348</v>
      </c>
      <c r="CO126" s="296">
        <v>18</v>
      </c>
      <c r="CP126" s="296" t="s">
        <v>1451</v>
      </c>
      <c r="CQ126" s="296" t="s">
        <v>1452</v>
      </c>
      <c r="CR126" s="296" t="s">
        <v>644</v>
      </c>
      <c r="CS126" s="296" t="s">
        <v>1430</v>
      </c>
      <c r="CT126" s="296" t="s">
        <v>575</v>
      </c>
      <c r="CU126" s="297">
        <v>47118</v>
      </c>
      <c r="CV126" s="296">
        <v>0</v>
      </c>
      <c r="CW126" s="296">
        <v>0</v>
      </c>
      <c r="CX126" s="296">
        <v>0</v>
      </c>
      <c r="CY126" s="296">
        <v>0</v>
      </c>
      <c r="CZ126" s="296">
        <v>0</v>
      </c>
      <c r="DA126" s="296">
        <v>0</v>
      </c>
      <c r="DB126" s="296">
        <v>0</v>
      </c>
      <c r="DC126" s="296">
        <v>0</v>
      </c>
      <c r="DD126" s="296">
        <v>0</v>
      </c>
      <c r="DE126" s="296">
        <v>0</v>
      </c>
      <c r="DF126" s="296">
        <v>0</v>
      </c>
      <c r="DG126" s="296">
        <v>0</v>
      </c>
      <c r="DH126" s="296">
        <v>0</v>
      </c>
      <c r="DI126" s="296">
        <v>0</v>
      </c>
      <c r="DJ126" s="296">
        <v>0</v>
      </c>
      <c r="DK126" s="296">
        <v>0</v>
      </c>
      <c r="DL126" s="296">
        <v>0</v>
      </c>
      <c r="DM126" s="296">
        <v>0</v>
      </c>
      <c r="DN126" s="296">
        <v>0</v>
      </c>
      <c r="DO126" s="296">
        <v>0</v>
      </c>
      <c r="DP126" s="296">
        <v>0</v>
      </c>
      <c r="DQ126" s="296">
        <v>0</v>
      </c>
      <c r="DR126" s="296">
        <v>0</v>
      </c>
      <c r="DS126" s="296">
        <v>0</v>
      </c>
      <c r="DT126" s="296">
        <v>0</v>
      </c>
      <c r="DU126" s="296">
        <v>0</v>
      </c>
      <c r="DV126" s="301" t="s">
        <v>548</v>
      </c>
    </row>
    <row r="127" spans="1:126" ht="24.95" customHeight="1" thickBot="1" x14ac:dyDescent="0.3">
      <c r="A127" s="29" t="str">
        <f t="shared" si="176"/>
        <v>126º</v>
      </c>
      <c r="B127" s="69" t="str">
        <f t="shared" si="178"/>
        <v>Antônio Silva</v>
      </c>
      <c r="C127" s="269" t="str">
        <f t="shared" si="179"/>
        <v>BRA</v>
      </c>
      <c r="D127" s="99" t="str">
        <f t="shared" si="180"/>
        <v>Pé Direito</v>
      </c>
      <c r="E127" s="28" t="str">
        <f t="shared" si="181"/>
        <v>CBR</v>
      </c>
      <c r="F127" s="169">
        <f t="shared" si="182"/>
        <v>17</v>
      </c>
      <c r="G127" s="2" t="str">
        <f t="shared" si="183"/>
        <v>0 € - 16m €</v>
      </c>
      <c r="H127" s="154">
        <f t="shared" si="184"/>
        <v>1.95</v>
      </c>
      <c r="I127" s="64">
        <f t="shared" si="185"/>
        <v>47118</v>
      </c>
      <c r="J127" s="304" t="str">
        <f t="shared" si="186"/>
        <v>550 € p/m</v>
      </c>
      <c r="K127" s="96">
        <f t="shared" si="177"/>
        <v>3.5222222222222221</v>
      </c>
      <c r="L127" s="146">
        <f t="shared" si="187"/>
        <v>0</v>
      </c>
      <c r="M127" s="6">
        <f t="shared" si="188"/>
        <v>0</v>
      </c>
      <c r="N127" s="5">
        <f t="shared" si="189"/>
        <v>5400</v>
      </c>
      <c r="O127" s="21">
        <f t="shared" si="190"/>
        <v>0</v>
      </c>
      <c r="P127" s="2">
        <f t="shared" si="191"/>
        <v>0</v>
      </c>
      <c r="Q127" s="2">
        <f t="shared" si="192"/>
        <v>0</v>
      </c>
      <c r="R127" s="5">
        <f t="shared" si="193"/>
        <v>0</v>
      </c>
      <c r="S127" s="2">
        <f t="shared" si="194"/>
        <v>0</v>
      </c>
      <c r="T127" s="2">
        <f t="shared" si="195"/>
        <v>0</v>
      </c>
      <c r="U127" s="102">
        <f t="shared" si="196"/>
        <v>0</v>
      </c>
      <c r="V127" s="102">
        <f t="shared" si="197"/>
        <v>0</v>
      </c>
      <c r="W127" s="6">
        <f t="shared" si="198"/>
        <v>0</v>
      </c>
      <c r="X127" s="5">
        <f t="shared" si="199"/>
        <v>0</v>
      </c>
      <c r="Y127" s="6">
        <f t="shared" si="200"/>
        <v>0</v>
      </c>
      <c r="Z127" s="5" t="e">
        <f t="shared" si="201"/>
        <v>#DIV/0!</v>
      </c>
      <c r="AA127" s="21">
        <f t="shared" si="202"/>
        <v>0</v>
      </c>
      <c r="AB127" s="6">
        <f t="shared" si="203"/>
        <v>0</v>
      </c>
      <c r="AC127" s="5" t="e">
        <f t="shared" si="204"/>
        <v>#DIV/0!</v>
      </c>
      <c r="AD127" s="6">
        <f t="shared" si="205"/>
        <v>0</v>
      </c>
      <c r="AE127" s="5">
        <f t="shared" si="206"/>
        <v>0</v>
      </c>
      <c r="AF127" s="21">
        <f t="shared" si="207"/>
        <v>0</v>
      </c>
      <c r="AG127" s="6">
        <f t="shared" si="208"/>
        <v>0</v>
      </c>
      <c r="AH127" s="5">
        <f t="shared" si="209"/>
        <v>0</v>
      </c>
      <c r="AI127" s="21">
        <f t="shared" si="210"/>
        <v>0</v>
      </c>
      <c r="AJ127" s="6">
        <f t="shared" si="211"/>
        <v>0</v>
      </c>
      <c r="AK127" s="5">
        <f t="shared" si="212"/>
        <v>0</v>
      </c>
      <c r="AL127" s="21">
        <f t="shared" si="213"/>
        <v>0</v>
      </c>
      <c r="AM127" s="21">
        <f t="shared" si="214"/>
        <v>0</v>
      </c>
      <c r="AN127" s="6">
        <f t="shared" si="215"/>
        <v>0</v>
      </c>
      <c r="AO127" s="5">
        <f t="shared" si="216"/>
        <v>0</v>
      </c>
      <c r="AP127" s="6">
        <f t="shared" si="217"/>
        <v>0</v>
      </c>
      <c r="AQ127" s="5">
        <f t="shared" si="218"/>
        <v>0</v>
      </c>
      <c r="AR127" s="2">
        <f t="shared" si="219"/>
        <v>0</v>
      </c>
      <c r="AS127" s="5">
        <f t="shared" si="220"/>
        <v>0</v>
      </c>
      <c r="AT127" s="21">
        <f t="shared" si="221"/>
        <v>0</v>
      </c>
      <c r="AU127" s="20">
        <f t="shared" si="222"/>
        <v>0</v>
      </c>
      <c r="AV127" s="20">
        <f t="shared" si="223"/>
        <v>1</v>
      </c>
      <c r="AW127" s="199">
        <f t="shared" si="224"/>
        <v>0</v>
      </c>
      <c r="AX127" s="24">
        <f t="shared" si="225"/>
        <v>0</v>
      </c>
      <c r="AY127" s="5">
        <f t="shared" si="226"/>
        <v>0</v>
      </c>
      <c r="AZ127" s="5">
        <f t="shared" si="227"/>
        <v>0</v>
      </c>
      <c r="BA127" s="5">
        <f t="shared" si="228"/>
        <v>0</v>
      </c>
      <c r="BB127" s="5">
        <f t="shared" si="229"/>
        <v>0</v>
      </c>
      <c r="BC127" s="5">
        <f t="shared" si="230"/>
        <v>0</v>
      </c>
      <c r="BD127" s="5">
        <f t="shared" si="231"/>
        <v>0</v>
      </c>
      <c r="BE127" s="199">
        <f t="shared" si="232"/>
        <v>0</v>
      </c>
      <c r="BF127" s="21">
        <f t="shared" si="233"/>
        <v>0</v>
      </c>
      <c r="BG127" s="6">
        <f t="shared" si="234"/>
        <v>0</v>
      </c>
      <c r="BH127" s="5" t="e">
        <f t="shared" si="235"/>
        <v>#DIV/0!</v>
      </c>
      <c r="BI127" s="6">
        <f t="shared" si="236"/>
        <v>0</v>
      </c>
      <c r="BJ127" s="5" t="e">
        <f t="shared" si="237"/>
        <v>#DIV/0!</v>
      </c>
      <c r="BK127" s="20">
        <f t="shared" si="238"/>
        <v>-9.9999999999999998E-13</v>
      </c>
      <c r="BL127" s="20">
        <f t="shared" si="239"/>
        <v>0</v>
      </c>
      <c r="BM127" s="6">
        <f t="shared" si="240"/>
        <v>0</v>
      </c>
      <c r="BN127" s="5">
        <f t="shared" si="241"/>
        <v>0</v>
      </c>
      <c r="BO127" s="333">
        <f t="shared" si="242"/>
        <v>0</v>
      </c>
      <c r="BP127" s="334">
        <f t="shared" si="243"/>
        <v>0</v>
      </c>
      <c r="BQ127" s="6">
        <f t="shared" si="244"/>
        <v>0</v>
      </c>
      <c r="BR127" s="5">
        <f t="shared" si="245"/>
        <v>0</v>
      </c>
      <c r="BS127" s="6">
        <f t="shared" si="246"/>
        <v>0</v>
      </c>
      <c r="BT127" s="5">
        <f t="shared" si="247"/>
        <v>0</v>
      </c>
      <c r="BU127" s="181">
        <f t="shared" si="248"/>
        <v>0</v>
      </c>
      <c r="BV127" s="154">
        <f t="shared" si="249"/>
        <v>0</v>
      </c>
      <c r="BW127" s="181">
        <f t="shared" si="250"/>
        <v>0</v>
      </c>
      <c r="BX127" s="180">
        <f t="shared" si="251"/>
        <v>0</v>
      </c>
      <c r="BY127" s="181">
        <f t="shared" si="252"/>
        <v>0</v>
      </c>
      <c r="BZ127" s="154">
        <f t="shared" si="253"/>
        <v>0</v>
      </c>
      <c r="CA127" s="182">
        <f t="shared" si="254"/>
        <v>0</v>
      </c>
      <c r="CB127" s="2">
        <f t="shared" si="255"/>
        <v>0</v>
      </c>
      <c r="CC127" s="2">
        <f t="shared" si="256"/>
        <v>0</v>
      </c>
      <c r="CD127" s="2">
        <f t="shared" si="257"/>
        <v>0</v>
      </c>
      <c r="CE127" s="2">
        <f t="shared" si="258"/>
        <v>0</v>
      </c>
      <c r="CF127" s="6">
        <f t="shared" si="259"/>
        <v>0</v>
      </c>
      <c r="CG127" s="6">
        <f t="shared" si="260"/>
        <v>0</v>
      </c>
      <c r="CH127" s="6">
        <f t="shared" si="261"/>
        <v>0</v>
      </c>
      <c r="CI127" s="20">
        <f t="shared" si="262"/>
        <v>0</v>
      </c>
      <c r="CJ127" s="133">
        <f t="shared" si="263"/>
        <v>2521</v>
      </c>
      <c r="CK127" s="5">
        <f t="shared" si="264"/>
        <v>0</v>
      </c>
      <c r="CL127" s="302" t="s">
        <v>1235</v>
      </c>
      <c r="CM127" s="298" t="s">
        <v>13</v>
      </c>
      <c r="CN127" s="298" t="s">
        <v>1453</v>
      </c>
      <c r="CO127" s="298">
        <v>17</v>
      </c>
      <c r="CP127" s="298" t="s">
        <v>1454</v>
      </c>
      <c r="CQ127" s="298" t="s">
        <v>1455</v>
      </c>
      <c r="CR127" s="298" t="s">
        <v>644</v>
      </c>
      <c r="CS127" s="298" t="s">
        <v>1375</v>
      </c>
      <c r="CT127" s="298" t="s">
        <v>680</v>
      </c>
      <c r="CU127" s="299">
        <v>47118</v>
      </c>
      <c r="CV127" s="298">
        <v>0</v>
      </c>
      <c r="CW127" s="298">
        <v>0</v>
      </c>
      <c r="CX127" s="298">
        <v>0</v>
      </c>
      <c r="CY127" s="298">
        <v>0</v>
      </c>
      <c r="CZ127" s="298">
        <v>0</v>
      </c>
      <c r="DA127" s="298">
        <v>0</v>
      </c>
      <c r="DB127" s="298">
        <v>0</v>
      </c>
      <c r="DC127" s="298">
        <v>0</v>
      </c>
      <c r="DD127" s="298">
        <v>0</v>
      </c>
      <c r="DE127" s="298">
        <v>0</v>
      </c>
      <c r="DF127" s="298">
        <v>0</v>
      </c>
      <c r="DG127" s="298">
        <v>0</v>
      </c>
      <c r="DH127" s="298">
        <v>0</v>
      </c>
      <c r="DI127" s="298">
        <v>0</v>
      </c>
      <c r="DJ127" s="298">
        <v>0</v>
      </c>
      <c r="DK127" s="298">
        <v>0</v>
      </c>
      <c r="DL127" s="298">
        <v>0</v>
      </c>
      <c r="DM127" s="298">
        <v>0</v>
      </c>
      <c r="DN127" s="298">
        <v>0</v>
      </c>
      <c r="DO127" s="298">
        <v>0</v>
      </c>
      <c r="DP127" s="298">
        <v>0</v>
      </c>
      <c r="DQ127" s="298">
        <v>0</v>
      </c>
      <c r="DR127" s="298">
        <v>0</v>
      </c>
      <c r="DS127" s="298">
        <v>0</v>
      </c>
      <c r="DT127" s="298">
        <v>0</v>
      </c>
      <c r="DU127" s="298">
        <v>0</v>
      </c>
      <c r="DV127" s="303" t="s">
        <v>548</v>
      </c>
    </row>
    <row r="128" spans="1:126" ht="24.95" customHeight="1" thickBot="1" x14ac:dyDescent="0.3">
      <c r="A128" s="29" t="str">
        <f t="shared" si="176"/>
        <v>127º</v>
      </c>
      <c r="B128" s="69" t="str">
        <f t="shared" si="178"/>
        <v>Ricardo</v>
      </c>
      <c r="C128" s="269" t="str">
        <f t="shared" si="179"/>
        <v>BRA</v>
      </c>
      <c r="D128" s="99" t="str">
        <f t="shared" si="180"/>
        <v>Pé Direito</v>
      </c>
      <c r="E128" s="28" t="str">
        <f t="shared" si="181"/>
        <v>GUA</v>
      </c>
      <c r="F128" s="169">
        <f t="shared" si="182"/>
        <v>17</v>
      </c>
      <c r="G128" s="2" t="str">
        <f t="shared" si="183"/>
        <v>75m € - 750m €</v>
      </c>
      <c r="H128" s="154">
        <f t="shared" si="184"/>
        <v>1.86</v>
      </c>
      <c r="I128" s="64">
        <f t="shared" si="185"/>
        <v>47848</v>
      </c>
      <c r="J128" s="304" t="str">
        <f t="shared" si="186"/>
        <v>180 € p/m</v>
      </c>
      <c r="K128" s="96">
        <f t="shared" si="177"/>
        <v>3.5222222222222221</v>
      </c>
      <c r="L128" s="146">
        <f t="shared" si="187"/>
        <v>0</v>
      </c>
      <c r="M128" s="6">
        <f t="shared" si="188"/>
        <v>0</v>
      </c>
      <c r="N128" s="5">
        <f t="shared" si="189"/>
        <v>5400</v>
      </c>
      <c r="O128" s="21">
        <f t="shared" si="190"/>
        <v>0</v>
      </c>
      <c r="P128" s="2">
        <f t="shared" si="191"/>
        <v>0</v>
      </c>
      <c r="Q128" s="2">
        <f t="shared" si="192"/>
        <v>0</v>
      </c>
      <c r="R128" s="5">
        <f t="shared" si="193"/>
        <v>0</v>
      </c>
      <c r="S128" s="2">
        <f t="shared" si="194"/>
        <v>0</v>
      </c>
      <c r="T128" s="2">
        <f t="shared" si="195"/>
        <v>0</v>
      </c>
      <c r="U128" s="102">
        <f t="shared" si="196"/>
        <v>0</v>
      </c>
      <c r="V128" s="102">
        <f t="shared" si="197"/>
        <v>0</v>
      </c>
      <c r="W128" s="6">
        <f t="shared" si="198"/>
        <v>0</v>
      </c>
      <c r="X128" s="5">
        <f t="shared" si="199"/>
        <v>0</v>
      </c>
      <c r="Y128" s="6">
        <f t="shared" si="200"/>
        <v>0</v>
      </c>
      <c r="Z128" s="5" t="e">
        <f t="shared" si="201"/>
        <v>#DIV/0!</v>
      </c>
      <c r="AA128" s="21">
        <f t="shared" si="202"/>
        <v>0</v>
      </c>
      <c r="AB128" s="6">
        <f t="shared" si="203"/>
        <v>0</v>
      </c>
      <c r="AC128" s="5" t="e">
        <f t="shared" si="204"/>
        <v>#DIV/0!</v>
      </c>
      <c r="AD128" s="6">
        <f t="shared" si="205"/>
        <v>0</v>
      </c>
      <c r="AE128" s="5">
        <f t="shared" si="206"/>
        <v>0</v>
      </c>
      <c r="AF128" s="21">
        <f t="shared" si="207"/>
        <v>0</v>
      </c>
      <c r="AG128" s="6">
        <f t="shared" si="208"/>
        <v>0</v>
      </c>
      <c r="AH128" s="5">
        <f t="shared" si="209"/>
        <v>0</v>
      </c>
      <c r="AI128" s="21">
        <f t="shared" si="210"/>
        <v>0</v>
      </c>
      <c r="AJ128" s="6">
        <f t="shared" si="211"/>
        <v>0</v>
      </c>
      <c r="AK128" s="5">
        <f t="shared" si="212"/>
        <v>0</v>
      </c>
      <c r="AL128" s="21">
        <f t="shared" si="213"/>
        <v>0</v>
      </c>
      <c r="AM128" s="21">
        <f t="shared" si="214"/>
        <v>0</v>
      </c>
      <c r="AN128" s="6">
        <f t="shared" si="215"/>
        <v>0</v>
      </c>
      <c r="AO128" s="5">
        <f t="shared" si="216"/>
        <v>0</v>
      </c>
      <c r="AP128" s="6">
        <f t="shared" si="217"/>
        <v>0</v>
      </c>
      <c r="AQ128" s="5">
        <f t="shared" si="218"/>
        <v>0</v>
      </c>
      <c r="AR128" s="2">
        <f t="shared" si="219"/>
        <v>0</v>
      </c>
      <c r="AS128" s="5">
        <f t="shared" si="220"/>
        <v>0</v>
      </c>
      <c r="AT128" s="21">
        <f t="shared" si="221"/>
        <v>0</v>
      </c>
      <c r="AU128" s="20">
        <f t="shared" si="222"/>
        <v>0</v>
      </c>
      <c r="AV128" s="20">
        <f t="shared" si="223"/>
        <v>1</v>
      </c>
      <c r="AW128" s="199">
        <f t="shared" si="224"/>
        <v>0</v>
      </c>
      <c r="AX128" s="24">
        <f t="shared" si="225"/>
        <v>0</v>
      </c>
      <c r="AY128" s="5">
        <f t="shared" si="226"/>
        <v>0</v>
      </c>
      <c r="AZ128" s="5">
        <f t="shared" si="227"/>
        <v>0</v>
      </c>
      <c r="BA128" s="5">
        <f t="shared" si="228"/>
        <v>0</v>
      </c>
      <c r="BB128" s="5">
        <f t="shared" si="229"/>
        <v>0</v>
      </c>
      <c r="BC128" s="5">
        <f t="shared" si="230"/>
        <v>0</v>
      </c>
      <c r="BD128" s="5">
        <f t="shared" si="231"/>
        <v>0</v>
      </c>
      <c r="BE128" s="199">
        <f t="shared" si="232"/>
        <v>0</v>
      </c>
      <c r="BF128" s="21">
        <f t="shared" si="233"/>
        <v>0</v>
      </c>
      <c r="BG128" s="6">
        <f t="shared" si="234"/>
        <v>0</v>
      </c>
      <c r="BH128" s="5" t="e">
        <f t="shared" si="235"/>
        <v>#DIV/0!</v>
      </c>
      <c r="BI128" s="6">
        <f t="shared" si="236"/>
        <v>0</v>
      </c>
      <c r="BJ128" s="5" t="e">
        <f t="shared" si="237"/>
        <v>#DIV/0!</v>
      </c>
      <c r="BK128" s="20">
        <f t="shared" si="238"/>
        <v>-9.9999999999999998E-13</v>
      </c>
      <c r="BL128" s="20">
        <f t="shared" si="239"/>
        <v>0</v>
      </c>
      <c r="BM128" s="6">
        <f t="shared" si="240"/>
        <v>0</v>
      </c>
      <c r="BN128" s="5">
        <f t="shared" si="241"/>
        <v>0</v>
      </c>
      <c r="BO128" s="333">
        <f t="shared" si="242"/>
        <v>0</v>
      </c>
      <c r="BP128" s="334">
        <f t="shared" si="243"/>
        <v>0</v>
      </c>
      <c r="BQ128" s="6">
        <f t="shared" si="244"/>
        <v>0</v>
      </c>
      <c r="BR128" s="5">
        <f t="shared" si="245"/>
        <v>0</v>
      </c>
      <c r="BS128" s="6">
        <f t="shared" si="246"/>
        <v>0</v>
      </c>
      <c r="BT128" s="5">
        <f t="shared" si="247"/>
        <v>0</v>
      </c>
      <c r="BU128" s="181">
        <f t="shared" si="248"/>
        <v>0</v>
      </c>
      <c r="BV128" s="154">
        <f t="shared" si="249"/>
        <v>0</v>
      </c>
      <c r="BW128" s="181">
        <f t="shared" si="250"/>
        <v>0</v>
      </c>
      <c r="BX128" s="180">
        <f t="shared" si="251"/>
        <v>0</v>
      </c>
      <c r="BY128" s="181">
        <f t="shared" si="252"/>
        <v>0</v>
      </c>
      <c r="BZ128" s="154">
        <f t="shared" si="253"/>
        <v>0</v>
      </c>
      <c r="CA128" s="182">
        <f t="shared" si="254"/>
        <v>0</v>
      </c>
      <c r="CB128" s="2">
        <f t="shared" si="255"/>
        <v>0</v>
      </c>
      <c r="CC128" s="2">
        <f t="shared" si="256"/>
        <v>0</v>
      </c>
      <c r="CD128" s="2">
        <f t="shared" si="257"/>
        <v>0</v>
      </c>
      <c r="CE128" s="2">
        <f t="shared" si="258"/>
        <v>0</v>
      </c>
      <c r="CF128" s="6">
        <f t="shared" si="259"/>
        <v>0</v>
      </c>
      <c r="CG128" s="6">
        <f t="shared" si="260"/>
        <v>0</v>
      </c>
      <c r="CH128" s="6">
        <f t="shared" si="261"/>
        <v>0</v>
      </c>
      <c r="CI128" s="20">
        <f t="shared" si="262"/>
        <v>0</v>
      </c>
      <c r="CJ128" s="133">
        <f t="shared" si="263"/>
        <v>2521</v>
      </c>
      <c r="CK128" s="5">
        <f t="shared" si="264"/>
        <v>0</v>
      </c>
      <c r="CL128" s="300"/>
      <c r="CM128" s="296" t="s">
        <v>13</v>
      </c>
      <c r="CN128" s="296" t="s">
        <v>1456</v>
      </c>
      <c r="CO128" s="296">
        <v>17</v>
      </c>
      <c r="CP128" s="296" t="s">
        <v>1457</v>
      </c>
      <c r="CQ128" s="296" t="s">
        <v>1458</v>
      </c>
      <c r="CR128" s="296" t="s">
        <v>644</v>
      </c>
      <c r="CS128" s="296" t="s">
        <v>1432</v>
      </c>
      <c r="CT128" s="296" t="s">
        <v>575</v>
      </c>
      <c r="CU128" s="297">
        <v>47848</v>
      </c>
      <c r="CV128" s="296">
        <v>0</v>
      </c>
      <c r="CW128" s="296">
        <v>0</v>
      </c>
      <c r="CX128" s="296">
        <v>0</v>
      </c>
      <c r="CY128" s="296">
        <v>0</v>
      </c>
      <c r="CZ128" s="296">
        <v>0</v>
      </c>
      <c r="DA128" s="296">
        <v>0</v>
      </c>
      <c r="DB128" s="296">
        <v>0</v>
      </c>
      <c r="DC128" s="296">
        <v>0</v>
      </c>
      <c r="DD128" s="296">
        <v>0</v>
      </c>
      <c r="DE128" s="296">
        <v>0</v>
      </c>
      <c r="DF128" s="296">
        <v>0</v>
      </c>
      <c r="DG128" s="296">
        <v>0</v>
      </c>
      <c r="DH128" s="296">
        <v>0</v>
      </c>
      <c r="DI128" s="296">
        <v>0</v>
      </c>
      <c r="DJ128" s="296">
        <v>0</v>
      </c>
      <c r="DK128" s="296">
        <v>0</v>
      </c>
      <c r="DL128" s="296">
        <v>0</v>
      </c>
      <c r="DM128" s="296">
        <v>0</v>
      </c>
      <c r="DN128" s="296">
        <v>0</v>
      </c>
      <c r="DO128" s="296">
        <v>0</v>
      </c>
      <c r="DP128" s="296">
        <v>0</v>
      </c>
      <c r="DQ128" s="296">
        <v>0</v>
      </c>
      <c r="DR128" s="296">
        <v>0</v>
      </c>
      <c r="DS128" s="296">
        <v>0</v>
      </c>
      <c r="DT128" s="296">
        <v>0</v>
      </c>
      <c r="DU128" s="296">
        <v>0</v>
      </c>
      <c r="DV128" s="301" t="s">
        <v>548</v>
      </c>
    </row>
    <row r="129" spans="1:126" ht="24.95" customHeight="1" thickBot="1" x14ac:dyDescent="0.3">
      <c r="A129" s="29" t="str">
        <f t="shared" si="176"/>
        <v>128º</v>
      </c>
      <c r="B129" s="69" t="str">
        <f t="shared" si="178"/>
        <v>Marinho</v>
      </c>
      <c r="C129" s="269" t="str">
        <f t="shared" si="179"/>
        <v>BRA</v>
      </c>
      <c r="D129" s="99" t="str">
        <f t="shared" si="180"/>
        <v>Pé Direito</v>
      </c>
      <c r="E129" s="28" t="str">
        <f t="shared" si="181"/>
        <v>GUA</v>
      </c>
      <c r="F129" s="169">
        <f t="shared" si="182"/>
        <v>18</v>
      </c>
      <c r="G129" s="2" t="str">
        <f t="shared" si="183"/>
        <v>0 €</v>
      </c>
      <c r="H129" s="154">
        <f t="shared" si="184"/>
        <v>1.89</v>
      </c>
      <c r="I129" s="64">
        <f t="shared" si="185"/>
        <v>47118</v>
      </c>
      <c r="J129" s="304" t="str">
        <f t="shared" si="186"/>
        <v>550 € p/m</v>
      </c>
      <c r="K129" s="96">
        <f t="shared" si="177"/>
        <v>3.5222222222222221</v>
      </c>
      <c r="L129" s="146">
        <f t="shared" si="187"/>
        <v>0</v>
      </c>
      <c r="M129" s="6">
        <f t="shared" si="188"/>
        <v>0</v>
      </c>
      <c r="N129" s="5">
        <f t="shared" si="189"/>
        <v>5400</v>
      </c>
      <c r="O129" s="21">
        <f t="shared" si="190"/>
        <v>0</v>
      </c>
      <c r="P129" s="2">
        <f t="shared" si="191"/>
        <v>0</v>
      </c>
      <c r="Q129" s="2">
        <f t="shared" si="192"/>
        <v>0</v>
      </c>
      <c r="R129" s="5">
        <f t="shared" si="193"/>
        <v>0</v>
      </c>
      <c r="S129" s="2">
        <f t="shared" si="194"/>
        <v>0</v>
      </c>
      <c r="T129" s="2">
        <f t="shared" si="195"/>
        <v>0</v>
      </c>
      <c r="U129" s="102">
        <f t="shared" si="196"/>
        <v>0</v>
      </c>
      <c r="V129" s="102">
        <f t="shared" si="197"/>
        <v>0</v>
      </c>
      <c r="W129" s="6">
        <f t="shared" si="198"/>
        <v>0</v>
      </c>
      <c r="X129" s="5">
        <f t="shared" si="199"/>
        <v>0</v>
      </c>
      <c r="Y129" s="6">
        <f t="shared" si="200"/>
        <v>0</v>
      </c>
      <c r="Z129" s="5" t="e">
        <f t="shared" si="201"/>
        <v>#DIV/0!</v>
      </c>
      <c r="AA129" s="21">
        <f t="shared" si="202"/>
        <v>0</v>
      </c>
      <c r="AB129" s="6">
        <f t="shared" si="203"/>
        <v>0</v>
      </c>
      <c r="AC129" s="5" t="e">
        <f t="shared" si="204"/>
        <v>#DIV/0!</v>
      </c>
      <c r="AD129" s="6">
        <f t="shared" si="205"/>
        <v>0</v>
      </c>
      <c r="AE129" s="5">
        <f t="shared" si="206"/>
        <v>0</v>
      </c>
      <c r="AF129" s="21">
        <f t="shared" si="207"/>
        <v>0</v>
      </c>
      <c r="AG129" s="6">
        <f t="shared" si="208"/>
        <v>0</v>
      </c>
      <c r="AH129" s="5">
        <f t="shared" si="209"/>
        <v>0</v>
      </c>
      <c r="AI129" s="21">
        <f t="shared" si="210"/>
        <v>0</v>
      </c>
      <c r="AJ129" s="6">
        <f t="shared" si="211"/>
        <v>0</v>
      </c>
      <c r="AK129" s="5">
        <f t="shared" si="212"/>
        <v>0</v>
      </c>
      <c r="AL129" s="21">
        <f t="shared" si="213"/>
        <v>0</v>
      </c>
      <c r="AM129" s="21">
        <f t="shared" si="214"/>
        <v>0</v>
      </c>
      <c r="AN129" s="6">
        <f t="shared" si="215"/>
        <v>0</v>
      </c>
      <c r="AO129" s="5">
        <f t="shared" si="216"/>
        <v>0</v>
      </c>
      <c r="AP129" s="6">
        <f t="shared" si="217"/>
        <v>0</v>
      </c>
      <c r="AQ129" s="5">
        <f t="shared" si="218"/>
        <v>0</v>
      </c>
      <c r="AR129" s="2">
        <f t="shared" si="219"/>
        <v>0</v>
      </c>
      <c r="AS129" s="5">
        <f t="shared" si="220"/>
        <v>0</v>
      </c>
      <c r="AT129" s="21">
        <f t="shared" si="221"/>
        <v>0</v>
      </c>
      <c r="AU129" s="20">
        <f t="shared" si="222"/>
        <v>0</v>
      </c>
      <c r="AV129" s="20">
        <f t="shared" si="223"/>
        <v>1</v>
      </c>
      <c r="AW129" s="199">
        <f t="shared" si="224"/>
        <v>0</v>
      </c>
      <c r="AX129" s="24">
        <f t="shared" si="225"/>
        <v>0</v>
      </c>
      <c r="AY129" s="5">
        <f t="shared" si="226"/>
        <v>0</v>
      </c>
      <c r="AZ129" s="5">
        <f t="shared" si="227"/>
        <v>0</v>
      </c>
      <c r="BA129" s="5">
        <f t="shared" si="228"/>
        <v>0</v>
      </c>
      <c r="BB129" s="5">
        <f t="shared" si="229"/>
        <v>0</v>
      </c>
      <c r="BC129" s="5">
        <f t="shared" si="230"/>
        <v>0</v>
      </c>
      <c r="BD129" s="5">
        <f t="shared" si="231"/>
        <v>0</v>
      </c>
      <c r="BE129" s="199">
        <f t="shared" si="232"/>
        <v>0</v>
      </c>
      <c r="BF129" s="21">
        <f t="shared" si="233"/>
        <v>0</v>
      </c>
      <c r="BG129" s="6">
        <f t="shared" si="234"/>
        <v>0</v>
      </c>
      <c r="BH129" s="5" t="e">
        <f t="shared" si="235"/>
        <v>#DIV/0!</v>
      </c>
      <c r="BI129" s="6">
        <f t="shared" si="236"/>
        <v>0</v>
      </c>
      <c r="BJ129" s="5" t="e">
        <f t="shared" si="237"/>
        <v>#DIV/0!</v>
      </c>
      <c r="BK129" s="20">
        <f t="shared" si="238"/>
        <v>-9.9999999999999998E-13</v>
      </c>
      <c r="BL129" s="20">
        <f t="shared" si="239"/>
        <v>0</v>
      </c>
      <c r="BM129" s="6">
        <f t="shared" si="240"/>
        <v>0</v>
      </c>
      <c r="BN129" s="5">
        <f t="shared" si="241"/>
        <v>0</v>
      </c>
      <c r="BO129" s="333">
        <f t="shared" si="242"/>
        <v>0</v>
      </c>
      <c r="BP129" s="334">
        <f t="shared" si="243"/>
        <v>0</v>
      </c>
      <c r="BQ129" s="6">
        <f t="shared" si="244"/>
        <v>0</v>
      </c>
      <c r="BR129" s="5">
        <f t="shared" si="245"/>
        <v>0</v>
      </c>
      <c r="BS129" s="6">
        <f t="shared" si="246"/>
        <v>0</v>
      </c>
      <c r="BT129" s="5">
        <f t="shared" si="247"/>
        <v>0</v>
      </c>
      <c r="BU129" s="181">
        <f t="shared" si="248"/>
        <v>0</v>
      </c>
      <c r="BV129" s="154">
        <f t="shared" si="249"/>
        <v>0</v>
      </c>
      <c r="BW129" s="181">
        <f t="shared" si="250"/>
        <v>0</v>
      </c>
      <c r="BX129" s="180">
        <f t="shared" si="251"/>
        <v>0</v>
      </c>
      <c r="BY129" s="181">
        <f t="shared" si="252"/>
        <v>0</v>
      </c>
      <c r="BZ129" s="154">
        <f t="shared" si="253"/>
        <v>0</v>
      </c>
      <c r="CA129" s="182">
        <f t="shared" si="254"/>
        <v>0</v>
      </c>
      <c r="CB129" s="2">
        <f t="shared" si="255"/>
        <v>0</v>
      </c>
      <c r="CC129" s="2">
        <f t="shared" si="256"/>
        <v>0</v>
      </c>
      <c r="CD129" s="2">
        <f t="shared" si="257"/>
        <v>0</v>
      </c>
      <c r="CE129" s="2">
        <f t="shared" si="258"/>
        <v>0</v>
      </c>
      <c r="CF129" s="6">
        <f t="shared" si="259"/>
        <v>0</v>
      </c>
      <c r="CG129" s="6">
        <f t="shared" si="260"/>
        <v>0</v>
      </c>
      <c r="CH129" s="6">
        <f t="shared" si="261"/>
        <v>0</v>
      </c>
      <c r="CI129" s="20">
        <f t="shared" si="262"/>
        <v>0</v>
      </c>
      <c r="CJ129" s="133">
        <f t="shared" si="263"/>
        <v>2521</v>
      </c>
      <c r="CK129" s="5">
        <f t="shared" si="264"/>
        <v>0</v>
      </c>
      <c r="CL129" s="302" t="s">
        <v>19</v>
      </c>
      <c r="CM129" s="298" t="s">
        <v>13</v>
      </c>
      <c r="CN129" s="298" t="s">
        <v>1456</v>
      </c>
      <c r="CO129" s="298">
        <v>18</v>
      </c>
      <c r="CP129" s="298" t="s">
        <v>1459</v>
      </c>
      <c r="CQ129" s="298" t="s">
        <v>1131</v>
      </c>
      <c r="CR129" s="298" t="s">
        <v>644</v>
      </c>
      <c r="CS129" s="298" t="s">
        <v>1375</v>
      </c>
      <c r="CT129" s="298" t="s">
        <v>593</v>
      </c>
      <c r="CU129" s="299">
        <v>47118</v>
      </c>
      <c r="CV129" s="298">
        <v>0</v>
      </c>
      <c r="CW129" s="298">
        <v>0</v>
      </c>
      <c r="CX129" s="298">
        <v>0</v>
      </c>
      <c r="CY129" s="298">
        <v>0</v>
      </c>
      <c r="CZ129" s="298">
        <v>0</v>
      </c>
      <c r="DA129" s="298">
        <v>0</v>
      </c>
      <c r="DB129" s="298">
        <v>0</v>
      </c>
      <c r="DC129" s="298">
        <v>0</v>
      </c>
      <c r="DD129" s="298">
        <v>0</v>
      </c>
      <c r="DE129" s="298">
        <v>0</v>
      </c>
      <c r="DF129" s="298">
        <v>0</v>
      </c>
      <c r="DG129" s="298">
        <v>0</v>
      </c>
      <c r="DH129" s="298">
        <v>0</v>
      </c>
      <c r="DI129" s="298">
        <v>0</v>
      </c>
      <c r="DJ129" s="298">
        <v>0</v>
      </c>
      <c r="DK129" s="298">
        <v>0</v>
      </c>
      <c r="DL129" s="298">
        <v>0</v>
      </c>
      <c r="DM129" s="298">
        <v>0</v>
      </c>
      <c r="DN129" s="298">
        <v>0</v>
      </c>
      <c r="DO129" s="298">
        <v>0</v>
      </c>
      <c r="DP129" s="298">
        <v>0</v>
      </c>
      <c r="DQ129" s="298">
        <v>0</v>
      </c>
      <c r="DR129" s="298">
        <v>0</v>
      </c>
      <c r="DS129" s="298">
        <v>0</v>
      </c>
      <c r="DT129" s="298">
        <v>0</v>
      </c>
      <c r="DU129" s="298">
        <v>0</v>
      </c>
      <c r="DV129" s="303" t="s">
        <v>548</v>
      </c>
    </row>
    <row r="130" spans="1:126" ht="24.95" customHeight="1" thickBot="1" x14ac:dyDescent="0.3">
      <c r="A130" s="29" t="str">
        <f t="shared" ref="A130:A193" si="265">ROW()-1 &amp; "º"</f>
        <v>129º</v>
      </c>
      <c r="B130" s="69" t="str">
        <f t="shared" si="178"/>
        <v>Marcos</v>
      </c>
      <c r="C130" s="269" t="str">
        <f t="shared" si="179"/>
        <v>BRA</v>
      </c>
      <c r="D130" s="99" t="str">
        <f t="shared" si="180"/>
        <v>Pé Direito</v>
      </c>
      <c r="E130" s="28" t="str">
        <f t="shared" si="181"/>
        <v>ABF</v>
      </c>
      <c r="F130" s="169">
        <f t="shared" si="182"/>
        <v>17</v>
      </c>
      <c r="G130" s="2" t="str">
        <f t="shared" si="183"/>
        <v>0 €</v>
      </c>
      <c r="H130" s="154">
        <f t="shared" si="184"/>
        <v>1.77</v>
      </c>
      <c r="I130" s="64">
        <f t="shared" si="185"/>
        <v>47118</v>
      </c>
      <c r="J130" s="304" t="str">
        <f t="shared" si="186"/>
        <v>180 € p/m</v>
      </c>
      <c r="K130" s="96">
        <f t="shared" ref="K130:K193" si="266">IFERROR(AVERAGE(L:L),0)</f>
        <v>3.5222222222222221</v>
      </c>
      <c r="L130" s="146">
        <f t="shared" si="187"/>
        <v>0</v>
      </c>
      <c r="M130" s="6">
        <f t="shared" si="188"/>
        <v>0</v>
      </c>
      <c r="N130" s="5">
        <f t="shared" si="189"/>
        <v>5400</v>
      </c>
      <c r="O130" s="21">
        <f t="shared" si="190"/>
        <v>0</v>
      </c>
      <c r="P130" s="2">
        <f t="shared" si="191"/>
        <v>0</v>
      </c>
      <c r="Q130" s="2">
        <f t="shared" si="192"/>
        <v>0</v>
      </c>
      <c r="R130" s="5">
        <f t="shared" si="193"/>
        <v>0</v>
      </c>
      <c r="S130" s="2">
        <f t="shared" si="194"/>
        <v>0</v>
      </c>
      <c r="T130" s="2">
        <f t="shared" si="195"/>
        <v>0</v>
      </c>
      <c r="U130" s="102">
        <f t="shared" si="196"/>
        <v>0</v>
      </c>
      <c r="V130" s="102">
        <f t="shared" si="197"/>
        <v>0</v>
      </c>
      <c r="W130" s="6">
        <f t="shared" si="198"/>
        <v>0</v>
      </c>
      <c r="X130" s="5">
        <f t="shared" si="199"/>
        <v>0</v>
      </c>
      <c r="Y130" s="6">
        <f t="shared" si="200"/>
        <v>0</v>
      </c>
      <c r="Z130" s="5" t="e">
        <f t="shared" si="201"/>
        <v>#DIV/0!</v>
      </c>
      <c r="AA130" s="21">
        <f t="shared" si="202"/>
        <v>0</v>
      </c>
      <c r="AB130" s="6">
        <f t="shared" si="203"/>
        <v>0</v>
      </c>
      <c r="AC130" s="5" t="e">
        <f t="shared" si="204"/>
        <v>#DIV/0!</v>
      </c>
      <c r="AD130" s="6">
        <f t="shared" si="205"/>
        <v>0</v>
      </c>
      <c r="AE130" s="5">
        <f t="shared" si="206"/>
        <v>0</v>
      </c>
      <c r="AF130" s="21">
        <f t="shared" si="207"/>
        <v>0</v>
      </c>
      <c r="AG130" s="6">
        <f t="shared" si="208"/>
        <v>0</v>
      </c>
      <c r="AH130" s="5">
        <f t="shared" si="209"/>
        <v>0</v>
      </c>
      <c r="AI130" s="21">
        <f t="shared" si="210"/>
        <v>0</v>
      </c>
      <c r="AJ130" s="6">
        <f t="shared" si="211"/>
        <v>0</v>
      </c>
      <c r="AK130" s="5">
        <f t="shared" si="212"/>
        <v>0</v>
      </c>
      <c r="AL130" s="21">
        <f t="shared" si="213"/>
        <v>0</v>
      </c>
      <c r="AM130" s="21">
        <f t="shared" si="214"/>
        <v>0</v>
      </c>
      <c r="AN130" s="6">
        <f t="shared" si="215"/>
        <v>0</v>
      </c>
      <c r="AO130" s="5">
        <f t="shared" si="216"/>
        <v>0</v>
      </c>
      <c r="AP130" s="6">
        <f t="shared" si="217"/>
        <v>0</v>
      </c>
      <c r="AQ130" s="5">
        <f t="shared" si="218"/>
        <v>0</v>
      </c>
      <c r="AR130" s="2">
        <f t="shared" si="219"/>
        <v>0</v>
      </c>
      <c r="AS130" s="5">
        <f t="shared" si="220"/>
        <v>0</v>
      </c>
      <c r="AT130" s="21">
        <f t="shared" si="221"/>
        <v>0</v>
      </c>
      <c r="AU130" s="20">
        <f t="shared" si="222"/>
        <v>0</v>
      </c>
      <c r="AV130" s="20">
        <f t="shared" si="223"/>
        <v>1</v>
      </c>
      <c r="AW130" s="199">
        <f t="shared" si="224"/>
        <v>0</v>
      </c>
      <c r="AX130" s="24">
        <f t="shared" si="225"/>
        <v>0</v>
      </c>
      <c r="AY130" s="5">
        <f t="shared" si="226"/>
        <v>0</v>
      </c>
      <c r="AZ130" s="5">
        <f t="shared" si="227"/>
        <v>0</v>
      </c>
      <c r="BA130" s="5">
        <f t="shared" si="228"/>
        <v>0</v>
      </c>
      <c r="BB130" s="5">
        <f t="shared" si="229"/>
        <v>0</v>
      </c>
      <c r="BC130" s="5">
        <f t="shared" si="230"/>
        <v>0</v>
      </c>
      <c r="BD130" s="5">
        <f t="shared" si="231"/>
        <v>0</v>
      </c>
      <c r="BE130" s="199">
        <f t="shared" si="232"/>
        <v>0</v>
      </c>
      <c r="BF130" s="21">
        <f t="shared" si="233"/>
        <v>0</v>
      </c>
      <c r="BG130" s="6">
        <f t="shared" si="234"/>
        <v>0</v>
      </c>
      <c r="BH130" s="5" t="e">
        <f t="shared" si="235"/>
        <v>#DIV/0!</v>
      </c>
      <c r="BI130" s="6">
        <f t="shared" si="236"/>
        <v>0</v>
      </c>
      <c r="BJ130" s="5" t="e">
        <f t="shared" si="237"/>
        <v>#DIV/0!</v>
      </c>
      <c r="BK130" s="20">
        <f t="shared" si="238"/>
        <v>-9.9999999999999998E-13</v>
      </c>
      <c r="BL130" s="20">
        <f t="shared" si="239"/>
        <v>0</v>
      </c>
      <c r="BM130" s="6">
        <f t="shared" si="240"/>
        <v>0</v>
      </c>
      <c r="BN130" s="5">
        <f t="shared" si="241"/>
        <v>0</v>
      </c>
      <c r="BO130" s="333">
        <f t="shared" si="242"/>
        <v>0</v>
      </c>
      <c r="BP130" s="334">
        <f t="shared" si="243"/>
        <v>0</v>
      </c>
      <c r="BQ130" s="6">
        <f t="shared" si="244"/>
        <v>0</v>
      </c>
      <c r="BR130" s="5">
        <f t="shared" si="245"/>
        <v>0</v>
      </c>
      <c r="BS130" s="6">
        <f t="shared" si="246"/>
        <v>0</v>
      </c>
      <c r="BT130" s="5">
        <f t="shared" si="247"/>
        <v>0</v>
      </c>
      <c r="BU130" s="181">
        <f t="shared" si="248"/>
        <v>0</v>
      </c>
      <c r="BV130" s="154">
        <f t="shared" si="249"/>
        <v>0</v>
      </c>
      <c r="BW130" s="181">
        <f t="shared" si="250"/>
        <v>0</v>
      </c>
      <c r="BX130" s="180">
        <f t="shared" si="251"/>
        <v>0</v>
      </c>
      <c r="BY130" s="181">
        <f t="shared" si="252"/>
        <v>0</v>
      </c>
      <c r="BZ130" s="154">
        <f t="shared" si="253"/>
        <v>0</v>
      </c>
      <c r="CA130" s="182">
        <f t="shared" si="254"/>
        <v>0</v>
      </c>
      <c r="CB130" s="2">
        <f t="shared" si="255"/>
        <v>0</v>
      </c>
      <c r="CC130" s="2">
        <f t="shared" si="256"/>
        <v>0</v>
      </c>
      <c r="CD130" s="2">
        <f t="shared" si="257"/>
        <v>0</v>
      </c>
      <c r="CE130" s="2">
        <f t="shared" si="258"/>
        <v>0</v>
      </c>
      <c r="CF130" s="6">
        <f t="shared" si="259"/>
        <v>0</v>
      </c>
      <c r="CG130" s="6">
        <f t="shared" si="260"/>
        <v>0</v>
      </c>
      <c r="CH130" s="6">
        <f t="shared" si="261"/>
        <v>0</v>
      </c>
      <c r="CI130" s="20">
        <f t="shared" si="262"/>
        <v>0</v>
      </c>
      <c r="CJ130" s="133">
        <f t="shared" si="263"/>
        <v>2521</v>
      </c>
      <c r="CK130" s="5">
        <f t="shared" si="264"/>
        <v>0</v>
      </c>
      <c r="CL130" s="300" t="s">
        <v>1235</v>
      </c>
      <c r="CM130" s="296" t="s">
        <v>13</v>
      </c>
      <c r="CN130" s="296" t="s">
        <v>1460</v>
      </c>
      <c r="CO130" s="296">
        <v>17</v>
      </c>
      <c r="CP130" s="296" t="s">
        <v>1461</v>
      </c>
      <c r="CQ130" s="296" t="s">
        <v>1131</v>
      </c>
      <c r="CR130" s="296" t="s">
        <v>644</v>
      </c>
      <c r="CS130" s="296" t="s">
        <v>1432</v>
      </c>
      <c r="CT130" s="296" t="s">
        <v>1462</v>
      </c>
      <c r="CU130" s="297">
        <v>47118</v>
      </c>
      <c r="CV130" s="296">
        <v>0</v>
      </c>
      <c r="CW130" s="296">
        <v>0</v>
      </c>
      <c r="CX130" s="296">
        <v>0</v>
      </c>
      <c r="CY130" s="296">
        <v>0</v>
      </c>
      <c r="CZ130" s="296">
        <v>0</v>
      </c>
      <c r="DA130" s="296">
        <v>0</v>
      </c>
      <c r="DB130" s="296">
        <v>0</v>
      </c>
      <c r="DC130" s="296">
        <v>0</v>
      </c>
      <c r="DD130" s="296">
        <v>0</v>
      </c>
      <c r="DE130" s="296">
        <v>0</v>
      </c>
      <c r="DF130" s="296">
        <v>0</v>
      </c>
      <c r="DG130" s="296">
        <v>0</v>
      </c>
      <c r="DH130" s="296">
        <v>0</v>
      </c>
      <c r="DI130" s="296">
        <v>0</v>
      </c>
      <c r="DJ130" s="296">
        <v>0</v>
      </c>
      <c r="DK130" s="296">
        <v>0</v>
      </c>
      <c r="DL130" s="296">
        <v>0</v>
      </c>
      <c r="DM130" s="296">
        <v>0</v>
      </c>
      <c r="DN130" s="296">
        <v>0</v>
      </c>
      <c r="DO130" s="296">
        <v>0</v>
      </c>
      <c r="DP130" s="296">
        <v>0</v>
      </c>
      <c r="DQ130" s="296">
        <v>0</v>
      </c>
      <c r="DR130" s="296">
        <v>0</v>
      </c>
      <c r="DS130" s="296">
        <v>0</v>
      </c>
      <c r="DT130" s="296">
        <v>0</v>
      </c>
      <c r="DU130" s="296">
        <v>0</v>
      </c>
      <c r="DV130" s="301" t="s">
        <v>548</v>
      </c>
    </row>
    <row r="131" spans="1:126" ht="24.95" customHeight="1" thickBot="1" x14ac:dyDescent="0.3">
      <c r="A131" s="29" t="str">
        <f t="shared" si="265"/>
        <v>130º</v>
      </c>
      <c r="B131" s="69" t="str">
        <f t="shared" si="178"/>
        <v>Wanderley</v>
      </c>
      <c r="C131" s="269" t="str">
        <f t="shared" si="179"/>
        <v>BRA</v>
      </c>
      <c r="D131" s="99" t="str">
        <f t="shared" si="180"/>
        <v>Pé Direito</v>
      </c>
      <c r="E131" s="28" t="str">
        <f t="shared" si="181"/>
        <v>PSTC</v>
      </c>
      <c r="F131" s="169">
        <f t="shared" si="182"/>
        <v>18</v>
      </c>
      <c r="G131" s="2" t="str">
        <f t="shared" si="183"/>
        <v>0 €</v>
      </c>
      <c r="H131" s="154">
        <f t="shared" si="184"/>
        <v>1.85</v>
      </c>
      <c r="I131" s="64">
        <f t="shared" si="185"/>
        <v>47118</v>
      </c>
      <c r="J131" s="304" t="str">
        <f t="shared" si="186"/>
        <v>625 € p/m</v>
      </c>
      <c r="K131" s="96">
        <f t="shared" si="266"/>
        <v>3.5222222222222221</v>
      </c>
      <c r="L131" s="146">
        <f t="shared" si="187"/>
        <v>3.5555555555555554</v>
      </c>
      <c r="M131" s="6">
        <f t="shared" si="188"/>
        <v>0</v>
      </c>
      <c r="N131" s="5">
        <f t="shared" si="189"/>
        <v>5400</v>
      </c>
      <c r="O131" s="21">
        <f t="shared" si="190"/>
        <v>0</v>
      </c>
      <c r="P131" s="2">
        <f t="shared" si="191"/>
        <v>80</v>
      </c>
      <c r="Q131" s="2">
        <f t="shared" si="192"/>
        <v>51</v>
      </c>
      <c r="R131" s="5">
        <f t="shared" si="193"/>
        <v>14.34375</v>
      </c>
      <c r="S131" s="2">
        <f t="shared" si="194"/>
        <v>29</v>
      </c>
      <c r="T131" s="2">
        <f t="shared" si="195"/>
        <v>22</v>
      </c>
      <c r="U131" s="102">
        <f t="shared" si="196"/>
        <v>0.36249999999999999</v>
      </c>
      <c r="V131" s="102">
        <f t="shared" si="197"/>
        <v>0.63749999999999996</v>
      </c>
      <c r="W131" s="6">
        <f t="shared" si="198"/>
        <v>80</v>
      </c>
      <c r="X131" s="5">
        <f t="shared" si="199"/>
        <v>22.5</v>
      </c>
      <c r="Y131" s="6">
        <f t="shared" si="200"/>
        <v>0</v>
      </c>
      <c r="Z131" s="5">
        <f t="shared" si="201"/>
        <v>0</v>
      </c>
      <c r="AA131" s="21">
        <f t="shared" si="202"/>
        <v>0</v>
      </c>
      <c r="AB131" s="6">
        <f t="shared" si="203"/>
        <v>0</v>
      </c>
      <c r="AC131" s="5">
        <f t="shared" si="204"/>
        <v>0</v>
      </c>
      <c r="AD131" s="6">
        <f t="shared" si="205"/>
        <v>0</v>
      </c>
      <c r="AE131" s="5">
        <f t="shared" si="206"/>
        <v>0</v>
      </c>
      <c r="AF131" s="21">
        <f t="shared" si="207"/>
        <v>0</v>
      </c>
      <c r="AG131" s="6">
        <f t="shared" si="208"/>
        <v>0</v>
      </c>
      <c r="AH131" s="5">
        <f t="shared" si="209"/>
        <v>0</v>
      </c>
      <c r="AI131" s="21">
        <f t="shared" si="210"/>
        <v>0</v>
      </c>
      <c r="AJ131" s="6">
        <f t="shared" si="211"/>
        <v>0</v>
      </c>
      <c r="AK131" s="5">
        <f t="shared" si="212"/>
        <v>0</v>
      </c>
      <c r="AL131" s="21">
        <f t="shared" si="213"/>
        <v>0</v>
      </c>
      <c r="AM131" s="21">
        <f t="shared" si="214"/>
        <v>0.28125</v>
      </c>
      <c r="AN131" s="6">
        <f t="shared" si="215"/>
        <v>1</v>
      </c>
      <c r="AO131" s="5">
        <f t="shared" si="216"/>
        <v>0.28125</v>
      </c>
      <c r="AP131" s="6">
        <f t="shared" si="217"/>
        <v>0</v>
      </c>
      <c r="AQ131" s="5">
        <f t="shared" si="218"/>
        <v>0</v>
      </c>
      <c r="AR131" s="2">
        <f t="shared" si="219"/>
        <v>5</v>
      </c>
      <c r="AS131" s="5">
        <f t="shared" si="220"/>
        <v>1.40625</v>
      </c>
      <c r="AT131" s="21">
        <f t="shared" si="221"/>
        <v>0</v>
      </c>
      <c r="AU131" s="20">
        <f t="shared" si="222"/>
        <v>0</v>
      </c>
      <c r="AV131" s="20">
        <f t="shared" si="223"/>
        <v>1</v>
      </c>
      <c r="AW131" s="199">
        <f t="shared" si="224"/>
        <v>0</v>
      </c>
      <c r="AX131" s="24">
        <f t="shared" si="225"/>
        <v>64</v>
      </c>
      <c r="AY131" s="5">
        <f t="shared" si="226"/>
        <v>1</v>
      </c>
      <c r="AZ131" s="5">
        <f t="shared" si="227"/>
        <v>1</v>
      </c>
      <c r="BA131" s="5">
        <f t="shared" si="228"/>
        <v>0</v>
      </c>
      <c r="BB131" s="5">
        <f t="shared" si="229"/>
        <v>0</v>
      </c>
      <c r="BC131" s="5">
        <f t="shared" si="230"/>
        <v>0</v>
      </c>
      <c r="BD131" s="5">
        <f t="shared" si="231"/>
        <v>0</v>
      </c>
      <c r="BE131" s="199">
        <f t="shared" si="232"/>
        <v>0</v>
      </c>
      <c r="BF131" s="21">
        <f t="shared" si="233"/>
        <v>0</v>
      </c>
      <c r="BG131" s="6">
        <f t="shared" si="234"/>
        <v>0</v>
      </c>
      <c r="BH131" s="5">
        <f t="shared" si="235"/>
        <v>0</v>
      </c>
      <c r="BI131" s="6">
        <f t="shared" si="236"/>
        <v>0</v>
      </c>
      <c r="BJ131" s="5">
        <f t="shared" si="237"/>
        <v>0</v>
      </c>
      <c r="BK131" s="20">
        <f t="shared" si="238"/>
        <v>-9.9999999999999998E-13</v>
      </c>
      <c r="BL131" s="20">
        <f t="shared" si="239"/>
        <v>3.3715441672285905E-3</v>
      </c>
      <c r="BM131" s="6">
        <f t="shared" si="240"/>
        <v>5</v>
      </c>
      <c r="BN131" s="5">
        <f t="shared" si="241"/>
        <v>1.40625</v>
      </c>
      <c r="BO131" s="333">
        <f t="shared" si="242"/>
        <v>0</v>
      </c>
      <c r="BP131" s="334">
        <f t="shared" si="243"/>
        <v>0</v>
      </c>
      <c r="BQ131" s="6">
        <f t="shared" si="244"/>
        <v>0</v>
      </c>
      <c r="BR131" s="5">
        <f t="shared" si="245"/>
        <v>0</v>
      </c>
      <c r="BS131" s="6">
        <f t="shared" si="246"/>
        <v>0</v>
      </c>
      <c r="BT131" s="5">
        <f t="shared" si="247"/>
        <v>0</v>
      </c>
      <c r="BU131" s="181">
        <f t="shared" si="248"/>
        <v>0</v>
      </c>
      <c r="BV131" s="154">
        <f t="shared" si="249"/>
        <v>0</v>
      </c>
      <c r="BW131" s="181">
        <f t="shared" si="250"/>
        <v>0</v>
      </c>
      <c r="BX131" s="180">
        <f t="shared" si="251"/>
        <v>0</v>
      </c>
      <c r="BY131" s="181">
        <f t="shared" si="252"/>
        <v>0</v>
      </c>
      <c r="BZ131" s="154">
        <f t="shared" si="253"/>
        <v>0</v>
      </c>
      <c r="CA131" s="182">
        <f t="shared" si="254"/>
        <v>0</v>
      </c>
      <c r="CB131" s="2">
        <f t="shared" si="255"/>
        <v>0</v>
      </c>
      <c r="CC131" s="2">
        <f t="shared" si="256"/>
        <v>0</v>
      </c>
      <c r="CD131" s="2">
        <f t="shared" si="257"/>
        <v>0</v>
      </c>
      <c r="CE131" s="2">
        <f t="shared" si="258"/>
        <v>2</v>
      </c>
      <c r="CF131" s="6">
        <f t="shared" si="259"/>
        <v>0</v>
      </c>
      <c r="CG131" s="6">
        <f t="shared" si="260"/>
        <v>87</v>
      </c>
      <c r="CH131" s="6">
        <f t="shared" si="261"/>
        <v>51</v>
      </c>
      <c r="CI131" s="20">
        <f t="shared" si="262"/>
        <v>0.58620689655172409</v>
      </c>
      <c r="CJ131" s="133">
        <f t="shared" si="263"/>
        <v>2521</v>
      </c>
      <c r="CK131" s="5">
        <f t="shared" si="264"/>
        <v>7.2</v>
      </c>
      <c r="CL131" s="302"/>
      <c r="CM131" s="298" t="s">
        <v>13</v>
      </c>
      <c r="CN131" s="298" t="s">
        <v>1463</v>
      </c>
      <c r="CO131" s="298">
        <v>18</v>
      </c>
      <c r="CP131" s="298" t="s">
        <v>1464</v>
      </c>
      <c r="CQ131" s="298" t="s">
        <v>1131</v>
      </c>
      <c r="CR131" s="298" t="s">
        <v>644</v>
      </c>
      <c r="CS131" s="298" t="s">
        <v>1465</v>
      </c>
      <c r="CT131" s="298" t="s">
        <v>587</v>
      </c>
      <c r="CU131" s="299">
        <v>47118</v>
      </c>
      <c r="CV131" s="298">
        <v>0</v>
      </c>
      <c r="CW131" s="298">
        <v>320</v>
      </c>
      <c r="CX131" s="298">
        <v>5</v>
      </c>
      <c r="CY131" s="298">
        <v>0</v>
      </c>
      <c r="CZ131" s="298">
        <v>0</v>
      </c>
      <c r="DA131" s="298">
        <v>0</v>
      </c>
      <c r="DB131" s="298">
        <v>0</v>
      </c>
      <c r="DC131" s="298">
        <v>0</v>
      </c>
      <c r="DD131" s="298">
        <v>0</v>
      </c>
      <c r="DE131" s="298">
        <v>1</v>
      </c>
      <c r="DF131" s="298">
        <v>0</v>
      </c>
      <c r="DG131" s="298">
        <v>0</v>
      </c>
      <c r="DH131" s="298">
        <v>0</v>
      </c>
      <c r="DI131" s="298">
        <v>2</v>
      </c>
      <c r="DJ131" s="298">
        <v>0</v>
      </c>
      <c r="DK131" s="298">
        <v>0</v>
      </c>
      <c r="DL131" s="298">
        <v>80</v>
      </c>
      <c r="DM131" s="298">
        <v>51</v>
      </c>
      <c r="DN131" s="298">
        <v>0</v>
      </c>
      <c r="DO131" s="298">
        <v>0</v>
      </c>
      <c r="DP131" s="298">
        <v>0</v>
      </c>
      <c r="DQ131" s="298">
        <v>0</v>
      </c>
      <c r="DR131" s="298">
        <v>0</v>
      </c>
      <c r="DS131" s="298">
        <v>0</v>
      </c>
      <c r="DT131" s="298">
        <v>0</v>
      </c>
      <c r="DU131" s="298">
        <v>0</v>
      </c>
      <c r="DV131" s="303">
        <v>7.2</v>
      </c>
    </row>
    <row r="132" spans="1:126" ht="24.95" customHeight="1" thickBot="1" x14ac:dyDescent="0.3">
      <c r="A132" s="29" t="str">
        <f t="shared" si="265"/>
        <v>131º</v>
      </c>
      <c r="B132" s="69" t="str">
        <f t="shared" si="178"/>
        <v>Benício</v>
      </c>
      <c r="C132" s="269" t="str">
        <f t="shared" si="179"/>
        <v>BRA</v>
      </c>
      <c r="D132" s="99" t="str">
        <f t="shared" si="180"/>
        <v>Pé Direito</v>
      </c>
      <c r="E132" s="28" t="str">
        <f t="shared" si="181"/>
        <v>BTF</v>
      </c>
      <c r="F132" s="169">
        <f t="shared" si="182"/>
        <v>17</v>
      </c>
      <c r="G132" s="2" t="str">
        <f t="shared" si="183"/>
        <v>0 €</v>
      </c>
      <c r="H132" s="154">
        <f t="shared" si="184"/>
        <v>1.85</v>
      </c>
      <c r="I132" s="64">
        <f t="shared" si="185"/>
        <v>47118</v>
      </c>
      <c r="J132" s="304" t="str">
        <f t="shared" si="186"/>
        <v>420 € p/m</v>
      </c>
      <c r="K132" s="96">
        <f t="shared" si="266"/>
        <v>3.5222222222222221</v>
      </c>
      <c r="L132" s="146">
        <f t="shared" si="187"/>
        <v>0</v>
      </c>
      <c r="M132" s="6">
        <f t="shared" si="188"/>
        <v>0</v>
      </c>
      <c r="N132" s="5">
        <f t="shared" si="189"/>
        <v>5400</v>
      </c>
      <c r="O132" s="21">
        <f t="shared" si="190"/>
        <v>0</v>
      </c>
      <c r="P132" s="2">
        <f t="shared" si="191"/>
        <v>0</v>
      </c>
      <c r="Q132" s="2">
        <f t="shared" si="192"/>
        <v>0</v>
      </c>
      <c r="R132" s="5">
        <f t="shared" si="193"/>
        <v>0</v>
      </c>
      <c r="S132" s="2">
        <f t="shared" si="194"/>
        <v>0</v>
      </c>
      <c r="T132" s="2">
        <f t="shared" si="195"/>
        <v>0</v>
      </c>
      <c r="U132" s="102">
        <f t="shared" si="196"/>
        <v>0</v>
      </c>
      <c r="V132" s="102">
        <f t="shared" si="197"/>
        <v>0</v>
      </c>
      <c r="W132" s="6">
        <f t="shared" si="198"/>
        <v>0</v>
      </c>
      <c r="X132" s="5">
        <f t="shared" si="199"/>
        <v>0</v>
      </c>
      <c r="Y132" s="6">
        <f t="shared" si="200"/>
        <v>0</v>
      </c>
      <c r="Z132" s="5" t="e">
        <f t="shared" si="201"/>
        <v>#DIV/0!</v>
      </c>
      <c r="AA132" s="21">
        <f t="shared" si="202"/>
        <v>0</v>
      </c>
      <c r="AB132" s="6">
        <f t="shared" si="203"/>
        <v>0</v>
      </c>
      <c r="AC132" s="5" t="e">
        <f t="shared" si="204"/>
        <v>#DIV/0!</v>
      </c>
      <c r="AD132" s="6">
        <f t="shared" si="205"/>
        <v>0</v>
      </c>
      <c r="AE132" s="5">
        <f t="shared" si="206"/>
        <v>0</v>
      </c>
      <c r="AF132" s="21">
        <f t="shared" si="207"/>
        <v>0</v>
      </c>
      <c r="AG132" s="6">
        <f t="shared" si="208"/>
        <v>0</v>
      </c>
      <c r="AH132" s="5">
        <f t="shared" si="209"/>
        <v>0</v>
      </c>
      <c r="AI132" s="21">
        <f t="shared" si="210"/>
        <v>0</v>
      </c>
      <c r="AJ132" s="6">
        <f t="shared" si="211"/>
        <v>0</v>
      </c>
      <c r="AK132" s="5">
        <f t="shared" si="212"/>
        <v>0</v>
      </c>
      <c r="AL132" s="21">
        <f t="shared" si="213"/>
        <v>0</v>
      </c>
      <c r="AM132" s="21">
        <f t="shared" si="214"/>
        <v>0</v>
      </c>
      <c r="AN132" s="6">
        <f t="shared" si="215"/>
        <v>0</v>
      </c>
      <c r="AO132" s="5">
        <f t="shared" si="216"/>
        <v>0</v>
      </c>
      <c r="AP132" s="6">
        <f t="shared" si="217"/>
        <v>0</v>
      </c>
      <c r="AQ132" s="5">
        <f t="shared" si="218"/>
        <v>0</v>
      </c>
      <c r="AR132" s="2">
        <f t="shared" si="219"/>
        <v>0</v>
      </c>
      <c r="AS132" s="5">
        <f t="shared" si="220"/>
        <v>0</v>
      </c>
      <c r="AT132" s="21">
        <f t="shared" si="221"/>
        <v>0</v>
      </c>
      <c r="AU132" s="20">
        <f t="shared" si="222"/>
        <v>0</v>
      </c>
      <c r="AV132" s="20">
        <f t="shared" si="223"/>
        <v>1</v>
      </c>
      <c r="AW132" s="199">
        <f t="shared" si="224"/>
        <v>0</v>
      </c>
      <c r="AX132" s="24">
        <f t="shared" si="225"/>
        <v>0</v>
      </c>
      <c r="AY132" s="5">
        <f t="shared" si="226"/>
        <v>0</v>
      </c>
      <c r="AZ132" s="5">
        <f t="shared" si="227"/>
        <v>0</v>
      </c>
      <c r="BA132" s="5">
        <f t="shared" si="228"/>
        <v>0</v>
      </c>
      <c r="BB132" s="5">
        <f t="shared" si="229"/>
        <v>0</v>
      </c>
      <c r="BC132" s="5">
        <f t="shared" si="230"/>
        <v>0</v>
      </c>
      <c r="BD132" s="5">
        <f t="shared" si="231"/>
        <v>0</v>
      </c>
      <c r="BE132" s="199">
        <f t="shared" si="232"/>
        <v>0</v>
      </c>
      <c r="BF132" s="21">
        <f t="shared" si="233"/>
        <v>0</v>
      </c>
      <c r="BG132" s="6">
        <f t="shared" si="234"/>
        <v>0</v>
      </c>
      <c r="BH132" s="5" t="e">
        <f t="shared" si="235"/>
        <v>#DIV/0!</v>
      </c>
      <c r="BI132" s="6">
        <f t="shared" si="236"/>
        <v>0</v>
      </c>
      <c r="BJ132" s="5" t="e">
        <f t="shared" si="237"/>
        <v>#DIV/0!</v>
      </c>
      <c r="BK132" s="20">
        <f t="shared" si="238"/>
        <v>-9.9999999999999998E-13</v>
      </c>
      <c r="BL132" s="20">
        <f t="shared" si="239"/>
        <v>0</v>
      </c>
      <c r="BM132" s="6">
        <f t="shared" si="240"/>
        <v>0</v>
      </c>
      <c r="BN132" s="5">
        <f t="shared" si="241"/>
        <v>0</v>
      </c>
      <c r="BO132" s="333">
        <f t="shared" si="242"/>
        <v>0</v>
      </c>
      <c r="BP132" s="334">
        <f t="shared" si="243"/>
        <v>0</v>
      </c>
      <c r="BQ132" s="6">
        <f t="shared" si="244"/>
        <v>0</v>
      </c>
      <c r="BR132" s="5">
        <f t="shared" si="245"/>
        <v>0</v>
      </c>
      <c r="BS132" s="6">
        <f t="shared" si="246"/>
        <v>0</v>
      </c>
      <c r="BT132" s="5">
        <f t="shared" si="247"/>
        <v>0</v>
      </c>
      <c r="BU132" s="181">
        <f t="shared" si="248"/>
        <v>0</v>
      </c>
      <c r="BV132" s="154">
        <f t="shared" si="249"/>
        <v>0</v>
      </c>
      <c r="BW132" s="181">
        <f t="shared" si="250"/>
        <v>0</v>
      </c>
      <c r="BX132" s="180">
        <f t="shared" si="251"/>
        <v>0</v>
      </c>
      <c r="BY132" s="181">
        <f t="shared" si="252"/>
        <v>0</v>
      </c>
      <c r="BZ132" s="154">
        <f t="shared" si="253"/>
        <v>0</v>
      </c>
      <c r="CA132" s="182">
        <f t="shared" si="254"/>
        <v>0</v>
      </c>
      <c r="CB132" s="2">
        <f t="shared" si="255"/>
        <v>0</v>
      </c>
      <c r="CC132" s="2">
        <f t="shared" si="256"/>
        <v>0</v>
      </c>
      <c r="CD132" s="2">
        <f t="shared" si="257"/>
        <v>0</v>
      </c>
      <c r="CE132" s="2">
        <f t="shared" si="258"/>
        <v>0</v>
      </c>
      <c r="CF132" s="6">
        <f t="shared" si="259"/>
        <v>0</v>
      </c>
      <c r="CG132" s="6">
        <f t="shared" si="260"/>
        <v>0</v>
      </c>
      <c r="CH132" s="6">
        <f t="shared" si="261"/>
        <v>0</v>
      </c>
      <c r="CI132" s="20">
        <f t="shared" si="262"/>
        <v>0</v>
      </c>
      <c r="CJ132" s="133">
        <f t="shared" si="263"/>
        <v>2521</v>
      </c>
      <c r="CK132" s="5">
        <f t="shared" si="264"/>
        <v>0</v>
      </c>
      <c r="CL132" s="300" t="s">
        <v>19</v>
      </c>
      <c r="CM132" s="296" t="s">
        <v>13</v>
      </c>
      <c r="CN132" s="296" t="s">
        <v>1175</v>
      </c>
      <c r="CO132" s="296">
        <v>17</v>
      </c>
      <c r="CP132" s="296" t="s">
        <v>1466</v>
      </c>
      <c r="CQ132" s="296" t="s">
        <v>1131</v>
      </c>
      <c r="CR132" s="296" t="s">
        <v>644</v>
      </c>
      <c r="CS132" s="296" t="s">
        <v>1430</v>
      </c>
      <c r="CT132" s="296" t="s">
        <v>587</v>
      </c>
      <c r="CU132" s="297">
        <v>47118</v>
      </c>
      <c r="CV132" s="296">
        <v>0</v>
      </c>
      <c r="CW132" s="296">
        <v>0</v>
      </c>
      <c r="CX132" s="296">
        <v>0</v>
      </c>
      <c r="CY132" s="296">
        <v>0</v>
      </c>
      <c r="CZ132" s="296">
        <v>0</v>
      </c>
      <c r="DA132" s="296">
        <v>0</v>
      </c>
      <c r="DB132" s="296">
        <v>0</v>
      </c>
      <c r="DC132" s="296">
        <v>0</v>
      </c>
      <c r="DD132" s="296">
        <v>0</v>
      </c>
      <c r="DE132" s="296">
        <v>0</v>
      </c>
      <c r="DF132" s="296">
        <v>0</v>
      </c>
      <c r="DG132" s="296">
        <v>0</v>
      </c>
      <c r="DH132" s="296">
        <v>0</v>
      </c>
      <c r="DI132" s="296">
        <v>0</v>
      </c>
      <c r="DJ132" s="296">
        <v>0</v>
      </c>
      <c r="DK132" s="296">
        <v>0</v>
      </c>
      <c r="DL132" s="296">
        <v>0</v>
      </c>
      <c r="DM132" s="296">
        <v>0</v>
      </c>
      <c r="DN132" s="296">
        <v>0</v>
      </c>
      <c r="DO132" s="296">
        <v>0</v>
      </c>
      <c r="DP132" s="296">
        <v>0</v>
      </c>
      <c r="DQ132" s="296">
        <v>0</v>
      </c>
      <c r="DR132" s="296">
        <v>0</v>
      </c>
      <c r="DS132" s="296">
        <v>0</v>
      </c>
      <c r="DT132" s="296">
        <v>0</v>
      </c>
      <c r="DU132" s="296">
        <v>0</v>
      </c>
      <c r="DV132" s="301" t="s">
        <v>548</v>
      </c>
    </row>
    <row r="133" spans="1:126" ht="24.95" customHeight="1" thickBot="1" x14ac:dyDescent="0.3">
      <c r="A133" s="29" t="str">
        <f t="shared" si="265"/>
        <v>132º</v>
      </c>
      <c r="B133" s="69" t="str">
        <f t="shared" si="178"/>
        <v>Paulo Ponzoni</v>
      </c>
      <c r="C133" s="269" t="str">
        <f t="shared" si="179"/>
        <v>BRA</v>
      </c>
      <c r="D133" s="99" t="str">
        <f t="shared" si="180"/>
        <v>Pé Direito</v>
      </c>
      <c r="E133" s="28" t="str">
        <f t="shared" si="181"/>
        <v>ATG</v>
      </c>
      <c r="F133" s="169">
        <f t="shared" si="182"/>
        <v>18</v>
      </c>
      <c r="G133" s="2" t="str">
        <f t="shared" si="183"/>
        <v>0 €</v>
      </c>
      <c r="H133" s="154">
        <f t="shared" si="184"/>
        <v>1.89</v>
      </c>
      <c r="I133" s="64">
        <f t="shared" si="185"/>
        <v>47118</v>
      </c>
      <c r="J133" s="304" t="str">
        <f t="shared" si="186"/>
        <v>420 € p/m</v>
      </c>
      <c r="K133" s="96">
        <f t="shared" si="266"/>
        <v>3.5222222222222221</v>
      </c>
      <c r="L133" s="146">
        <f t="shared" si="187"/>
        <v>0</v>
      </c>
      <c r="M133" s="6">
        <f t="shared" si="188"/>
        <v>0</v>
      </c>
      <c r="N133" s="5">
        <f t="shared" si="189"/>
        <v>5400</v>
      </c>
      <c r="O133" s="21">
        <f t="shared" si="190"/>
        <v>0</v>
      </c>
      <c r="P133" s="2">
        <f t="shared" si="191"/>
        <v>0</v>
      </c>
      <c r="Q133" s="2">
        <f t="shared" si="192"/>
        <v>0</v>
      </c>
      <c r="R133" s="5">
        <f t="shared" si="193"/>
        <v>0</v>
      </c>
      <c r="S133" s="2">
        <f t="shared" si="194"/>
        <v>0</v>
      </c>
      <c r="T133" s="2">
        <f t="shared" si="195"/>
        <v>0</v>
      </c>
      <c r="U133" s="102">
        <f t="shared" si="196"/>
        <v>0</v>
      </c>
      <c r="V133" s="102">
        <f t="shared" si="197"/>
        <v>0</v>
      </c>
      <c r="W133" s="6">
        <f t="shared" si="198"/>
        <v>0</v>
      </c>
      <c r="X133" s="5">
        <f t="shared" si="199"/>
        <v>0</v>
      </c>
      <c r="Y133" s="6">
        <f t="shared" si="200"/>
        <v>0</v>
      </c>
      <c r="Z133" s="5" t="e">
        <f t="shared" si="201"/>
        <v>#DIV/0!</v>
      </c>
      <c r="AA133" s="21">
        <f t="shared" si="202"/>
        <v>0</v>
      </c>
      <c r="AB133" s="6">
        <f t="shared" si="203"/>
        <v>0</v>
      </c>
      <c r="AC133" s="5" t="e">
        <f t="shared" si="204"/>
        <v>#DIV/0!</v>
      </c>
      <c r="AD133" s="6">
        <f t="shared" si="205"/>
        <v>0</v>
      </c>
      <c r="AE133" s="5">
        <f t="shared" si="206"/>
        <v>0</v>
      </c>
      <c r="AF133" s="21">
        <f t="shared" si="207"/>
        <v>0</v>
      </c>
      <c r="AG133" s="6">
        <f t="shared" si="208"/>
        <v>0</v>
      </c>
      <c r="AH133" s="5">
        <f t="shared" si="209"/>
        <v>0</v>
      </c>
      <c r="AI133" s="21">
        <f t="shared" si="210"/>
        <v>0</v>
      </c>
      <c r="AJ133" s="6">
        <f t="shared" si="211"/>
        <v>0</v>
      </c>
      <c r="AK133" s="5">
        <f t="shared" si="212"/>
        <v>0</v>
      </c>
      <c r="AL133" s="21">
        <f t="shared" si="213"/>
        <v>0</v>
      </c>
      <c r="AM133" s="21">
        <f t="shared" si="214"/>
        <v>0</v>
      </c>
      <c r="AN133" s="6">
        <f t="shared" si="215"/>
        <v>0</v>
      </c>
      <c r="AO133" s="5">
        <f t="shared" si="216"/>
        <v>0</v>
      </c>
      <c r="AP133" s="6">
        <f t="shared" si="217"/>
        <v>0</v>
      </c>
      <c r="AQ133" s="5">
        <f t="shared" si="218"/>
        <v>0</v>
      </c>
      <c r="AR133" s="2">
        <f t="shared" si="219"/>
        <v>0</v>
      </c>
      <c r="AS133" s="5">
        <f t="shared" si="220"/>
        <v>0</v>
      </c>
      <c r="AT133" s="21">
        <f t="shared" si="221"/>
        <v>0</v>
      </c>
      <c r="AU133" s="20">
        <f t="shared" si="222"/>
        <v>0</v>
      </c>
      <c r="AV133" s="20">
        <f t="shared" si="223"/>
        <v>1</v>
      </c>
      <c r="AW133" s="199">
        <f t="shared" si="224"/>
        <v>0</v>
      </c>
      <c r="AX133" s="24">
        <f t="shared" si="225"/>
        <v>0</v>
      </c>
      <c r="AY133" s="5">
        <f t="shared" si="226"/>
        <v>0</v>
      </c>
      <c r="AZ133" s="5">
        <f t="shared" si="227"/>
        <v>0</v>
      </c>
      <c r="BA133" s="5">
        <f t="shared" si="228"/>
        <v>0</v>
      </c>
      <c r="BB133" s="5">
        <f t="shared" si="229"/>
        <v>0</v>
      </c>
      <c r="BC133" s="5">
        <f t="shared" si="230"/>
        <v>0</v>
      </c>
      <c r="BD133" s="5">
        <f t="shared" si="231"/>
        <v>0</v>
      </c>
      <c r="BE133" s="199">
        <f t="shared" si="232"/>
        <v>0</v>
      </c>
      <c r="BF133" s="21">
        <f t="shared" si="233"/>
        <v>0</v>
      </c>
      <c r="BG133" s="6">
        <f t="shared" si="234"/>
        <v>0</v>
      </c>
      <c r="BH133" s="5" t="e">
        <f t="shared" si="235"/>
        <v>#DIV/0!</v>
      </c>
      <c r="BI133" s="6">
        <f t="shared" si="236"/>
        <v>0</v>
      </c>
      <c r="BJ133" s="5" t="e">
        <f t="shared" si="237"/>
        <v>#DIV/0!</v>
      </c>
      <c r="BK133" s="20">
        <f t="shared" si="238"/>
        <v>-9.9999999999999998E-13</v>
      </c>
      <c r="BL133" s="20">
        <f t="shared" si="239"/>
        <v>0</v>
      </c>
      <c r="BM133" s="6">
        <f t="shared" si="240"/>
        <v>0</v>
      </c>
      <c r="BN133" s="5">
        <f t="shared" si="241"/>
        <v>0</v>
      </c>
      <c r="BO133" s="333">
        <f t="shared" si="242"/>
        <v>0</v>
      </c>
      <c r="BP133" s="334">
        <f t="shared" si="243"/>
        <v>0</v>
      </c>
      <c r="BQ133" s="6">
        <f t="shared" si="244"/>
        <v>0</v>
      </c>
      <c r="BR133" s="5">
        <f t="shared" si="245"/>
        <v>0</v>
      </c>
      <c r="BS133" s="6">
        <f t="shared" si="246"/>
        <v>0</v>
      </c>
      <c r="BT133" s="5">
        <f t="shared" si="247"/>
        <v>0</v>
      </c>
      <c r="BU133" s="181">
        <f t="shared" si="248"/>
        <v>0</v>
      </c>
      <c r="BV133" s="154">
        <f t="shared" si="249"/>
        <v>0</v>
      </c>
      <c r="BW133" s="181">
        <f t="shared" si="250"/>
        <v>0</v>
      </c>
      <c r="BX133" s="180">
        <f t="shared" si="251"/>
        <v>0</v>
      </c>
      <c r="BY133" s="181">
        <f t="shared" si="252"/>
        <v>0</v>
      </c>
      <c r="BZ133" s="154">
        <f t="shared" si="253"/>
        <v>0</v>
      </c>
      <c r="CA133" s="182">
        <f t="shared" si="254"/>
        <v>0</v>
      </c>
      <c r="CB133" s="2">
        <f t="shared" si="255"/>
        <v>0</v>
      </c>
      <c r="CC133" s="2">
        <f t="shared" si="256"/>
        <v>0</v>
      </c>
      <c r="CD133" s="2">
        <f t="shared" si="257"/>
        <v>0</v>
      </c>
      <c r="CE133" s="2">
        <f t="shared" si="258"/>
        <v>0</v>
      </c>
      <c r="CF133" s="6">
        <f t="shared" si="259"/>
        <v>0</v>
      </c>
      <c r="CG133" s="6">
        <f t="shared" si="260"/>
        <v>0</v>
      </c>
      <c r="CH133" s="6">
        <f t="shared" si="261"/>
        <v>0</v>
      </c>
      <c r="CI133" s="20">
        <f t="shared" si="262"/>
        <v>0</v>
      </c>
      <c r="CJ133" s="133">
        <f t="shared" si="263"/>
        <v>2521</v>
      </c>
      <c r="CK133" s="5">
        <f t="shared" si="264"/>
        <v>0</v>
      </c>
      <c r="CL133" s="302" t="s">
        <v>19</v>
      </c>
      <c r="CM133" s="298" t="s">
        <v>13</v>
      </c>
      <c r="CN133" s="298" t="s">
        <v>1467</v>
      </c>
      <c r="CO133" s="298">
        <v>18</v>
      </c>
      <c r="CP133" s="298" t="s">
        <v>1468</v>
      </c>
      <c r="CQ133" s="298" t="s">
        <v>1131</v>
      </c>
      <c r="CR133" s="298" t="s">
        <v>644</v>
      </c>
      <c r="CS133" s="298" t="s">
        <v>1430</v>
      </c>
      <c r="CT133" s="298" t="s">
        <v>593</v>
      </c>
      <c r="CU133" s="299">
        <v>47118</v>
      </c>
      <c r="CV133" s="298">
        <v>0</v>
      </c>
      <c r="CW133" s="298">
        <v>0</v>
      </c>
      <c r="CX133" s="298">
        <v>0</v>
      </c>
      <c r="CY133" s="298">
        <v>0</v>
      </c>
      <c r="CZ133" s="298">
        <v>0</v>
      </c>
      <c r="DA133" s="298">
        <v>0</v>
      </c>
      <c r="DB133" s="298">
        <v>0</v>
      </c>
      <c r="DC133" s="298">
        <v>0</v>
      </c>
      <c r="DD133" s="298">
        <v>0</v>
      </c>
      <c r="DE133" s="298">
        <v>0</v>
      </c>
      <c r="DF133" s="298">
        <v>0</v>
      </c>
      <c r="DG133" s="298">
        <v>0</v>
      </c>
      <c r="DH133" s="298">
        <v>0</v>
      </c>
      <c r="DI133" s="298">
        <v>0</v>
      </c>
      <c r="DJ133" s="298">
        <v>0</v>
      </c>
      <c r="DK133" s="298">
        <v>0</v>
      </c>
      <c r="DL133" s="298">
        <v>0</v>
      </c>
      <c r="DM133" s="298">
        <v>0</v>
      </c>
      <c r="DN133" s="298">
        <v>0</v>
      </c>
      <c r="DO133" s="298">
        <v>0</v>
      </c>
      <c r="DP133" s="298">
        <v>0</v>
      </c>
      <c r="DQ133" s="298">
        <v>0</v>
      </c>
      <c r="DR133" s="298">
        <v>0</v>
      </c>
      <c r="DS133" s="298">
        <v>0</v>
      </c>
      <c r="DT133" s="298">
        <v>0</v>
      </c>
      <c r="DU133" s="298">
        <v>0</v>
      </c>
      <c r="DV133" s="303" t="s">
        <v>548</v>
      </c>
    </row>
    <row r="134" spans="1:126" ht="24.95" customHeight="1" thickBot="1" x14ac:dyDescent="0.3">
      <c r="A134" s="29" t="str">
        <f t="shared" si="265"/>
        <v>133º</v>
      </c>
      <c r="B134" s="69" t="str">
        <f t="shared" si="178"/>
        <v>Edcarlos</v>
      </c>
      <c r="C134" s="269" t="str">
        <f t="shared" si="179"/>
        <v>BRA</v>
      </c>
      <c r="D134" s="99" t="str">
        <f t="shared" si="180"/>
        <v>Pé Direito</v>
      </c>
      <c r="E134" s="28" t="str">
        <f t="shared" si="181"/>
        <v>VIL</v>
      </c>
      <c r="F134" s="169">
        <f t="shared" si="182"/>
        <v>17</v>
      </c>
      <c r="G134" s="2" t="str">
        <f t="shared" si="183"/>
        <v>24m € - 230m €</v>
      </c>
      <c r="H134" s="154">
        <f t="shared" si="184"/>
        <v>1.86</v>
      </c>
      <c r="I134" s="64">
        <f t="shared" si="185"/>
        <v>47483</v>
      </c>
      <c r="J134" s="304" t="str">
        <f t="shared" si="186"/>
        <v>180 € p/m</v>
      </c>
      <c r="K134" s="96">
        <f t="shared" si="266"/>
        <v>3.5222222222222221</v>
      </c>
      <c r="L134" s="146">
        <f t="shared" si="187"/>
        <v>0</v>
      </c>
      <c r="M134" s="6">
        <f t="shared" si="188"/>
        <v>0</v>
      </c>
      <c r="N134" s="5">
        <f t="shared" si="189"/>
        <v>5400</v>
      </c>
      <c r="O134" s="21">
        <f t="shared" si="190"/>
        <v>0</v>
      </c>
      <c r="P134" s="2">
        <f t="shared" si="191"/>
        <v>0</v>
      </c>
      <c r="Q134" s="2">
        <f t="shared" si="192"/>
        <v>0</v>
      </c>
      <c r="R134" s="5">
        <f t="shared" si="193"/>
        <v>0</v>
      </c>
      <c r="S134" s="2">
        <f t="shared" si="194"/>
        <v>0</v>
      </c>
      <c r="T134" s="2">
        <f t="shared" si="195"/>
        <v>0</v>
      </c>
      <c r="U134" s="102">
        <f t="shared" si="196"/>
        <v>0</v>
      </c>
      <c r="V134" s="102">
        <f t="shared" si="197"/>
        <v>0</v>
      </c>
      <c r="W134" s="6">
        <f t="shared" si="198"/>
        <v>0</v>
      </c>
      <c r="X134" s="5">
        <f t="shared" si="199"/>
        <v>0</v>
      </c>
      <c r="Y134" s="6">
        <f t="shared" si="200"/>
        <v>0</v>
      </c>
      <c r="Z134" s="5" t="e">
        <f t="shared" si="201"/>
        <v>#DIV/0!</v>
      </c>
      <c r="AA134" s="21">
        <f t="shared" si="202"/>
        <v>0</v>
      </c>
      <c r="AB134" s="6">
        <f t="shared" si="203"/>
        <v>0</v>
      </c>
      <c r="AC134" s="5" t="e">
        <f t="shared" si="204"/>
        <v>#DIV/0!</v>
      </c>
      <c r="AD134" s="6">
        <f t="shared" si="205"/>
        <v>0</v>
      </c>
      <c r="AE134" s="5">
        <f t="shared" si="206"/>
        <v>0</v>
      </c>
      <c r="AF134" s="21">
        <f t="shared" si="207"/>
        <v>0</v>
      </c>
      <c r="AG134" s="6">
        <f t="shared" si="208"/>
        <v>0</v>
      </c>
      <c r="AH134" s="5">
        <f t="shared" si="209"/>
        <v>0</v>
      </c>
      <c r="AI134" s="21">
        <f t="shared" si="210"/>
        <v>0</v>
      </c>
      <c r="AJ134" s="6">
        <f t="shared" si="211"/>
        <v>0</v>
      </c>
      <c r="AK134" s="5">
        <f t="shared" si="212"/>
        <v>0</v>
      </c>
      <c r="AL134" s="21">
        <f t="shared" si="213"/>
        <v>0</v>
      </c>
      <c r="AM134" s="21">
        <f t="shared" si="214"/>
        <v>0</v>
      </c>
      <c r="AN134" s="6">
        <f t="shared" si="215"/>
        <v>0</v>
      </c>
      <c r="AO134" s="5">
        <f t="shared" si="216"/>
        <v>0</v>
      </c>
      <c r="AP134" s="6">
        <f t="shared" si="217"/>
        <v>0</v>
      </c>
      <c r="AQ134" s="5">
        <f t="shared" si="218"/>
        <v>0</v>
      </c>
      <c r="AR134" s="2">
        <f t="shared" si="219"/>
        <v>0</v>
      </c>
      <c r="AS134" s="5">
        <f t="shared" si="220"/>
        <v>0</v>
      </c>
      <c r="AT134" s="21">
        <f t="shared" si="221"/>
        <v>0</v>
      </c>
      <c r="AU134" s="20">
        <f t="shared" si="222"/>
        <v>0</v>
      </c>
      <c r="AV134" s="20">
        <f t="shared" si="223"/>
        <v>1</v>
      </c>
      <c r="AW134" s="199">
        <f t="shared" si="224"/>
        <v>0</v>
      </c>
      <c r="AX134" s="24">
        <f t="shared" si="225"/>
        <v>0</v>
      </c>
      <c r="AY134" s="5">
        <f t="shared" si="226"/>
        <v>0</v>
      </c>
      <c r="AZ134" s="5">
        <f t="shared" si="227"/>
        <v>0</v>
      </c>
      <c r="BA134" s="5">
        <f t="shared" si="228"/>
        <v>0</v>
      </c>
      <c r="BB134" s="5">
        <f t="shared" si="229"/>
        <v>0</v>
      </c>
      <c r="BC134" s="5">
        <f t="shared" si="230"/>
        <v>0</v>
      </c>
      <c r="BD134" s="5">
        <f t="shared" si="231"/>
        <v>0</v>
      </c>
      <c r="BE134" s="199">
        <f t="shared" si="232"/>
        <v>0</v>
      </c>
      <c r="BF134" s="21">
        <f t="shared" si="233"/>
        <v>0</v>
      </c>
      <c r="BG134" s="6">
        <f t="shared" si="234"/>
        <v>0</v>
      </c>
      <c r="BH134" s="5" t="e">
        <f t="shared" si="235"/>
        <v>#DIV/0!</v>
      </c>
      <c r="BI134" s="6">
        <f t="shared" si="236"/>
        <v>0</v>
      </c>
      <c r="BJ134" s="5" t="e">
        <f t="shared" si="237"/>
        <v>#DIV/0!</v>
      </c>
      <c r="BK134" s="20">
        <f t="shared" si="238"/>
        <v>-9.9999999999999998E-13</v>
      </c>
      <c r="BL134" s="20">
        <f t="shared" si="239"/>
        <v>0</v>
      </c>
      <c r="BM134" s="6">
        <f t="shared" si="240"/>
        <v>0</v>
      </c>
      <c r="BN134" s="5">
        <f t="shared" si="241"/>
        <v>0</v>
      </c>
      <c r="BO134" s="333">
        <f t="shared" si="242"/>
        <v>0</v>
      </c>
      <c r="BP134" s="334">
        <f t="shared" si="243"/>
        <v>0</v>
      </c>
      <c r="BQ134" s="6">
        <f t="shared" si="244"/>
        <v>0</v>
      </c>
      <c r="BR134" s="5">
        <f t="shared" si="245"/>
        <v>0</v>
      </c>
      <c r="BS134" s="6">
        <f t="shared" si="246"/>
        <v>0</v>
      </c>
      <c r="BT134" s="5">
        <f t="shared" si="247"/>
        <v>0</v>
      </c>
      <c r="BU134" s="181">
        <f t="shared" si="248"/>
        <v>0</v>
      </c>
      <c r="BV134" s="154">
        <f t="shared" si="249"/>
        <v>0</v>
      </c>
      <c r="BW134" s="181">
        <f t="shared" si="250"/>
        <v>0</v>
      </c>
      <c r="BX134" s="180">
        <f t="shared" si="251"/>
        <v>0</v>
      </c>
      <c r="BY134" s="181">
        <f t="shared" si="252"/>
        <v>0</v>
      </c>
      <c r="BZ134" s="154">
        <f t="shared" si="253"/>
        <v>0</v>
      </c>
      <c r="CA134" s="182">
        <f t="shared" si="254"/>
        <v>0</v>
      </c>
      <c r="CB134" s="2">
        <f t="shared" si="255"/>
        <v>0</v>
      </c>
      <c r="CC134" s="2">
        <f t="shared" si="256"/>
        <v>0</v>
      </c>
      <c r="CD134" s="2">
        <f t="shared" si="257"/>
        <v>0</v>
      </c>
      <c r="CE134" s="2">
        <f t="shared" si="258"/>
        <v>0</v>
      </c>
      <c r="CF134" s="6">
        <f t="shared" si="259"/>
        <v>0</v>
      </c>
      <c r="CG134" s="6">
        <f t="shared" si="260"/>
        <v>0</v>
      </c>
      <c r="CH134" s="6">
        <f t="shared" si="261"/>
        <v>0</v>
      </c>
      <c r="CI134" s="20">
        <f t="shared" si="262"/>
        <v>0</v>
      </c>
      <c r="CJ134" s="133">
        <f t="shared" si="263"/>
        <v>2521</v>
      </c>
      <c r="CK134" s="5">
        <f t="shared" si="264"/>
        <v>0</v>
      </c>
      <c r="CL134" s="300" t="s">
        <v>1235</v>
      </c>
      <c r="CM134" s="296" t="s">
        <v>13</v>
      </c>
      <c r="CN134" s="296" t="s">
        <v>1364</v>
      </c>
      <c r="CO134" s="296">
        <v>17</v>
      </c>
      <c r="CP134" s="296" t="s">
        <v>1469</v>
      </c>
      <c r="CQ134" s="296" t="s">
        <v>1470</v>
      </c>
      <c r="CR134" s="296" t="s">
        <v>644</v>
      </c>
      <c r="CS134" s="296" t="s">
        <v>1432</v>
      </c>
      <c r="CT134" s="296" t="s">
        <v>575</v>
      </c>
      <c r="CU134" s="297">
        <v>47483</v>
      </c>
      <c r="CV134" s="296">
        <v>0</v>
      </c>
      <c r="CW134" s="296">
        <v>0</v>
      </c>
      <c r="CX134" s="296">
        <v>0</v>
      </c>
      <c r="CY134" s="296">
        <v>0</v>
      </c>
      <c r="CZ134" s="296">
        <v>0</v>
      </c>
      <c r="DA134" s="296">
        <v>0</v>
      </c>
      <c r="DB134" s="296">
        <v>0</v>
      </c>
      <c r="DC134" s="296">
        <v>0</v>
      </c>
      <c r="DD134" s="296">
        <v>0</v>
      </c>
      <c r="DE134" s="296">
        <v>0</v>
      </c>
      <c r="DF134" s="296">
        <v>0</v>
      </c>
      <c r="DG134" s="296">
        <v>0</v>
      </c>
      <c r="DH134" s="296">
        <v>0</v>
      </c>
      <c r="DI134" s="296">
        <v>0</v>
      </c>
      <c r="DJ134" s="296">
        <v>0</v>
      </c>
      <c r="DK134" s="296">
        <v>0</v>
      </c>
      <c r="DL134" s="296">
        <v>0</v>
      </c>
      <c r="DM134" s="296">
        <v>0</v>
      </c>
      <c r="DN134" s="296">
        <v>0</v>
      </c>
      <c r="DO134" s="296">
        <v>0</v>
      </c>
      <c r="DP134" s="296">
        <v>0</v>
      </c>
      <c r="DQ134" s="296">
        <v>0</v>
      </c>
      <c r="DR134" s="296">
        <v>0</v>
      </c>
      <c r="DS134" s="296">
        <v>0</v>
      </c>
      <c r="DT134" s="296">
        <v>0</v>
      </c>
      <c r="DU134" s="296">
        <v>0</v>
      </c>
      <c r="DV134" s="301" t="s">
        <v>548</v>
      </c>
    </row>
    <row r="135" spans="1:126" ht="24.95" customHeight="1" thickBot="1" x14ac:dyDescent="0.3">
      <c r="A135" s="29" t="str">
        <f t="shared" si="265"/>
        <v>134º</v>
      </c>
      <c r="B135" s="69" t="str">
        <f t="shared" si="178"/>
        <v>Jean</v>
      </c>
      <c r="C135" s="269" t="str">
        <f t="shared" si="179"/>
        <v>BRA</v>
      </c>
      <c r="D135" s="99" t="str">
        <f t="shared" si="180"/>
        <v>Pé Direito</v>
      </c>
      <c r="E135" s="28" t="str">
        <f t="shared" si="181"/>
        <v>REM</v>
      </c>
      <c r="F135" s="169">
        <f t="shared" si="182"/>
        <v>18</v>
      </c>
      <c r="G135" s="2" t="str">
        <f t="shared" si="183"/>
        <v>0 €</v>
      </c>
      <c r="H135" s="154">
        <f t="shared" si="184"/>
        <v>1.84</v>
      </c>
      <c r="I135" s="64">
        <f t="shared" si="185"/>
        <v>47118</v>
      </c>
      <c r="J135" s="304" t="str">
        <f t="shared" si="186"/>
        <v>550 € p/m</v>
      </c>
      <c r="K135" s="96">
        <f t="shared" si="266"/>
        <v>3.5222222222222221</v>
      </c>
      <c r="L135" s="146">
        <f t="shared" si="187"/>
        <v>0</v>
      </c>
      <c r="M135" s="6">
        <f t="shared" si="188"/>
        <v>0</v>
      </c>
      <c r="N135" s="5">
        <f t="shared" si="189"/>
        <v>5400</v>
      </c>
      <c r="O135" s="21">
        <f t="shared" si="190"/>
        <v>0</v>
      </c>
      <c r="P135" s="2">
        <f t="shared" si="191"/>
        <v>0</v>
      </c>
      <c r="Q135" s="2">
        <f t="shared" si="192"/>
        <v>0</v>
      </c>
      <c r="R135" s="5">
        <f t="shared" si="193"/>
        <v>0</v>
      </c>
      <c r="S135" s="2">
        <f t="shared" si="194"/>
        <v>0</v>
      </c>
      <c r="T135" s="2">
        <f t="shared" si="195"/>
        <v>0</v>
      </c>
      <c r="U135" s="102">
        <f t="shared" si="196"/>
        <v>0</v>
      </c>
      <c r="V135" s="102">
        <f t="shared" si="197"/>
        <v>0</v>
      </c>
      <c r="W135" s="6">
        <f t="shared" si="198"/>
        <v>0</v>
      </c>
      <c r="X135" s="5">
        <f t="shared" si="199"/>
        <v>0</v>
      </c>
      <c r="Y135" s="6">
        <f t="shared" si="200"/>
        <v>0</v>
      </c>
      <c r="Z135" s="5" t="e">
        <f t="shared" si="201"/>
        <v>#DIV/0!</v>
      </c>
      <c r="AA135" s="21">
        <f t="shared" si="202"/>
        <v>0</v>
      </c>
      <c r="AB135" s="6">
        <f t="shared" si="203"/>
        <v>0</v>
      </c>
      <c r="AC135" s="5" t="e">
        <f t="shared" si="204"/>
        <v>#DIV/0!</v>
      </c>
      <c r="AD135" s="6">
        <f t="shared" si="205"/>
        <v>0</v>
      </c>
      <c r="AE135" s="5">
        <f t="shared" si="206"/>
        <v>0</v>
      </c>
      <c r="AF135" s="21">
        <f t="shared" si="207"/>
        <v>0</v>
      </c>
      <c r="AG135" s="6">
        <f t="shared" si="208"/>
        <v>0</v>
      </c>
      <c r="AH135" s="5">
        <f t="shared" si="209"/>
        <v>0</v>
      </c>
      <c r="AI135" s="21">
        <f t="shared" si="210"/>
        <v>0</v>
      </c>
      <c r="AJ135" s="6">
        <f t="shared" si="211"/>
        <v>0</v>
      </c>
      <c r="AK135" s="5">
        <f t="shared" si="212"/>
        <v>0</v>
      </c>
      <c r="AL135" s="21">
        <f t="shared" si="213"/>
        <v>0</v>
      </c>
      <c r="AM135" s="21">
        <f t="shared" si="214"/>
        <v>0</v>
      </c>
      <c r="AN135" s="6">
        <f t="shared" si="215"/>
        <v>0</v>
      </c>
      <c r="AO135" s="5">
        <f t="shared" si="216"/>
        <v>0</v>
      </c>
      <c r="AP135" s="6">
        <f t="shared" si="217"/>
        <v>0</v>
      </c>
      <c r="AQ135" s="5">
        <f t="shared" si="218"/>
        <v>0</v>
      </c>
      <c r="AR135" s="2">
        <f t="shared" si="219"/>
        <v>0</v>
      </c>
      <c r="AS135" s="5">
        <f t="shared" si="220"/>
        <v>0</v>
      </c>
      <c r="AT135" s="21">
        <f t="shared" si="221"/>
        <v>0</v>
      </c>
      <c r="AU135" s="20">
        <f t="shared" si="222"/>
        <v>0</v>
      </c>
      <c r="AV135" s="20">
        <f t="shared" si="223"/>
        <v>1</v>
      </c>
      <c r="AW135" s="199">
        <f t="shared" si="224"/>
        <v>0</v>
      </c>
      <c r="AX135" s="24">
        <f t="shared" si="225"/>
        <v>0</v>
      </c>
      <c r="AY135" s="5">
        <f t="shared" si="226"/>
        <v>0</v>
      </c>
      <c r="AZ135" s="5">
        <f t="shared" si="227"/>
        <v>0</v>
      </c>
      <c r="BA135" s="5">
        <f t="shared" si="228"/>
        <v>0</v>
      </c>
      <c r="BB135" s="5">
        <f t="shared" si="229"/>
        <v>0</v>
      </c>
      <c r="BC135" s="5">
        <f t="shared" si="230"/>
        <v>0</v>
      </c>
      <c r="BD135" s="5">
        <f t="shared" si="231"/>
        <v>0</v>
      </c>
      <c r="BE135" s="199">
        <f t="shared" si="232"/>
        <v>0</v>
      </c>
      <c r="BF135" s="21">
        <f t="shared" si="233"/>
        <v>0</v>
      </c>
      <c r="BG135" s="6">
        <f t="shared" si="234"/>
        <v>0</v>
      </c>
      <c r="BH135" s="5" t="e">
        <f t="shared" si="235"/>
        <v>#DIV/0!</v>
      </c>
      <c r="BI135" s="6">
        <f t="shared" si="236"/>
        <v>0</v>
      </c>
      <c r="BJ135" s="5" t="e">
        <f t="shared" si="237"/>
        <v>#DIV/0!</v>
      </c>
      <c r="BK135" s="20">
        <f t="shared" si="238"/>
        <v>-9.9999999999999998E-13</v>
      </c>
      <c r="BL135" s="20">
        <f t="shared" si="239"/>
        <v>0</v>
      </c>
      <c r="BM135" s="6">
        <f t="shared" si="240"/>
        <v>0</v>
      </c>
      <c r="BN135" s="5">
        <f t="shared" si="241"/>
        <v>0</v>
      </c>
      <c r="BO135" s="333">
        <f t="shared" si="242"/>
        <v>0</v>
      </c>
      <c r="BP135" s="334">
        <f t="shared" si="243"/>
        <v>0</v>
      </c>
      <c r="BQ135" s="6">
        <f t="shared" si="244"/>
        <v>0</v>
      </c>
      <c r="BR135" s="5">
        <f t="shared" si="245"/>
        <v>0</v>
      </c>
      <c r="BS135" s="6">
        <f t="shared" si="246"/>
        <v>0</v>
      </c>
      <c r="BT135" s="5">
        <f t="shared" si="247"/>
        <v>0</v>
      </c>
      <c r="BU135" s="181">
        <f t="shared" si="248"/>
        <v>0</v>
      </c>
      <c r="BV135" s="154">
        <f t="shared" si="249"/>
        <v>0</v>
      </c>
      <c r="BW135" s="181">
        <f t="shared" si="250"/>
        <v>0</v>
      </c>
      <c r="BX135" s="180">
        <f t="shared" si="251"/>
        <v>0</v>
      </c>
      <c r="BY135" s="181">
        <f t="shared" si="252"/>
        <v>0</v>
      </c>
      <c r="BZ135" s="154">
        <f t="shared" si="253"/>
        <v>0</v>
      </c>
      <c r="CA135" s="182">
        <f t="shared" si="254"/>
        <v>0</v>
      </c>
      <c r="CB135" s="2">
        <f t="shared" si="255"/>
        <v>0</v>
      </c>
      <c r="CC135" s="2">
        <f t="shared" si="256"/>
        <v>0</v>
      </c>
      <c r="CD135" s="2">
        <f t="shared" si="257"/>
        <v>0</v>
      </c>
      <c r="CE135" s="2">
        <f t="shared" si="258"/>
        <v>0</v>
      </c>
      <c r="CF135" s="6">
        <f t="shared" si="259"/>
        <v>0</v>
      </c>
      <c r="CG135" s="6">
        <f t="shared" si="260"/>
        <v>0</v>
      </c>
      <c r="CH135" s="6">
        <f t="shared" si="261"/>
        <v>0</v>
      </c>
      <c r="CI135" s="20">
        <f t="shared" si="262"/>
        <v>0</v>
      </c>
      <c r="CJ135" s="133">
        <f t="shared" si="263"/>
        <v>2521</v>
      </c>
      <c r="CK135" s="5">
        <f t="shared" si="264"/>
        <v>0</v>
      </c>
      <c r="CL135" s="302" t="s">
        <v>1235</v>
      </c>
      <c r="CM135" s="298" t="s">
        <v>13</v>
      </c>
      <c r="CN135" s="298" t="s">
        <v>1471</v>
      </c>
      <c r="CO135" s="298">
        <v>18</v>
      </c>
      <c r="CP135" s="298" t="s">
        <v>1472</v>
      </c>
      <c r="CQ135" s="298" t="s">
        <v>1131</v>
      </c>
      <c r="CR135" s="298" t="s">
        <v>644</v>
      </c>
      <c r="CS135" s="298" t="s">
        <v>1375</v>
      </c>
      <c r="CT135" s="298" t="s">
        <v>574</v>
      </c>
      <c r="CU135" s="299">
        <v>47118</v>
      </c>
      <c r="CV135" s="298">
        <v>0</v>
      </c>
      <c r="CW135" s="298">
        <v>0</v>
      </c>
      <c r="CX135" s="298">
        <v>0</v>
      </c>
      <c r="CY135" s="298">
        <v>0</v>
      </c>
      <c r="CZ135" s="298">
        <v>0</v>
      </c>
      <c r="DA135" s="298">
        <v>0</v>
      </c>
      <c r="DB135" s="298">
        <v>0</v>
      </c>
      <c r="DC135" s="298">
        <v>0</v>
      </c>
      <c r="DD135" s="298">
        <v>0</v>
      </c>
      <c r="DE135" s="298">
        <v>0</v>
      </c>
      <c r="DF135" s="298">
        <v>0</v>
      </c>
      <c r="DG135" s="298">
        <v>0</v>
      </c>
      <c r="DH135" s="298">
        <v>0</v>
      </c>
      <c r="DI135" s="298">
        <v>0</v>
      </c>
      <c r="DJ135" s="298">
        <v>0</v>
      </c>
      <c r="DK135" s="298">
        <v>0</v>
      </c>
      <c r="DL135" s="298">
        <v>0</v>
      </c>
      <c r="DM135" s="298">
        <v>0</v>
      </c>
      <c r="DN135" s="298">
        <v>0</v>
      </c>
      <c r="DO135" s="298">
        <v>0</v>
      </c>
      <c r="DP135" s="298">
        <v>0</v>
      </c>
      <c r="DQ135" s="298">
        <v>0</v>
      </c>
      <c r="DR135" s="298">
        <v>0</v>
      </c>
      <c r="DS135" s="298">
        <v>0</v>
      </c>
      <c r="DT135" s="298">
        <v>0</v>
      </c>
      <c r="DU135" s="298">
        <v>0</v>
      </c>
      <c r="DV135" s="303" t="s">
        <v>548</v>
      </c>
    </row>
    <row r="136" spans="1:126" ht="24.95" customHeight="1" thickBot="1" x14ac:dyDescent="0.3">
      <c r="A136" s="29" t="str">
        <f t="shared" si="265"/>
        <v>135º</v>
      </c>
      <c r="B136" s="69" t="str">
        <f t="shared" si="178"/>
        <v>João Gabriel</v>
      </c>
      <c r="C136" s="269" t="str">
        <f t="shared" si="179"/>
        <v>BRA</v>
      </c>
      <c r="D136" s="99" t="str">
        <f t="shared" si="180"/>
        <v>Pé Direito</v>
      </c>
      <c r="E136" s="28" t="str">
        <f t="shared" si="181"/>
        <v>PSTC</v>
      </c>
      <c r="F136" s="169">
        <f t="shared" si="182"/>
        <v>18</v>
      </c>
      <c r="G136" s="2" t="str">
        <f t="shared" si="183"/>
        <v>0 €</v>
      </c>
      <c r="H136" s="154">
        <f t="shared" si="184"/>
        <v>1.81</v>
      </c>
      <c r="I136" s="64">
        <f t="shared" si="185"/>
        <v>47118</v>
      </c>
      <c r="J136" s="304" t="str">
        <f t="shared" si="186"/>
        <v>675 € p/m</v>
      </c>
      <c r="K136" s="96">
        <f t="shared" si="266"/>
        <v>3.5222222222222221</v>
      </c>
      <c r="L136" s="146">
        <f t="shared" si="187"/>
        <v>2</v>
      </c>
      <c r="M136" s="6">
        <f t="shared" si="188"/>
        <v>1</v>
      </c>
      <c r="N136" s="5">
        <f t="shared" si="189"/>
        <v>180</v>
      </c>
      <c r="O136" s="21">
        <f t="shared" si="190"/>
        <v>0.5</v>
      </c>
      <c r="P136" s="2">
        <f t="shared" si="191"/>
        <v>40</v>
      </c>
      <c r="Q136" s="2">
        <f t="shared" si="192"/>
        <v>25</v>
      </c>
      <c r="R136" s="5">
        <f t="shared" si="193"/>
        <v>12.5</v>
      </c>
      <c r="S136" s="2">
        <f t="shared" si="194"/>
        <v>15</v>
      </c>
      <c r="T136" s="2">
        <f t="shared" si="195"/>
        <v>10</v>
      </c>
      <c r="U136" s="102">
        <f t="shared" si="196"/>
        <v>0.375</v>
      </c>
      <c r="V136" s="102">
        <f t="shared" si="197"/>
        <v>0.625</v>
      </c>
      <c r="W136" s="6">
        <f t="shared" si="198"/>
        <v>40</v>
      </c>
      <c r="X136" s="5">
        <f t="shared" si="199"/>
        <v>20</v>
      </c>
      <c r="Y136" s="6">
        <f t="shared" si="200"/>
        <v>0</v>
      </c>
      <c r="Z136" s="5">
        <f t="shared" si="201"/>
        <v>0</v>
      </c>
      <c r="AA136" s="21">
        <f t="shared" si="202"/>
        <v>0</v>
      </c>
      <c r="AB136" s="6">
        <f t="shared" si="203"/>
        <v>0</v>
      </c>
      <c r="AC136" s="5">
        <f t="shared" si="204"/>
        <v>0</v>
      </c>
      <c r="AD136" s="6">
        <f t="shared" si="205"/>
        <v>0</v>
      </c>
      <c r="AE136" s="5">
        <f t="shared" si="206"/>
        <v>0</v>
      </c>
      <c r="AF136" s="21">
        <f t="shared" si="207"/>
        <v>0</v>
      </c>
      <c r="AG136" s="6">
        <f t="shared" si="208"/>
        <v>0</v>
      </c>
      <c r="AH136" s="5">
        <f t="shared" si="209"/>
        <v>0</v>
      </c>
      <c r="AI136" s="21">
        <f t="shared" si="210"/>
        <v>0</v>
      </c>
      <c r="AJ136" s="6">
        <f t="shared" si="211"/>
        <v>0</v>
      </c>
      <c r="AK136" s="5">
        <f t="shared" si="212"/>
        <v>0</v>
      </c>
      <c r="AL136" s="21">
        <f t="shared" si="213"/>
        <v>0</v>
      </c>
      <c r="AM136" s="21">
        <f t="shared" si="214"/>
        <v>0.5</v>
      </c>
      <c r="AN136" s="6">
        <f t="shared" si="215"/>
        <v>1</v>
      </c>
      <c r="AO136" s="5">
        <f t="shared" si="216"/>
        <v>0.5</v>
      </c>
      <c r="AP136" s="6">
        <f t="shared" si="217"/>
        <v>0</v>
      </c>
      <c r="AQ136" s="5">
        <f t="shared" si="218"/>
        <v>0</v>
      </c>
      <c r="AR136" s="2">
        <f t="shared" si="219"/>
        <v>2</v>
      </c>
      <c r="AS136" s="5">
        <f t="shared" si="220"/>
        <v>1</v>
      </c>
      <c r="AT136" s="21">
        <f t="shared" si="221"/>
        <v>0</v>
      </c>
      <c r="AU136" s="20">
        <f t="shared" si="222"/>
        <v>0</v>
      </c>
      <c r="AV136" s="20">
        <f t="shared" si="223"/>
        <v>1</v>
      </c>
      <c r="AW136" s="199">
        <f t="shared" si="224"/>
        <v>0</v>
      </c>
      <c r="AX136" s="24">
        <f t="shared" si="225"/>
        <v>90</v>
      </c>
      <c r="AY136" s="5">
        <f t="shared" si="226"/>
        <v>1</v>
      </c>
      <c r="AZ136" s="5">
        <f t="shared" si="227"/>
        <v>1</v>
      </c>
      <c r="BA136" s="5">
        <f t="shared" si="228"/>
        <v>0</v>
      </c>
      <c r="BB136" s="5">
        <f t="shared" si="229"/>
        <v>0</v>
      </c>
      <c r="BC136" s="5">
        <f t="shared" si="230"/>
        <v>0</v>
      </c>
      <c r="BD136" s="5">
        <f t="shared" si="231"/>
        <v>0</v>
      </c>
      <c r="BE136" s="199">
        <f t="shared" si="232"/>
        <v>0</v>
      </c>
      <c r="BF136" s="21">
        <f t="shared" si="233"/>
        <v>0</v>
      </c>
      <c r="BG136" s="6">
        <f t="shared" si="234"/>
        <v>0</v>
      </c>
      <c r="BH136" s="5">
        <f t="shared" si="235"/>
        <v>0</v>
      </c>
      <c r="BI136" s="6">
        <f t="shared" si="236"/>
        <v>0</v>
      </c>
      <c r="BJ136" s="5">
        <f t="shared" si="237"/>
        <v>0</v>
      </c>
      <c r="BK136" s="20">
        <f t="shared" si="238"/>
        <v>-9.9999999999999998E-13</v>
      </c>
      <c r="BL136" s="20">
        <f t="shared" si="239"/>
        <v>1.3486176668914363E-3</v>
      </c>
      <c r="BM136" s="6">
        <f t="shared" si="240"/>
        <v>2</v>
      </c>
      <c r="BN136" s="5">
        <f t="shared" si="241"/>
        <v>1</v>
      </c>
      <c r="BO136" s="333">
        <f t="shared" si="242"/>
        <v>0</v>
      </c>
      <c r="BP136" s="334">
        <f t="shared" si="243"/>
        <v>0</v>
      </c>
      <c r="BQ136" s="6">
        <f t="shared" si="244"/>
        <v>0</v>
      </c>
      <c r="BR136" s="5">
        <f t="shared" si="245"/>
        <v>0</v>
      </c>
      <c r="BS136" s="6">
        <f t="shared" si="246"/>
        <v>0</v>
      </c>
      <c r="BT136" s="5">
        <f t="shared" si="247"/>
        <v>0</v>
      </c>
      <c r="BU136" s="181">
        <f t="shared" si="248"/>
        <v>0</v>
      </c>
      <c r="BV136" s="154">
        <f t="shared" si="249"/>
        <v>0</v>
      </c>
      <c r="BW136" s="181">
        <f t="shared" si="250"/>
        <v>0</v>
      </c>
      <c r="BX136" s="180">
        <f t="shared" si="251"/>
        <v>0</v>
      </c>
      <c r="BY136" s="181">
        <f t="shared" si="252"/>
        <v>0</v>
      </c>
      <c r="BZ136" s="154">
        <f t="shared" si="253"/>
        <v>0</v>
      </c>
      <c r="CA136" s="182">
        <f t="shared" si="254"/>
        <v>0</v>
      </c>
      <c r="CB136" s="2">
        <f t="shared" si="255"/>
        <v>0</v>
      </c>
      <c r="CC136" s="2">
        <f t="shared" si="256"/>
        <v>0</v>
      </c>
      <c r="CD136" s="2">
        <f t="shared" si="257"/>
        <v>0</v>
      </c>
      <c r="CE136" s="2">
        <f t="shared" si="258"/>
        <v>3</v>
      </c>
      <c r="CF136" s="6">
        <f t="shared" si="259"/>
        <v>0</v>
      </c>
      <c r="CG136" s="6">
        <f t="shared" si="260"/>
        <v>44</v>
      </c>
      <c r="CH136" s="6">
        <f t="shared" si="261"/>
        <v>25</v>
      </c>
      <c r="CI136" s="20">
        <f t="shared" si="262"/>
        <v>0.56818181818181823</v>
      </c>
      <c r="CJ136" s="133">
        <f t="shared" si="263"/>
        <v>2521</v>
      </c>
      <c r="CK136" s="5">
        <f t="shared" si="264"/>
        <v>8.25</v>
      </c>
      <c r="CL136" s="300"/>
      <c r="CM136" s="296" t="s">
        <v>13</v>
      </c>
      <c r="CN136" s="296" t="s">
        <v>1463</v>
      </c>
      <c r="CO136" s="296">
        <v>18</v>
      </c>
      <c r="CP136" s="296" t="s">
        <v>1473</v>
      </c>
      <c r="CQ136" s="296" t="s">
        <v>1131</v>
      </c>
      <c r="CR136" s="296" t="s">
        <v>644</v>
      </c>
      <c r="CS136" s="296" t="s">
        <v>1474</v>
      </c>
      <c r="CT136" s="296" t="s">
        <v>607</v>
      </c>
      <c r="CU136" s="297">
        <v>47118</v>
      </c>
      <c r="CV136" s="296">
        <v>1</v>
      </c>
      <c r="CW136" s="296">
        <v>180</v>
      </c>
      <c r="CX136" s="296">
        <v>2</v>
      </c>
      <c r="CY136" s="296">
        <v>0</v>
      </c>
      <c r="CZ136" s="296">
        <v>0</v>
      </c>
      <c r="DA136" s="296">
        <v>0</v>
      </c>
      <c r="DB136" s="296">
        <v>0</v>
      </c>
      <c r="DC136" s="296">
        <v>0</v>
      </c>
      <c r="DD136" s="296">
        <v>0</v>
      </c>
      <c r="DE136" s="296">
        <v>1</v>
      </c>
      <c r="DF136" s="296">
        <v>0</v>
      </c>
      <c r="DG136" s="296">
        <v>0</v>
      </c>
      <c r="DH136" s="296">
        <v>0</v>
      </c>
      <c r="DI136" s="296">
        <v>3</v>
      </c>
      <c r="DJ136" s="296">
        <v>0</v>
      </c>
      <c r="DK136" s="296">
        <v>0</v>
      </c>
      <c r="DL136" s="296">
        <v>40</v>
      </c>
      <c r="DM136" s="296">
        <v>25</v>
      </c>
      <c r="DN136" s="296">
        <v>0</v>
      </c>
      <c r="DO136" s="296">
        <v>0</v>
      </c>
      <c r="DP136" s="296">
        <v>0</v>
      </c>
      <c r="DQ136" s="296">
        <v>0</v>
      </c>
      <c r="DR136" s="296">
        <v>0</v>
      </c>
      <c r="DS136" s="296">
        <v>0</v>
      </c>
      <c r="DT136" s="296">
        <v>0</v>
      </c>
      <c r="DU136" s="296">
        <v>0</v>
      </c>
      <c r="DV136" s="301">
        <v>8.25</v>
      </c>
    </row>
    <row r="137" spans="1:126" ht="24.95" customHeight="1" thickBot="1" x14ac:dyDescent="0.3">
      <c r="A137" s="29" t="str">
        <f t="shared" si="265"/>
        <v>136º</v>
      </c>
      <c r="B137" s="69" t="str">
        <f t="shared" si="178"/>
        <v>Jermário</v>
      </c>
      <c r="C137" s="269" t="str">
        <f t="shared" si="179"/>
        <v>BRA</v>
      </c>
      <c r="D137" s="99" t="str">
        <f t="shared" si="180"/>
        <v>Pé Direito</v>
      </c>
      <c r="E137" s="28" t="str">
        <f t="shared" si="181"/>
        <v>Resende</v>
      </c>
      <c r="F137" s="169">
        <f t="shared" si="182"/>
        <v>17</v>
      </c>
      <c r="G137" s="2" t="str">
        <f t="shared" si="183"/>
        <v>0 €</v>
      </c>
      <c r="H137" s="154">
        <f t="shared" si="184"/>
        <v>1.84</v>
      </c>
      <c r="I137" s="64">
        <f t="shared" si="185"/>
        <v>47118</v>
      </c>
      <c r="J137" s="304" t="str">
        <f t="shared" si="186"/>
        <v>575 € p/m</v>
      </c>
      <c r="K137" s="96">
        <f t="shared" si="266"/>
        <v>3.5222222222222221</v>
      </c>
      <c r="L137" s="146">
        <f t="shared" si="187"/>
        <v>3.1333333333333333</v>
      </c>
      <c r="M137" s="6">
        <f t="shared" si="188"/>
        <v>0</v>
      </c>
      <c r="N137" s="5">
        <f t="shared" si="189"/>
        <v>5400</v>
      </c>
      <c r="O137" s="21">
        <f t="shared" si="190"/>
        <v>0</v>
      </c>
      <c r="P137" s="2">
        <f t="shared" si="191"/>
        <v>80</v>
      </c>
      <c r="Q137" s="2">
        <f t="shared" si="192"/>
        <v>45</v>
      </c>
      <c r="R137" s="5">
        <f t="shared" si="193"/>
        <v>14.361702127659575</v>
      </c>
      <c r="S137" s="2">
        <f t="shared" si="194"/>
        <v>35</v>
      </c>
      <c r="T137" s="2">
        <f t="shared" si="195"/>
        <v>10</v>
      </c>
      <c r="U137" s="102">
        <f t="shared" si="196"/>
        <v>0.4375</v>
      </c>
      <c r="V137" s="102">
        <f t="shared" si="197"/>
        <v>0.5625</v>
      </c>
      <c r="W137" s="6">
        <f t="shared" si="198"/>
        <v>80</v>
      </c>
      <c r="X137" s="5">
        <f t="shared" si="199"/>
        <v>25.531914893617021</v>
      </c>
      <c r="Y137" s="6">
        <f t="shared" si="200"/>
        <v>0</v>
      </c>
      <c r="Z137" s="5">
        <f t="shared" si="201"/>
        <v>0</v>
      </c>
      <c r="AA137" s="21">
        <f t="shared" si="202"/>
        <v>0</v>
      </c>
      <c r="AB137" s="6">
        <f t="shared" si="203"/>
        <v>0</v>
      </c>
      <c r="AC137" s="5">
        <f t="shared" si="204"/>
        <v>0</v>
      </c>
      <c r="AD137" s="6">
        <f t="shared" si="205"/>
        <v>0</v>
      </c>
      <c r="AE137" s="5">
        <f t="shared" si="206"/>
        <v>0</v>
      </c>
      <c r="AF137" s="21">
        <f t="shared" si="207"/>
        <v>0</v>
      </c>
      <c r="AG137" s="6">
        <f t="shared" si="208"/>
        <v>0</v>
      </c>
      <c r="AH137" s="5">
        <f t="shared" si="209"/>
        <v>0</v>
      </c>
      <c r="AI137" s="21">
        <f t="shared" si="210"/>
        <v>0</v>
      </c>
      <c r="AJ137" s="6">
        <f t="shared" si="211"/>
        <v>0</v>
      </c>
      <c r="AK137" s="5">
        <f t="shared" si="212"/>
        <v>0</v>
      </c>
      <c r="AL137" s="21">
        <f t="shared" si="213"/>
        <v>0</v>
      </c>
      <c r="AM137" s="21">
        <f t="shared" si="214"/>
        <v>0</v>
      </c>
      <c r="AN137" s="6">
        <f t="shared" si="215"/>
        <v>0</v>
      </c>
      <c r="AO137" s="5">
        <f t="shared" si="216"/>
        <v>0</v>
      </c>
      <c r="AP137" s="6">
        <f t="shared" si="217"/>
        <v>0</v>
      </c>
      <c r="AQ137" s="5">
        <f t="shared" si="218"/>
        <v>0</v>
      </c>
      <c r="AR137" s="2">
        <f t="shared" si="219"/>
        <v>8</v>
      </c>
      <c r="AS137" s="5">
        <f t="shared" si="220"/>
        <v>2.5531914893617023</v>
      </c>
      <c r="AT137" s="21">
        <f t="shared" si="221"/>
        <v>0</v>
      </c>
      <c r="AU137" s="20">
        <f t="shared" si="222"/>
        <v>0</v>
      </c>
      <c r="AV137" s="20">
        <f t="shared" si="223"/>
        <v>1</v>
      </c>
      <c r="AW137" s="199">
        <f t="shared" si="224"/>
        <v>0</v>
      </c>
      <c r="AX137" s="24">
        <f t="shared" si="225"/>
        <v>35.25</v>
      </c>
      <c r="AY137" s="5">
        <f t="shared" si="226"/>
        <v>1</v>
      </c>
      <c r="AZ137" s="5">
        <f t="shared" si="227"/>
        <v>1</v>
      </c>
      <c r="BA137" s="5">
        <f t="shared" si="228"/>
        <v>0</v>
      </c>
      <c r="BB137" s="5">
        <f t="shared" si="229"/>
        <v>0</v>
      </c>
      <c r="BC137" s="5">
        <f t="shared" si="230"/>
        <v>0</v>
      </c>
      <c r="BD137" s="5">
        <f t="shared" si="231"/>
        <v>0</v>
      </c>
      <c r="BE137" s="199">
        <f t="shared" si="232"/>
        <v>0</v>
      </c>
      <c r="BF137" s="21">
        <f t="shared" si="233"/>
        <v>0</v>
      </c>
      <c r="BG137" s="6">
        <f t="shared" si="234"/>
        <v>0</v>
      </c>
      <c r="BH137" s="5">
        <f t="shared" si="235"/>
        <v>0</v>
      </c>
      <c r="BI137" s="6">
        <f t="shared" si="236"/>
        <v>0</v>
      </c>
      <c r="BJ137" s="5">
        <f t="shared" si="237"/>
        <v>0</v>
      </c>
      <c r="BK137" s="20">
        <f t="shared" si="238"/>
        <v>-9.9999999999999998E-13</v>
      </c>
      <c r="BL137" s="20">
        <f t="shared" si="239"/>
        <v>5.394470667565745E-3</v>
      </c>
      <c r="BM137" s="6">
        <f t="shared" si="240"/>
        <v>8</v>
      </c>
      <c r="BN137" s="5">
        <f t="shared" si="241"/>
        <v>2.5531914893617023</v>
      </c>
      <c r="BO137" s="333">
        <f t="shared" si="242"/>
        <v>0</v>
      </c>
      <c r="BP137" s="334">
        <f t="shared" si="243"/>
        <v>0</v>
      </c>
      <c r="BQ137" s="6">
        <f t="shared" si="244"/>
        <v>0</v>
      </c>
      <c r="BR137" s="5">
        <f t="shared" si="245"/>
        <v>0</v>
      </c>
      <c r="BS137" s="6">
        <f t="shared" si="246"/>
        <v>0</v>
      </c>
      <c r="BT137" s="5">
        <f t="shared" si="247"/>
        <v>0</v>
      </c>
      <c r="BU137" s="181">
        <f t="shared" si="248"/>
        <v>0</v>
      </c>
      <c r="BV137" s="154">
        <f t="shared" si="249"/>
        <v>0</v>
      </c>
      <c r="BW137" s="181">
        <f t="shared" si="250"/>
        <v>0</v>
      </c>
      <c r="BX137" s="180">
        <f t="shared" si="251"/>
        <v>0</v>
      </c>
      <c r="BY137" s="181">
        <f t="shared" si="252"/>
        <v>0</v>
      </c>
      <c r="BZ137" s="154">
        <f t="shared" si="253"/>
        <v>0</v>
      </c>
      <c r="CA137" s="182">
        <f t="shared" si="254"/>
        <v>0</v>
      </c>
      <c r="CB137" s="2">
        <f t="shared" si="255"/>
        <v>0</v>
      </c>
      <c r="CC137" s="2">
        <f t="shared" si="256"/>
        <v>0</v>
      </c>
      <c r="CD137" s="2">
        <f t="shared" si="257"/>
        <v>0</v>
      </c>
      <c r="CE137" s="2">
        <f t="shared" si="258"/>
        <v>1</v>
      </c>
      <c r="CF137" s="6">
        <f t="shared" si="259"/>
        <v>0</v>
      </c>
      <c r="CG137" s="6">
        <f t="shared" si="260"/>
        <v>88</v>
      </c>
      <c r="CH137" s="6">
        <f t="shared" si="261"/>
        <v>45</v>
      </c>
      <c r="CI137" s="20">
        <f t="shared" si="262"/>
        <v>0.51136363636363635</v>
      </c>
      <c r="CJ137" s="133">
        <f t="shared" si="263"/>
        <v>2521</v>
      </c>
      <c r="CK137" s="5">
        <f t="shared" si="264"/>
        <v>6.9</v>
      </c>
      <c r="CL137" s="302"/>
      <c r="CM137" s="298" t="s">
        <v>13</v>
      </c>
      <c r="CN137" s="298" t="s">
        <v>1161</v>
      </c>
      <c r="CO137" s="298">
        <v>17</v>
      </c>
      <c r="CP137" s="298" t="s">
        <v>1475</v>
      </c>
      <c r="CQ137" s="298" t="s">
        <v>1131</v>
      </c>
      <c r="CR137" s="298" t="s">
        <v>644</v>
      </c>
      <c r="CS137" s="298" t="s">
        <v>1277</v>
      </c>
      <c r="CT137" s="298" t="s">
        <v>574</v>
      </c>
      <c r="CU137" s="299">
        <v>47118</v>
      </c>
      <c r="CV137" s="298">
        <v>0</v>
      </c>
      <c r="CW137" s="298">
        <v>282</v>
      </c>
      <c r="CX137" s="298">
        <v>8</v>
      </c>
      <c r="CY137" s="298">
        <v>0</v>
      </c>
      <c r="CZ137" s="298">
        <v>0</v>
      </c>
      <c r="DA137" s="298">
        <v>0</v>
      </c>
      <c r="DB137" s="298">
        <v>0</v>
      </c>
      <c r="DC137" s="298">
        <v>0</v>
      </c>
      <c r="DD137" s="298">
        <v>0</v>
      </c>
      <c r="DE137" s="298">
        <v>0</v>
      </c>
      <c r="DF137" s="298">
        <v>0</v>
      </c>
      <c r="DG137" s="298">
        <v>0</v>
      </c>
      <c r="DH137" s="298">
        <v>0</v>
      </c>
      <c r="DI137" s="298">
        <v>1</v>
      </c>
      <c r="DJ137" s="298">
        <v>0</v>
      </c>
      <c r="DK137" s="298">
        <v>0</v>
      </c>
      <c r="DL137" s="298">
        <v>80</v>
      </c>
      <c r="DM137" s="298">
        <v>45</v>
      </c>
      <c r="DN137" s="298">
        <v>0</v>
      </c>
      <c r="DO137" s="298">
        <v>0</v>
      </c>
      <c r="DP137" s="298">
        <v>0</v>
      </c>
      <c r="DQ137" s="298">
        <v>0</v>
      </c>
      <c r="DR137" s="298">
        <v>0</v>
      </c>
      <c r="DS137" s="298">
        <v>0</v>
      </c>
      <c r="DT137" s="298">
        <v>0</v>
      </c>
      <c r="DU137" s="298">
        <v>0</v>
      </c>
      <c r="DV137" s="303">
        <v>6.9</v>
      </c>
    </row>
    <row r="138" spans="1:126" ht="24.95" customHeight="1" thickBot="1" x14ac:dyDescent="0.3">
      <c r="A138" s="29" t="str">
        <f t="shared" si="265"/>
        <v>137º</v>
      </c>
      <c r="B138" s="69" t="str">
        <f t="shared" si="178"/>
        <v>Didi</v>
      </c>
      <c r="C138" s="269" t="str">
        <f t="shared" si="179"/>
        <v>BRA</v>
      </c>
      <c r="D138" s="99" t="str">
        <f t="shared" si="180"/>
        <v>Pé Direito</v>
      </c>
      <c r="E138" s="28" t="str">
        <f t="shared" si="181"/>
        <v>Resende</v>
      </c>
      <c r="F138" s="169">
        <f t="shared" si="182"/>
        <v>18</v>
      </c>
      <c r="G138" s="2" t="str">
        <f t="shared" si="183"/>
        <v>0 €</v>
      </c>
      <c r="H138" s="154">
        <f t="shared" si="184"/>
        <v>1.82</v>
      </c>
      <c r="I138" s="64">
        <f t="shared" si="185"/>
        <v>47118</v>
      </c>
      <c r="J138" s="304" t="str">
        <f t="shared" si="186"/>
        <v>600 € p/m</v>
      </c>
      <c r="K138" s="96">
        <f t="shared" si="266"/>
        <v>3.5222222222222221</v>
      </c>
      <c r="L138" s="146">
        <f t="shared" si="187"/>
        <v>3</v>
      </c>
      <c r="M138" s="6">
        <f t="shared" si="188"/>
        <v>0</v>
      </c>
      <c r="N138" s="5">
        <f t="shared" si="189"/>
        <v>5400</v>
      </c>
      <c r="O138" s="21">
        <f t="shared" si="190"/>
        <v>0</v>
      </c>
      <c r="P138" s="2">
        <f t="shared" si="191"/>
        <v>60</v>
      </c>
      <c r="Q138" s="2">
        <f t="shared" si="192"/>
        <v>35</v>
      </c>
      <c r="R138" s="5">
        <f t="shared" si="193"/>
        <v>11.666666666666666</v>
      </c>
      <c r="S138" s="2">
        <f t="shared" si="194"/>
        <v>25</v>
      </c>
      <c r="T138" s="2">
        <f t="shared" si="195"/>
        <v>10</v>
      </c>
      <c r="U138" s="102">
        <f t="shared" si="196"/>
        <v>0.41666666666666669</v>
      </c>
      <c r="V138" s="102">
        <f t="shared" si="197"/>
        <v>0.58333333333333337</v>
      </c>
      <c r="W138" s="6">
        <f t="shared" si="198"/>
        <v>60</v>
      </c>
      <c r="X138" s="5">
        <f t="shared" si="199"/>
        <v>20</v>
      </c>
      <c r="Y138" s="6">
        <f t="shared" si="200"/>
        <v>0</v>
      </c>
      <c r="Z138" s="5">
        <f t="shared" si="201"/>
        <v>0</v>
      </c>
      <c r="AA138" s="21">
        <f t="shared" si="202"/>
        <v>0</v>
      </c>
      <c r="AB138" s="6">
        <f t="shared" si="203"/>
        <v>0</v>
      </c>
      <c r="AC138" s="5">
        <f t="shared" si="204"/>
        <v>0</v>
      </c>
      <c r="AD138" s="6">
        <f t="shared" si="205"/>
        <v>0</v>
      </c>
      <c r="AE138" s="5">
        <f t="shared" si="206"/>
        <v>0</v>
      </c>
      <c r="AF138" s="21">
        <f t="shared" si="207"/>
        <v>0</v>
      </c>
      <c r="AG138" s="6">
        <f t="shared" si="208"/>
        <v>0</v>
      </c>
      <c r="AH138" s="5">
        <f t="shared" si="209"/>
        <v>0</v>
      </c>
      <c r="AI138" s="21">
        <f t="shared" si="210"/>
        <v>0</v>
      </c>
      <c r="AJ138" s="6">
        <f t="shared" si="211"/>
        <v>0</v>
      </c>
      <c r="AK138" s="5">
        <f t="shared" si="212"/>
        <v>0</v>
      </c>
      <c r="AL138" s="21">
        <f t="shared" si="213"/>
        <v>0</v>
      </c>
      <c r="AM138" s="21">
        <f t="shared" si="214"/>
        <v>0</v>
      </c>
      <c r="AN138" s="6">
        <f t="shared" si="215"/>
        <v>0</v>
      </c>
      <c r="AO138" s="5">
        <f t="shared" si="216"/>
        <v>0</v>
      </c>
      <c r="AP138" s="6">
        <f t="shared" si="217"/>
        <v>0</v>
      </c>
      <c r="AQ138" s="5">
        <f t="shared" si="218"/>
        <v>0</v>
      </c>
      <c r="AR138" s="2">
        <f t="shared" si="219"/>
        <v>4</v>
      </c>
      <c r="AS138" s="5">
        <f t="shared" si="220"/>
        <v>1.3333333333333333</v>
      </c>
      <c r="AT138" s="21">
        <f t="shared" si="221"/>
        <v>0</v>
      </c>
      <c r="AU138" s="20">
        <f t="shared" si="222"/>
        <v>0</v>
      </c>
      <c r="AV138" s="20">
        <f t="shared" si="223"/>
        <v>1</v>
      </c>
      <c r="AW138" s="199">
        <f t="shared" si="224"/>
        <v>0</v>
      </c>
      <c r="AX138" s="24">
        <f t="shared" si="225"/>
        <v>67.5</v>
      </c>
      <c r="AY138" s="5">
        <f t="shared" si="226"/>
        <v>1</v>
      </c>
      <c r="AZ138" s="5">
        <f t="shared" si="227"/>
        <v>1</v>
      </c>
      <c r="BA138" s="5">
        <f t="shared" si="228"/>
        <v>0</v>
      </c>
      <c r="BB138" s="5">
        <f t="shared" si="229"/>
        <v>0</v>
      </c>
      <c r="BC138" s="5">
        <f t="shared" si="230"/>
        <v>0</v>
      </c>
      <c r="BD138" s="5">
        <f t="shared" si="231"/>
        <v>0</v>
      </c>
      <c r="BE138" s="199">
        <f t="shared" si="232"/>
        <v>0</v>
      </c>
      <c r="BF138" s="21">
        <f t="shared" si="233"/>
        <v>0</v>
      </c>
      <c r="BG138" s="6">
        <f t="shared" si="234"/>
        <v>0</v>
      </c>
      <c r="BH138" s="5">
        <f t="shared" si="235"/>
        <v>0</v>
      </c>
      <c r="BI138" s="6">
        <f t="shared" si="236"/>
        <v>0</v>
      </c>
      <c r="BJ138" s="5">
        <f t="shared" si="237"/>
        <v>0</v>
      </c>
      <c r="BK138" s="20">
        <f t="shared" si="238"/>
        <v>-9.9999999999999998E-13</v>
      </c>
      <c r="BL138" s="20">
        <f t="shared" si="239"/>
        <v>2.6972353337828725E-3</v>
      </c>
      <c r="BM138" s="6">
        <f t="shared" si="240"/>
        <v>4</v>
      </c>
      <c r="BN138" s="5">
        <f t="shared" si="241"/>
        <v>1.3333333333333333</v>
      </c>
      <c r="BO138" s="333">
        <f t="shared" si="242"/>
        <v>0</v>
      </c>
      <c r="BP138" s="334">
        <f t="shared" si="243"/>
        <v>0</v>
      </c>
      <c r="BQ138" s="6">
        <f t="shared" si="244"/>
        <v>0</v>
      </c>
      <c r="BR138" s="5">
        <f t="shared" si="245"/>
        <v>0</v>
      </c>
      <c r="BS138" s="6">
        <f t="shared" si="246"/>
        <v>0</v>
      </c>
      <c r="BT138" s="5">
        <f t="shared" si="247"/>
        <v>0</v>
      </c>
      <c r="BU138" s="181">
        <f t="shared" si="248"/>
        <v>0</v>
      </c>
      <c r="BV138" s="154">
        <f t="shared" si="249"/>
        <v>0</v>
      </c>
      <c r="BW138" s="181">
        <f t="shared" si="250"/>
        <v>0</v>
      </c>
      <c r="BX138" s="180">
        <f t="shared" si="251"/>
        <v>0</v>
      </c>
      <c r="BY138" s="181">
        <f t="shared" si="252"/>
        <v>0</v>
      </c>
      <c r="BZ138" s="154">
        <f t="shared" si="253"/>
        <v>0</v>
      </c>
      <c r="CA138" s="182">
        <f t="shared" si="254"/>
        <v>0</v>
      </c>
      <c r="CB138" s="2">
        <f t="shared" si="255"/>
        <v>0</v>
      </c>
      <c r="CC138" s="2">
        <f t="shared" si="256"/>
        <v>0</v>
      </c>
      <c r="CD138" s="2">
        <f t="shared" si="257"/>
        <v>0</v>
      </c>
      <c r="CE138" s="2">
        <f t="shared" si="258"/>
        <v>0</v>
      </c>
      <c r="CF138" s="6">
        <f t="shared" si="259"/>
        <v>0</v>
      </c>
      <c r="CG138" s="6">
        <f t="shared" si="260"/>
        <v>64</v>
      </c>
      <c r="CH138" s="6">
        <f t="shared" si="261"/>
        <v>35</v>
      </c>
      <c r="CI138" s="20">
        <f t="shared" si="262"/>
        <v>0.546875</v>
      </c>
      <c r="CJ138" s="133">
        <f t="shared" si="263"/>
        <v>2521</v>
      </c>
      <c r="CK138" s="5">
        <f t="shared" si="264"/>
        <v>7.43</v>
      </c>
      <c r="CL138" s="300"/>
      <c r="CM138" s="296" t="s">
        <v>13</v>
      </c>
      <c r="CN138" s="296" t="s">
        <v>1161</v>
      </c>
      <c r="CO138" s="296">
        <v>18</v>
      </c>
      <c r="CP138" s="296" t="s">
        <v>1476</v>
      </c>
      <c r="CQ138" s="296" t="s">
        <v>1131</v>
      </c>
      <c r="CR138" s="296" t="s">
        <v>644</v>
      </c>
      <c r="CS138" s="296" t="s">
        <v>1443</v>
      </c>
      <c r="CT138" s="296" t="s">
        <v>546</v>
      </c>
      <c r="CU138" s="297">
        <v>47118</v>
      </c>
      <c r="CV138" s="296">
        <v>0</v>
      </c>
      <c r="CW138" s="296">
        <v>270</v>
      </c>
      <c r="CX138" s="296">
        <v>4</v>
      </c>
      <c r="CY138" s="296">
        <v>0</v>
      </c>
      <c r="CZ138" s="296">
        <v>0</v>
      </c>
      <c r="DA138" s="296">
        <v>0</v>
      </c>
      <c r="DB138" s="296">
        <v>0</v>
      </c>
      <c r="DC138" s="296">
        <v>0</v>
      </c>
      <c r="DD138" s="296">
        <v>0</v>
      </c>
      <c r="DE138" s="296">
        <v>0</v>
      </c>
      <c r="DF138" s="296">
        <v>0</v>
      </c>
      <c r="DG138" s="296">
        <v>0</v>
      </c>
      <c r="DH138" s="296">
        <v>0</v>
      </c>
      <c r="DI138" s="296">
        <v>0</v>
      </c>
      <c r="DJ138" s="296">
        <v>0</v>
      </c>
      <c r="DK138" s="296">
        <v>0</v>
      </c>
      <c r="DL138" s="296">
        <v>60</v>
      </c>
      <c r="DM138" s="296">
        <v>35</v>
      </c>
      <c r="DN138" s="296">
        <v>0</v>
      </c>
      <c r="DO138" s="296">
        <v>0</v>
      </c>
      <c r="DP138" s="296">
        <v>0</v>
      </c>
      <c r="DQ138" s="296">
        <v>0</v>
      </c>
      <c r="DR138" s="296">
        <v>0</v>
      </c>
      <c r="DS138" s="296">
        <v>0</v>
      </c>
      <c r="DT138" s="296">
        <v>0</v>
      </c>
      <c r="DU138" s="296">
        <v>0</v>
      </c>
      <c r="DV138" s="301">
        <v>7.43</v>
      </c>
    </row>
    <row r="139" spans="1:126" ht="24.95" customHeight="1" thickBot="1" x14ac:dyDescent="0.3">
      <c r="A139" s="29" t="str">
        <f t="shared" si="265"/>
        <v>138º</v>
      </c>
      <c r="B139" s="69" t="str">
        <f t="shared" si="178"/>
        <v>Eduardo</v>
      </c>
      <c r="C139" s="269" t="str">
        <f t="shared" si="179"/>
        <v>BRA</v>
      </c>
      <c r="D139" s="99" t="str">
        <f t="shared" si="180"/>
        <v>Pé Direito</v>
      </c>
      <c r="E139" s="28" t="str">
        <f t="shared" si="181"/>
        <v>AOI</v>
      </c>
      <c r="F139" s="169">
        <f t="shared" si="182"/>
        <v>17</v>
      </c>
      <c r="G139" s="2" t="str">
        <f t="shared" si="183"/>
        <v>0 €</v>
      </c>
      <c r="H139" s="154">
        <f t="shared" si="184"/>
        <v>1.82</v>
      </c>
      <c r="I139" s="64">
        <f t="shared" si="185"/>
        <v>47118</v>
      </c>
      <c r="J139" s="304" t="str">
        <f t="shared" si="186"/>
        <v>180 € p/m</v>
      </c>
      <c r="K139" s="96">
        <f t="shared" si="266"/>
        <v>3.5222222222222221</v>
      </c>
      <c r="L139" s="146">
        <f t="shared" si="187"/>
        <v>2</v>
      </c>
      <c r="M139" s="6">
        <f t="shared" si="188"/>
        <v>0</v>
      </c>
      <c r="N139" s="5">
        <f t="shared" si="189"/>
        <v>5400</v>
      </c>
      <c r="O139" s="21">
        <f t="shared" si="190"/>
        <v>0</v>
      </c>
      <c r="P139" s="2">
        <f t="shared" si="191"/>
        <v>52</v>
      </c>
      <c r="Q139" s="2">
        <f t="shared" si="192"/>
        <v>30</v>
      </c>
      <c r="R139" s="5">
        <f t="shared" si="193"/>
        <v>15</v>
      </c>
      <c r="S139" s="2">
        <f t="shared" si="194"/>
        <v>22</v>
      </c>
      <c r="T139" s="2">
        <f t="shared" si="195"/>
        <v>8</v>
      </c>
      <c r="U139" s="102">
        <f t="shared" si="196"/>
        <v>0.42307692307692307</v>
      </c>
      <c r="V139" s="102">
        <f t="shared" si="197"/>
        <v>0.57692307692307687</v>
      </c>
      <c r="W139" s="6">
        <f t="shared" si="198"/>
        <v>52</v>
      </c>
      <c r="X139" s="5">
        <f t="shared" si="199"/>
        <v>26</v>
      </c>
      <c r="Y139" s="6">
        <f t="shared" si="200"/>
        <v>0</v>
      </c>
      <c r="Z139" s="5">
        <f t="shared" si="201"/>
        <v>0</v>
      </c>
      <c r="AA139" s="21">
        <f t="shared" si="202"/>
        <v>0</v>
      </c>
      <c r="AB139" s="6">
        <f t="shared" si="203"/>
        <v>0</v>
      </c>
      <c r="AC139" s="5">
        <f t="shared" si="204"/>
        <v>0</v>
      </c>
      <c r="AD139" s="6">
        <f t="shared" si="205"/>
        <v>1</v>
      </c>
      <c r="AE139" s="5">
        <f t="shared" si="206"/>
        <v>0.5</v>
      </c>
      <c r="AF139" s="21">
        <f t="shared" si="207"/>
        <v>0.2</v>
      </c>
      <c r="AG139" s="6">
        <f t="shared" si="208"/>
        <v>0</v>
      </c>
      <c r="AH139" s="5">
        <f t="shared" si="209"/>
        <v>0</v>
      </c>
      <c r="AI139" s="21">
        <f t="shared" si="210"/>
        <v>0</v>
      </c>
      <c r="AJ139" s="6">
        <f t="shared" si="211"/>
        <v>4</v>
      </c>
      <c r="AK139" s="5">
        <f t="shared" si="212"/>
        <v>0.26666666666666666</v>
      </c>
      <c r="AL139" s="21">
        <f t="shared" si="213"/>
        <v>0.8</v>
      </c>
      <c r="AM139" s="21">
        <f t="shared" si="214"/>
        <v>0.5</v>
      </c>
      <c r="AN139" s="6">
        <f t="shared" si="215"/>
        <v>1</v>
      </c>
      <c r="AO139" s="5">
        <f t="shared" si="216"/>
        <v>0.5</v>
      </c>
      <c r="AP139" s="6">
        <f t="shared" si="217"/>
        <v>5</v>
      </c>
      <c r="AQ139" s="5">
        <f t="shared" si="218"/>
        <v>2.5</v>
      </c>
      <c r="AR139" s="2">
        <f t="shared" si="219"/>
        <v>7</v>
      </c>
      <c r="AS139" s="5">
        <f t="shared" si="220"/>
        <v>3.5</v>
      </c>
      <c r="AT139" s="21">
        <f t="shared" si="221"/>
        <v>0.7142857142857143</v>
      </c>
      <c r="AU139" s="20">
        <f t="shared" si="222"/>
        <v>0.66666666666666663</v>
      </c>
      <c r="AV139" s="20">
        <f t="shared" si="223"/>
        <v>0.2857142857142857</v>
      </c>
      <c r="AW139" s="199">
        <f t="shared" si="224"/>
        <v>1</v>
      </c>
      <c r="AX139" s="24">
        <f t="shared" si="225"/>
        <v>90</v>
      </c>
      <c r="AY139" s="5">
        <f t="shared" si="226"/>
        <v>3.5</v>
      </c>
      <c r="AZ139" s="5">
        <f t="shared" si="227"/>
        <v>3</v>
      </c>
      <c r="BA139" s="5">
        <f t="shared" si="228"/>
        <v>-0.28999999999999998</v>
      </c>
      <c r="BB139" s="5">
        <f t="shared" si="229"/>
        <v>-0.14499999999999999</v>
      </c>
      <c r="BC139" s="5">
        <f t="shared" si="230"/>
        <v>-0.28999999999999998</v>
      </c>
      <c r="BD139" s="5">
        <f t="shared" si="231"/>
        <v>-0.14499999999999999</v>
      </c>
      <c r="BE139" s="199">
        <f t="shared" si="232"/>
        <v>-0.28999999999999998</v>
      </c>
      <c r="BF139" s="21">
        <f t="shared" si="233"/>
        <v>-0.16959064327485379</v>
      </c>
      <c r="BG139" s="6">
        <f t="shared" si="234"/>
        <v>0</v>
      </c>
      <c r="BH139" s="5">
        <f t="shared" si="235"/>
        <v>0</v>
      </c>
      <c r="BI139" s="6">
        <f t="shared" si="236"/>
        <v>0</v>
      </c>
      <c r="BJ139" s="5">
        <f t="shared" si="237"/>
        <v>0</v>
      </c>
      <c r="BK139" s="20">
        <f t="shared" si="238"/>
        <v>-9.9999999999999998E-13</v>
      </c>
      <c r="BL139" s="20">
        <f t="shared" si="239"/>
        <v>1.3486176668914363E-3</v>
      </c>
      <c r="BM139" s="6">
        <f t="shared" si="240"/>
        <v>2</v>
      </c>
      <c r="BN139" s="5">
        <f t="shared" si="241"/>
        <v>1</v>
      </c>
      <c r="BO139" s="333">
        <f t="shared" si="242"/>
        <v>0</v>
      </c>
      <c r="BP139" s="334">
        <f t="shared" si="243"/>
        <v>0</v>
      </c>
      <c r="BQ139" s="6">
        <f t="shared" si="244"/>
        <v>2</v>
      </c>
      <c r="BR139" s="5">
        <f t="shared" si="245"/>
        <v>1</v>
      </c>
      <c r="BS139" s="6">
        <f t="shared" si="246"/>
        <v>24</v>
      </c>
      <c r="BT139" s="5">
        <f t="shared" si="247"/>
        <v>12</v>
      </c>
      <c r="BU139" s="181">
        <f t="shared" si="248"/>
        <v>0</v>
      </c>
      <c r="BV139" s="154">
        <f t="shared" si="249"/>
        <v>0</v>
      </c>
      <c r="BW139" s="181">
        <f t="shared" si="250"/>
        <v>0</v>
      </c>
      <c r="BX139" s="180">
        <f t="shared" si="251"/>
        <v>0</v>
      </c>
      <c r="BY139" s="181">
        <f t="shared" si="252"/>
        <v>0</v>
      </c>
      <c r="BZ139" s="154">
        <f t="shared" si="253"/>
        <v>0</v>
      </c>
      <c r="CA139" s="182">
        <f t="shared" si="254"/>
        <v>0</v>
      </c>
      <c r="CB139" s="2">
        <f t="shared" si="255"/>
        <v>0</v>
      </c>
      <c r="CC139" s="2">
        <f t="shared" si="256"/>
        <v>0</v>
      </c>
      <c r="CD139" s="2">
        <f t="shared" si="257"/>
        <v>0</v>
      </c>
      <c r="CE139" s="2">
        <f t="shared" si="258"/>
        <v>0</v>
      </c>
      <c r="CF139" s="6">
        <f t="shared" si="259"/>
        <v>0</v>
      </c>
      <c r="CG139" s="6">
        <f t="shared" si="260"/>
        <v>76.960000000000008</v>
      </c>
      <c r="CH139" s="6">
        <f t="shared" si="261"/>
        <v>35</v>
      </c>
      <c r="CI139" s="20">
        <f t="shared" si="262"/>
        <v>0.45478170478170471</v>
      </c>
      <c r="CJ139" s="133">
        <f t="shared" si="263"/>
        <v>2521</v>
      </c>
      <c r="CK139" s="5">
        <f t="shared" si="264"/>
        <v>6.55</v>
      </c>
      <c r="CL139" s="302" t="s">
        <v>640</v>
      </c>
      <c r="CM139" s="298" t="s">
        <v>13</v>
      </c>
      <c r="CN139" s="298" t="s">
        <v>1141</v>
      </c>
      <c r="CO139" s="298">
        <v>17</v>
      </c>
      <c r="CP139" s="298" t="s">
        <v>1477</v>
      </c>
      <c r="CQ139" s="298" t="s">
        <v>1131</v>
      </c>
      <c r="CR139" s="298" t="s">
        <v>644</v>
      </c>
      <c r="CS139" s="298" t="s">
        <v>1432</v>
      </c>
      <c r="CT139" s="298" t="s">
        <v>546</v>
      </c>
      <c r="CU139" s="299">
        <v>47118</v>
      </c>
      <c r="CV139" s="298">
        <v>0</v>
      </c>
      <c r="CW139" s="298">
        <v>180</v>
      </c>
      <c r="CX139" s="298">
        <v>2</v>
      </c>
      <c r="CY139" s="298">
        <v>1</v>
      </c>
      <c r="CZ139" s="298">
        <v>0</v>
      </c>
      <c r="DA139" s="298">
        <v>4</v>
      </c>
      <c r="DB139" s="298">
        <v>0</v>
      </c>
      <c r="DC139" s="298">
        <v>1</v>
      </c>
      <c r="DD139" s="298">
        <v>12</v>
      </c>
      <c r="DE139" s="298">
        <v>1</v>
      </c>
      <c r="DF139" s="298">
        <v>0</v>
      </c>
      <c r="DG139" s="298">
        <v>0</v>
      </c>
      <c r="DH139" s="298">
        <v>0</v>
      </c>
      <c r="DI139" s="298">
        <v>0</v>
      </c>
      <c r="DJ139" s="298">
        <v>0</v>
      </c>
      <c r="DK139" s="298">
        <v>0</v>
      </c>
      <c r="DL139" s="298">
        <v>52</v>
      </c>
      <c r="DM139" s="298">
        <v>30</v>
      </c>
      <c r="DN139" s="298" t="s">
        <v>1478</v>
      </c>
      <c r="DO139" s="298">
        <v>0</v>
      </c>
      <c r="DP139" s="298">
        <v>0</v>
      </c>
      <c r="DQ139" s="298">
        <v>0</v>
      </c>
      <c r="DR139" s="298">
        <v>0</v>
      </c>
      <c r="DS139" s="298">
        <v>0</v>
      </c>
      <c r="DT139" s="298">
        <v>0</v>
      </c>
      <c r="DU139" s="298">
        <v>0</v>
      </c>
      <c r="DV139" s="303">
        <v>6.55</v>
      </c>
    </row>
    <row r="140" spans="1:126" ht="24.95" customHeight="1" thickBot="1" x14ac:dyDescent="0.3">
      <c r="A140" s="29" t="str">
        <f t="shared" si="265"/>
        <v>139º</v>
      </c>
      <c r="B140" s="69" t="str">
        <f t="shared" ref="B140:B203" si="267">CP140</f>
        <v>Jarbas</v>
      </c>
      <c r="C140" s="269" t="str">
        <f t="shared" ref="C140:C203" si="268">CM140</f>
        <v>BRA</v>
      </c>
      <c r="D140" s="99" t="str">
        <f t="shared" ref="D140:D203" si="269">CR140</f>
        <v>Pé Direito</v>
      </c>
      <c r="E140" s="28" t="str">
        <f t="shared" ref="E140:E203" si="270">CN140</f>
        <v>Plácido de Castro</v>
      </c>
      <c r="F140" s="169">
        <f t="shared" ref="F140:F203" si="271">CO140</f>
        <v>17</v>
      </c>
      <c r="G140" s="2" t="str">
        <f t="shared" ref="G140:G203" si="272">CQ140</f>
        <v>0 €</v>
      </c>
      <c r="H140" s="154">
        <f t="shared" ref="H140:H203" si="273">IFERROR(SUBSTITUTE(CT140," cm","")/100,0)</f>
        <v>1.87</v>
      </c>
      <c r="I140" s="64">
        <f t="shared" ref="I140:I203" si="274">IF(CU140="-", "Sem Data Final", CU140)</f>
        <v>47118</v>
      </c>
      <c r="J140" s="304" t="str">
        <f t="shared" ref="J140:J203" si="275">IFERROR(CS140,0)</f>
        <v>500 € p/m</v>
      </c>
      <c r="K140" s="96">
        <f t="shared" si="266"/>
        <v>3.5222222222222221</v>
      </c>
      <c r="L140" s="146">
        <f t="shared" ref="L140:L203" si="276">IFERROR(CW140/90,0)</f>
        <v>0</v>
      </c>
      <c r="M140" s="6">
        <f t="shared" ref="M140:M203" si="277">CV140</f>
        <v>0</v>
      </c>
      <c r="N140" s="5">
        <f t="shared" ref="N140:N203" si="278">IFERROR((CW140/M140),5400)</f>
        <v>5400</v>
      </c>
      <c r="O140" s="21">
        <f t="shared" ref="O140:O203" si="279">IFERROR((M140*1)/L140,0)</f>
        <v>0</v>
      </c>
      <c r="P140" s="2">
        <f t="shared" ref="P140:P203" si="280">DL140</f>
        <v>0</v>
      </c>
      <c r="Q140" s="2">
        <f t="shared" ref="Q140:Q203" si="281">DM140</f>
        <v>0</v>
      </c>
      <c r="R140" s="5">
        <f t="shared" ref="R140:R203" si="282">IFERROR((Q140/L140),0)</f>
        <v>0</v>
      </c>
      <c r="S140" s="2">
        <f t="shared" ref="S140:S203" si="283">IFERROR(P140-Q140,0)</f>
        <v>0</v>
      </c>
      <c r="T140" s="2">
        <f t="shared" ref="T140:T203" si="284">IFERROR(Q140-S140,0)</f>
        <v>0</v>
      </c>
      <c r="U140" s="102">
        <f t="shared" ref="U140:U203" si="285">IFERROR(((P140-Q140)*1)/P140,0)</f>
        <v>0</v>
      </c>
      <c r="V140" s="102">
        <f t="shared" ref="V140:V203" si="286">IFERROR((Q140*1)/P140,0)</f>
        <v>0</v>
      </c>
      <c r="W140" s="6">
        <f t="shared" ref="W140:W203" si="287">DL140-DJ140</f>
        <v>0</v>
      </c>
      <c r="X140" s="5">
        <f t="shared" ref="X140:X203" si="288">IFERROR(W140/L140,0)</f>
        <v>0</v>
      </c>
      <c r="Y140" s="6">
        <f t="shared" ref="Y140:Y203" si="289">DJ140</f>
        <v>0</v>
      </c>
      <c r="Z140" s="5" t="e">
        <f t="shared" ref="Z140:Z203" si="290">Y140/L140</f>
        <v>#DIV/0!</v>
      </c>
      <c r="AA140" s="21">
        <f t="shared" ref="AA140:AA203" si="291">IFERROR(Y140/W140,0)</f>
        <v>0</v>
      </c>
      <c r="AB140" s="6">
        <f t="shared" ref="AB140:AB203" si="292">DK140</f>
        <v>0</v>
      </c>
      <c r="AC140" s="5" t="e">
        <f t="shared" ref="AC140:AC203" si="293">AB140/L140</f>
        <v>#DIV/0!</v>
      </c>
      <c r="AD140" s="6">
        <f t="shared" ref="AD140:AD203" si="294">CY140</f>
        <v>0</v>
      </c>
      <c r="AE140" s="5">
        <f t="shared" ref="AE140:AE203" si="295">IFERROR(AD140/L140,0)</f>
        <v>0</v>
      </c>
      <c r="AF140" s="21">
        <f t="shared" ref="AF140:AF203" si="296">IFERROR((AD140*1)/AP140,0)</f>
        <v>0</v>
      </c>
      <c r="AG140" s="6">
        <f t="shared" ref="AG140:AG203" si="297">CZ140</f>
        <v>0</v>
      </c>
      <c r="AH140" s="5">
        <f t="shared" ref="AH140:AH203" si="298">IFERROR(AG140/L140,0)</f>
        <v>0</v>
      </c>
      <c r="AI140" s="21">
        <f t="shared" ref="AI140:AI203" si="299">IFERROR((AG140*1)/AP140,0)</f>
        <v>0</v>
      </c>
      <c r="AJ140" s="6">
        <f t="shared" ref="AJ140:AJ203" si="300">DA140</f>
        <v>0</v>
      </c>
      <c r="AK140" s="5">
        <f t="shared" ref="AK140:AK203" si="301">IFERROR(AJ140/R140,0)</f>
        <v>0</v>
      </c>
      <c r="AL140" s="21">
        <f t="shared" ref="AL140:AL203" si="302">IFERROR((AJ140*1)/AP140,0)</f>
        <v>0</v>
      </c>
      <c r="AM140" s="21">
        <f t="shared" ref="AM140:AM203" si="303">IFERROR((AN140*1)/L140,0)</f>
        <v>0</v>
      </c>
      <c r="AN140" s="6">
        <f t="shared" ref="AN140:AN203" si="304">DE140</f>
        <v>0</v>
      </c>
      <c r="AO140" s="5">
        <f t="shared" ref="AO140:AO203" si="305">IFERROR(AN140/L140,0)</f>
        <v>0</v>
      </c>
      <c r="AP140" s="6">
        <f t="shared" ref="AP140:AP203" si="306">IFERROR(CY140+CZ140+DA140,0)</f>
        <v>0</v>
      </c>
      <c r="AQ140" s="5">
        <f t="shared" ref="AQ140:AQ203" si="307">IFERROR(AP140/L140,0)</f>
        <v>0</v>
      </c>
      <c r="AR140" s="2">
        <f t="shared" ref="AR140:AR203" si="308">IFERROR((CZ140+DA140+CY140+CX140),0)</f>
        <v>0</v>
      </c>
      <c r="AS140" s="5">
        <f t="shared" ref="AS140:AS203" si="309">IFERROR(AR140/L140,0)</f>
        <v>0</v>
      </c>
      <c r="AT140" s="21">
        <f t="shared" ref="AT140:AT203" si="310">IFERROR(AP140/AR140,0)</f>
        <v>0</v>
      </c>
      <c r="AU140" s="20">
        <f t="shared" ref="AU140:AU203" si="311">IFERROR(((CZ140+DA140+BI140)*1)/(AR140-CY140),0)</f>
        <v>0</v>
      </c>
      <c r="AV140" s="20">
        <f t="shared" ref="AV140:AV203" si="312">IFERROR((BN140*1)/AS140,1)</f>
        <v>1</v>
      </c>
      <c r="AW140" s="199">
        <f t="shared" ref="AW140:AW203" si="313">IFERROR((AG140*2+AJ140*1.5+AD140*1)/AR140,0)</f>
        <v>0</v>
      </c>
      <c r="AX140" s="24">
        <f t="shared" ref="AX140:AX203" si="314">IFERROR(CW140/CX140,0)</f>
        <v>0</v>
      </c>
      <c r="AY140" s="5">
        <f t="shared" ref="AY140:AY203" si="315">IFERROR((CX140+CY140+CZ140+DA140)/CX140,0)</f>
        <v>0</v>
      </c>
      <c r="AZ140" s="5">
        <f t="shared" ref="AZ140:AZ203" si="316">IFERROR((CX140+CZ140+DA140)/CX140,0)</f>
        <v>0</v>
      </c>
      <c r="BA140" s="5">
        <f t="shared" ref="BA140:BA203" si="317">IF(DN140="-","Sem Dados",VALUE(SUBSTITUTE(DN140,".",","))
)</f>
        <v>0</v>
      </c>
      <c r="BB140" s="5">
        <f t="shared" ref="BB140:BB203" si="318">IFERROR(BA140/L140,0)</f>
        <v>0</v>
      </c>
      <c r="BC140" s="5">
        <f t="shared" ref="BC140:BC203" si="319">IFERROR(BA140-(BI140*0.79),-100)</f>
        <v>0</v>
      </c>
      <c r="BD140" s="5">
        <f t="shared" ref="BD140:BD203" si="320">IFERROR(BC140/L140,0)</f>
        <v>0</v>
      </c>
      <c r="BE140" s="199">
        <f t="shared" ref="BE140:BE203" si="321">IFERROR(BB140/AO140,BB140)</f>
        <v>0</v>
      </c>
      <c r="BF140" s="21">
        <f t="shared" ref="BF140:BF203" si="322">IFERROR(BA140/(BA140+CX140),0)</f>
        <v>0</v>
      </c>
      <c r="BG140" s="6">
        <f t="shared" ref="BG140:BG203" si="323">DT140</f>
        <v>0</v>
      </c>
      <c r="BH140" s="5" t="e">
        <f t="shared" ref="BH140:BH203" si="324">BG140/L140</f>
        <v>#DIV/0!</v>
      </c>
      <c r="BI140" s="6">
        <f t="shared" ref="BI140:BI203" si="325">DU140</f>
        <v>0</v>
      </c>
      <c r="BJ140" s="5" t="e">
        <f t="shared" ref="BJ140:BJ203" si="326">BI140/L140</f>
        <v>#DIV/0!</v>
      </c>
      <c r="BK140" s="20">
        <f t="shared" ref="BK140:BK203" si="327">IFERROR((DU140*1)/DT140,-0.000000000001)</f>
        <v>-9.9999999999999998E-13</v>
      </c>
      <c r="BL140" s="20">
        <f t="shared" ref="BL140:BL203" si="328">IFERROR((CX140*1)/SUM(CX:CX),0)</f>
        <v>0</v>
      </c>
      <c r="BM140" s="6">
        <f t="shared" ref="BM140:BM203" si="329">CX140</f>
        <v>0</v>
      </c>
      <c r="BN140" s="5">
        <f t="shared" ref="BN140:BN203" si="330">IFERROR(BM140/L140,0)</f>
        <v>0</v>
      </c>
      <c r="BO140" s="333">
        <f t="shared" ref="BO140:BO203" si="331">DP140</f>
        <v>0</v>
      </c>
      <c r="BP140" s="334">
        <f t="shared" ref="BP140:BP203" si="332">IFERROR(BO140/L140,0)</f>
        <v>0</v>
      </c>
      <c r="BQ140" s="6">
        <f t="shared" ref="BQ140:BQ203" si="333">IFERROR(BR140*L140,0)</f>
        <v>0</v>
      </c>
      <c r="BR140" s="5">
        <f t="shared" ref="BR140:BR203" si="334">DC140</f>
        <v>0</v>
      </c>
      <c r="BS140" s="6">
        <f t="shared" ref="BS140:BS203" si="335">IFERROR(BT140*L140,0)</f>
        <v>0</v>
      </c>
      <c r="BT140" s="5">
        <f t="shared" ref="BT140:BT203" si="336">DD140</f>
        <v>0</v>
      </c>
      <c r="BU140" s="181">
        <f t="shared" ref="BU140:BU203" si="337">IFERROR((DB140+DQ140+(DS140*2.5)+DF140+DP140),0)</f>
        <v>0</v>
      </c>
      <c r="BV140" s="154">
        <f t="shared" ref="BV140:BV203" si="338">IFERROR(BU140/L140,0)</f>
        <v>0</v>
      </c>
      <c r="BW140" s="181">
        <f t="shared" ref="BW140:BW203" si="339">IFERROR((DO140+DR140+(DS140*2.5)),0)</f>
        <v>0</v>
      </c>
      <c r="BX140" s="180">
        <f t="shared" ref="BX140:BX203" si="340">IFERROR(BW140/L140,0)</f>
        <v>0</v>
      </c>
      <c r="BY140" s="181">
        <f t="shared" ref="BY140:BY203" si="341">IFERROR((DB140-DO140)+(DQ140-DR140)+(DS140*2.5)+(DF140),0)</f>
        <v>0</v>
      </c>
      <c r="BZ140" s="154">
        <f t="shared" ref="BZ140:BZ203" si="342">IFERROR(BY140/L140,0)</f>
        <v>0</v>
      </c>
      <c r="CA140" s="182">
        <f t="shared" ref="CA140:CA203" si="343">IFERROR((BW140*1)/BU140,0)</f>
        <v>0</v>
      </c>
      <c r="CB140" s="2">
        <f t="shared" ref="CB140:CB203" si="344">DF140</f>
        <v>0</v>
      </c>
      <c r="CC140" s="2">
        <f t="shared" ref="CC140:CC203" si="345">DG140</f>
        <v>0</v>
      </c>
      <c r="CD140" s="2">
        <f t="shared" ref="CD140:CD203" si="346">IFERROR(CB140+CC140,0)</f>
        <v>0</v>
      </c>
      <c r="CE140" s="2">
        <f t="shared" ref="CE140:CE203" si="347">DI140</f>
        <v>0</v>
      </c>
      <c r="CF140" s="6">
        <f t="shared" ref="CF140:CF203" si="348">DH140</f>
        <v>0</v>
      </c>
      <c r="CG140" s="6">
        <f t="shared" ref="CG140:CG203" si="349">IFERROR(CY140+CX140+CZ140+DA140+DT140+DL140+DF140+(DD140*1.33)+(DE140*2)+(DP140*2.5)+DQ140+DB140,0)</f>
        <v>0</v>
      </c>
      <c r="CH140" s="6">
        <f t="shared" ref="CH140:CH203" si="350">IFERROR(CY140+CZ140+DA140+DU140+DM140+DR140+DO140,0)</f>
        <v>0</v>
      </c>
      <c r="CI140" s="20">
        <f t="shared" ref="CI140:CI203" si="351">IFERROR((CH140*1)/CG140,0)</f>
        <v>0</v>
      </c>
      <c r="CJ140" s="133">
        <f t="shared" ref="CJ140:CJ203" si="352">SUM(AR:AR)</f>
        <v>2521</v>
      </c>
      <c r="CK140" s="5">
        <f t="shared" ref="CK140:CK203" si="353">IFERROR(VALUE(SUBSTITUTE(DV140, ".", ",")),0)</f>
        <v>0</v>
      </c>
      <c r="CL140" s="300"/>
      <c r="CM140" s="296" t="s">
        <v>13</v>
      </c>
      <c r="CN140" s="296" t="s">
        <v>1479</v>
      </c>
      <c r="CO140" s="296">
        <v>17</v>
      </c>
      <c r="CP140" s="296" t="s">
        <v>1480</v>
      </c>
      <c r="CQ140" s="296" t="s">
        <v>1131</v>
      </c>
      <c r="CR140" s="296" t="s">
        <v>644</v>
      </c>
      <c r="CS140" s="296" t="s">
        <v>760</v>
      </c>
      <c r="CT140" s="296" t="s">
        <v>911</v>
      </c>
      <c r="CU140" s="297">
        <v>47118</v>
      </c>
      <c r="CV140" s="296">
        <v>0</v>
      </c>
      <c r="CW140" s="296">
        <v>0</v>
      </c>
      <c r="CX140" s="296">
        <v>0</v>
      </c>
      <c r="CY140" s="296">
        <v>0</v>
      </c>
      <c r="CZ140" s="296">
        <v>0</v>
      </c>
      <c r="DA140" s="296">
        <v>0</v>
      </c>
      <c r="DB140" s="296">
        <v>0</v>
      </c>
      <c r="DC140" s="296">
        <v>0</v>
      </c>
      <c r="DD140" s="296">
        <v>0</v>
      </c>
      <c r="DE140" s="296">
        <v>0</v>
      </c>
      <c r="DF140" s="296">
        <v>0</v>
      </c>
      <c r="DG140" s="296">
        <v>0</v>
      </c>
      <c r="DH140" s="296">
        <v>0</v>
      </c>
      <c r="DI140" s="296">
        <v>0</v>
      </c>
      <c r="DJ140" s="296">
        <v>0</v>
      </c>
      <c r="DK140" s="296">
        <v>0</v>
      </c>
      <c r="DL140" s="296">
        <v>0</v>
      </c>
      <c r="DM140" s="296">
        <v>0</v>
      </c>
      <c r="DN140" s="296">
        <v>0</v>
      </c>
      <c r="DO140" s="296">
        <v>0</v>
      </c>
      <c r="DP140" s="296">
        <v>0</v>
      </c>
      <c r="DQ140" s="296">
        <v>0</v>
      </c>
      <c r="DR140" s="296">
        <v>0</v>
      </c>
      <c r="DS140" s="296">
        <v>0</v>
      </c>
      <c r="DT140" s="296">
        <v>0</v>
      </c>
      <c r="DU140" s="296">
        <v>0</v>
      </c>
      <c r="DV140" s="301" t="s">
        <v>548</v>
      </c>
    </row>
    <row r="141" spans="1:126" ht="24.95" customHeight="1" thickBot="1" x14ac:dyDescent="0.3">
      <c r="A141" s="29" t="str">
        <f t="shared" si="265"/>
        <v>140º</v>
      </c>
      <c r="B141" s="69" t="str">
        <f t="shared" si="267"/>
        <v>Luiz Carlos</v>
      </c>
      <c r="C141" s="269" t="str">
        <f t="shared" si="268"/>
        <v>BRA</v>
      </c>
      <c r="D141" s="99" t="str">
        <f t="shared" si="269"/>
        <v>Pé Direito</v>
      </c>
      <c r="E141" s="28" t="str">
        <f t="shared" si="270"/>
        <v>AFC</v>
      </c>
      <c r="F141" s="169">
        <f t="shared" si="271"/>
        <v>17</v>
      </c>
      <c r="G141" s="2" t="str">
        <f t="shared" si="272"/>
        <v>12m € - 110m €</v>
      </c>
      <c r="H141" s="154">
        <f t="shared" si="273"/>
        <v>1.89</v>
      </c>
      <c r="I141" s="64">
        <f t="shared" si="274"/>
        <v>47483</v>
      </c>
      <c r="J141" s="304" t="str">
        <f t="shared" si="275"/>
        <v>180 € p/m</v>
      </c>
      <c r="K141" s="96">
        <f t="shared" si="266"/>
        <v>3.5222222222222221</v>
      </c>
      <c r="L141" s="146">
        <f t="shared" si="276"/>
        <v>0</v>
      </c>
      <c r="M141" s="6">
        <f t="shared" si="277"/>
        <v>0</v>
      </c>
      <c r="N141" s="5">
        <f t="shared" si="278"/>
        <v>5400</v>
      </c>
      <c r="O141" s="21">
        <f t="shared" si="279"/>
        <v>0</v>
      </c>
      <c r="P141" s="2">
        <f t="shared" si="280"/>
        <v>0</v>
      </c>
      <c r="Q141" s="2">
        <f t="shared" si="281"/>
        <v>0</v>
      </c>
      <c r="R141" s="5">
        <f t="shared" si="282"/>
        <v>0</v>
      </c>
      <c r="S141" s="2">
        <f t="shared" si="283"/>
        <v>0</v>
      </c>
      <c r="T141" s="2">
        <f t="shared" si="284"/>
        <v>0</v>
      </c>
      <c r="U141" s="102">
        <f t="shared" si="285"/>
        <v>0</v>
      </c>
      <c r="V141" s="102">
        <f t="shared" si="286"/>
        <v>0</v>
      </c>
      <c r="W141" s="6">
        <f t="shared" si="287"/>
        <v>0</v>
      </c>
      <c r="X141" s="5">
        <f t="shared" si="288"/>
        <v>0</v>
      </c>
      <c r="Y141" s="6">
        <f t="shared" si="289"/>
        <v>0</v>
      </c>
      <c r="Z141" s="5" t="e">
        <f t="shared" si="290"/>
        <v>#DIV/0!</v>
      </c>
      <c r="AA141" s="21">
        <f t="shared" si="291"/>
        <v>0</v>
      </c>
      <c r="AB141" s="6">
        <f t="shared" si="292"/>
        <v>0</v>
      </c>
      <c r="AC141" s="5" t="e">
        <f t="shared" si="293"/>
        <v>#DIV/0!</v>
      </c>
      <c r="AD141" s="6">
        <f t="shared" si="294"/>
        <v>0</v>
      </c>
      <c r="AE141" s="5">
        <f t="shared" si="295"/>
        <v>0</v>
      </c>
      <c r="AF141" s="21">
        <f t="shared" si="296"/>
        <v>0</v>
      </c>
      <c r="AG141" s="6">
        <f t="shared" si="297"/>
        <v>0</v>
      </c>
      <c r="AH141" s="5">
        <f t="shared" si="298"/>
        <v>0</v>
      </c>
      <c r="AI141" s="21">
        <f t="shared" si="299"/>
        <v>0</v>
      </c>
      <c r="AJ141" s="6">
        <f t="shared" si="300"/>
        <v>0</v>
      </c>
      <c r="AK141" s="5">
        <f t="shared" si="301"/>
        <v>0</v>
      </c>
      <c r="AL141" s="21">
        <f t="shared" si="302"/>
        <v>0</v>
      </c>
      <c r="AM141" s="21">
        <f t="shared" si="303"/>
        <v>0</v>
      </c>
      <c r="AN141" s="6">
        <f t="shared" si="304"/>
        <v>0</v>
      </c>
      <c r="AO141" s="5">
        <f t="shared" si="305"/>
        <v>0</v>
      </c>
      <c r="AP141" s="6">
        <f t="shared" si="306"/>
        <v>0</v>
      </c>
      <c r="AQ141" s="5">
        <f t="shared" si="307"/>
        <v>0</v>
      </c>
      <c r="AR141" s="2">
        <f t="shared" si="308"/>
        <v>0</v>
      </c>
      <c r="AS141" s="5">
        <f t="shared" si="309"/>
        <v>0</v>
      </c>
      <c r="AT141" s="21">
        <f t="shared" si="310"/>
        <v>0</v>
      </c>
      <c r="AU141" s="20">
        <f t="shared" si="311"/>
        <v>0</v>
      </c>
      <c r="AV141" s="20">
        <f t="shared" si="312"/>
        <v>1</v>
      </c>
      <c r="AW141" s="199">
        <f t="shared" si="313"/>
        <v>0</v>
      </c>
      <c r="AX141" s="24">
        <f t="shared" si="314"/>
        <v>0</v>
      </c>
      <c r="AY141" s="5">
        <f t="shared" si="315"/>
        <v>0</v>
      </c>
      <c r="AZ141" s="5">
        <f t="shared" si="316"/>
        <v>0</v>
      </c>
      <c r="BA141" s="5">
        <f t="shared" si="317"/>
        <v>0</v>
      </c>
      <c r="BB141" s="5">
        <f t="shared" si="318"/>
        <v>0</v>
      </c>
      <c r="BC141" s="5">
        <f t="shared" si="319"/>
        <v>0</v>
      </c>
      <c r="BD141" s="5">
        <f t="shared" si="320"/>
        <v>0</v>
      </c>
      <c r="BE141" s="199">
        <f t="shared" si="321"/>
        <v>0</v>
      </c>
      <c r="BF141" s="21">
        <f t="shared" si="322"/>
        <v>0</v>
      </c>
      <c r="BG141" s="6">
        <f t="shared" si="323"/>
        <v>0</v>
      </c>
      <c r="BH141" s="5" t="e">
        <f t="shared" si="324"/>
        <v>#DIV/0!</v>
      </c>
      <c r="BI141" s="6">
        <f t="shared" si="325"/>
        <v>0</v>
      </c>
      <c r="BJ141" s="5" t="e">
        <f t="shared" si="326"/>
        <v>#DIV/0!</v>
      </c>
      <c r="BK141" s="20">
        <f t="shared" si="327"/>
        <v>-9.9999999999999998E-13</v>
      </c>
      <c r="BL141" s="20">
        <f t="shared" si="328"/>
        <v>0</v>
      </c>
      <c r="BM141" s="6">
        <f t="shared" si="329"/>
        <v>0</v>
      </c>
      <c r="BN141" s="5">
        <f t="shared" si="330"/>
        <v>0</v>
      </c>
      <c r="BO141" s="333">
        <f t="shared" si="331"/>
        <v>0</v>
      </c>
      <c r="BP141" s="334">
        <f t="shared" si="332"/>
        <v>0</v>
      </c>
      <c r="BQ141" s="6">
        <f t="shared" si="333"/>
        <v>0</v>
      </c>
      <c r="BR141" s="5">
        <f t="shared" si="334"/>
        <v>0</v>
      </c>
      <c r="BS141" s="6">
        <f t="shared" si="335"/>
        <v>0</v>
      </c>
      <c r="BT141" s="5">
        <f t="shared" si="336"/>
        <v>0</v>
      </c>
      <c r="BU141" s="181">
        <f t="shared" si="337"/>
        <v>0</v>
      </c>
      <c r="BV141" s="154">
        <f t="shared" si="338"/>
        <v>0</v>
      </c>
      <c r="BW141" s="181">
        <f t="shared" si="339"/>
        <v>0</v>
      </c>
      <c r="BX141" s="180">
        <f t="shared" si="340"/>
        <v>0</v>
      </c>
      <c r="BY141" s="181">
        <f t="shared" si="341"/>
        <v>0</v>
      </c>
      <c r="BZ141" s="154">
        <f t="shared" si="342"/>
        <v>0</v>
      </c>
      <c r="CA141" s="182">
        <f t="shared" si="343"/>
        <v>0</v>
      </c>
      <c r="CB141" s="2">
        <f t="shared" si="344"/>
        <v>0</v>
      </c>
      <c r="CC141" s="2">
        <f t="shared" si="345"/>
        <v>0</v>
      </c>
      <c r="CD141" s="2">
        <f t="shared" si="346"/>
        <v>0</v>
      </c>
      <c r="CE141" s="2">
        <f t="shared" si="347"/>
        <v>0</v>
      </c>
      <c r="CF141" s="6">
        <f t="shared" si="348"/>
        <v>0</v>
      </c>
      <c r="CG141" s="6">
        <f t="shared" si="349"/>
        <v>0</v>
      </c>
      <c r="CH141" s="6">
        <f t="shared" si="350"/>
        <v>0</v>
      </c>
      <c r="CI141" s="20">
        <f t="shared" si="351"/>
        <v>0</v>
      </c>
      <c r="CJ141" s="133">
        <f t="shared" si="352"/>
        <v>2521</v>
      </c>
      <c r="CK141" s="5">
        <f t="shared" si="353"/>
        <v>0</v>
      </c>
      <c r="CL141" s="302" t="s">
        <v>1235</v>
      </c>
      <c r="CM141" s="298" t="s">
        <v>13</v>
      </c>
      <c r="CN141" s="298" t="s">
        <v>1138</v>
      </c>
      <c r="CO141" s="298">
        <v>17</v>
      </c>
      <c r="CP141" s="298" t="s">
        <v>1481</v>
      </c>
      <c r="CQ141" s="298" t="s">
        <v>1482</v>
      </c>
      <c r="CR141" s="298" t="s">
        <v>644</v>
      </c>
      <c r="CS141" s="298" t="s">
        <v>1432</v>
      </c>
      <c r="CT141" s="298" t="s">
        <v>593</v>
      </c>
      <c r="CU141" s="299">
        <v>47483</v>
      </c>
      <c r="CV141" s="298">
        <v>0</v>
      </c>
      <c r="CW141" s="298">
        <v>0</v>
      </c>
      <c r="CX141" s="298">
        <v>0</v>
      </c>
      <c r="CY141" s="298">
        <v>0</v>
      </c>
      <c r="CZ141" s="298">
        <v>0</v>
      </c>
      <c r="DA141" s="298">
        <v>0</v>
      </c>
      <c r="DB141" s="298">
        <v>0</v>
      </c>
      <c r="DC141" s="298">
        <v>0</v>
      </c>
      <c r="DD141" s="298">
        <v>0</v>
      </c>
      <c r="DE141" s="298">
        <v>0</v>
      </c>
      <c r="DF141" s="298">
        <v>0</v>
      </c>
      <c r="DG141" s="298">
        <v>0</v>
      </c>
      <c r="DH141" s="298">
        <v>0</v>
      </c>
      <c r="DI141" s="298">
        <v>0</v>
      </c>
      <c r="DJ141" s="298">
        <v>0</v>
      </c>
      <c r="DK141" s="298">
        <v>0</v>
      </c>
      <c r="DL141" s="298">
        <v>0</v>
      </c>
      <c r="DM141" s="298">
        <v>0</v>
      </c>
      <c r="DN141" s="298">
        <v>0</v>
      </c>
      <c r="DO141" s="298">
        <v>0</v>
      </c>
      <c r="DP141" s="298">
        <v>0</v>
      </c>
      <c r="DQ141" s="298">
        <v>0</v>
      </c>
      <c r="DR141" s="298">
        <v>0</v>
      </c>
      <c r="DS141" s="298">
        <v>0</v>
      </c>
      <c r="DT141" s="298">
        <v>0</v>
      </c>
      <c r="DU141" s="298">
        <v>0</v>
      </c>
      <c r="DV141" s="303" t="s">
        <v>548</v>
      </c>
    </row>
    <row r="142" spans="1:126" ht="24.95" customHeight="1" thickBot="1" x14ac:dyDescent="0.3">
      <c r="A142" s="29" t="str">
        <f t="shared" si="265"/>
        <v>141º</v>
      </c>
      <c r="B142" s="69" t="str">
        <f t="shared" si="267"/>
        <v>Luciano Francisco</v>
      </c>
      <c r="C142" s="269" t="str">
        <f t="shared" si="268"/>
        <v>BRA</v>
      </c>
      <c r="D142" s="99" t="str">
        <f t="shared" si="269"/>
        <v>Pé Direito</v>
      </c>
      <c r="E142" s="28" t="str">
        <f t="shared" si="270"/>
        <v>Resende</v>
      </c>
      <c r="F142" s="169">
        <f t="shared" si="271"/>
        <v>18</v>
      </c>
      <c r="G142" s="2" t="str">
        <f t="shared" si="272"/>
        <v>0 €</v>
      </c>
      <c r="H142" s="154">
        <f t="shared" si="273"/>
        <v>1.92</v>
      </c>
      <c r="I142" s="64">
        <f t="shared" si="274"/>
        <v>47118</v>
      </c>
      <c r="J142" s="304" t="str">
        <f t="shared" si="275"/>
        <v>775 € p/m</v>
      </c>
      <c r="K142" s="96">
        <f t="shared" si="266"/>
        <v>3.5222222222222221</v>
      </c>
      <c r="L142" s="146">
        <f t="shared" si="276"/>
        <v>2</v>
      </c>
      <c r="M142" s="6">
        <f t="shared" si="277"/>
        <v>0</v>
      </c>
      <c r="N142" s="5">
        <f t="shared" si="278"/>
        <v>5400</v>
      </c>
      <c r="O142" s="21">
        <f t="shared" si="279"/>
        <v>0</v>
      </c>
      <c r="P142" s="2">
        <f t="shared" si="280"/>
        <v>40</v>
      </c>
      <c r="Q142" s="2">
        <f t="shared" si="281"/>
        <v>23</v>
      </c>
      <c r="R142" s="5">
        <f t="shared" si="282"/>
        <v>11.5</v>
      </c>
      <c r="S142" s="2">
        <f t="shared" si="283"/>
        <v>17</v>
      </c>
      <c r="T142" s="2">
        <f t="shared" si="284"/>
        <v>6</v>
      </c>
      <c r="U142" s="102">
        <f t="shared" si="285"/>
        <v>0.42499999999999999</v>
      </c>
      <c r="V142" s="102">
        <f t="shared" si="286"/>
        <v>0.57499999999999996</v>
      </c>
      <c r="W142" s="6">
        <f t="shared" si="287"/>
        <v>40</v>
      </c>
      <c r="X142" s="5">
        <f t="shared" si="288"/>
        <v>20</v>
      </c>
      <c r="Y142" s="6">
        <f t="shared" si="289"/>
        <v>0</v>
      </c>
      <c r="Z142" s="5">
        <f t="shared" si="290"/>
        <v>0</v>
      </c>
      <c r="AA142" s="21">
        <f t="shared" si="291"/>
        <v>0</v>
      </c>
      <c r="AB142" s="6">
        <f t="shared" si="292"/>
        <v>0</v>
      </c>
      <c r="AC142" s="5">
        <f t="shared" si="293"/>
        <v>0</v>
      </c>
      <c r="AD142" s="6">
        <f t="shared" si="294"/>
        <v>0</v>
      </c>
      <c r="AE142" s="5">
        <f t="shared" si="295"/>
        <v>0</v>
      </c>
      <c r="AF142" s="21">
        <f t="shared" si="296"/>
        <v>0</v>
      </c>
      <c r="AG142" s="6">
        <f t="shared" si="297"/>
        <v>0</v>
      </c>
      <c r="AH142" s="5">
        <f t="shared" si="298"/>
        <v>0</v>
      </c>
      <c r="AI142" s="21">
        <f t="shared" si="299"/>
        <v>0</v>
      </c>
      <c r="AJ142" s="6">
        <f t="shared" si="300"/>
        <v>0</v>
      </c>
      <c r="AK142" s="5">
        <f t="shared" si="301"/>
        <v>0</v>
      </c>
      <c r="AL142" s="21">
        <f t="shared" si="302"/>
        <v>0</v>
      </c>
      <c r="AM142" s="21">
        <f t="shared" si="303"/>
        <v>0.5</v>
      </c>
      <c r="AN142" s="6">
        <f t="shared" si="304"/>
        <v>1</v>
      </c>
      <c r="AO142" s="5">
        <f t="shared" si="305"/>
        <v>0.5</v>
      </c>
      <c r="AP142" s="6">
        <f t="shared" si="306"/>
        <v>0</v>
      </c>
      <c r="AQ142" s="5">
        <f t="shared" si="307"/>
        <v>0</v>
      </c>
      <c r="AR142" s="2">
        <f t="shared" si="308"/>
        <v>3</v>
      </c>
      <c r="AS142" s="5">
        <f t="shared" si="309"/>
        <v>1.5</v>
      </c>
      <c r="AT142" s="21">
        <f t="shared" si="310"/>
        <v>0</v>
      </c>
      <c r="AU142" s="20">
        <f t="shared" si="311"/>
        <v>0</v>
      </c>
      <c r="AV142" s="20">
        <f t="shared" si="312"/>
        <v>1</v>
      </c>
      <c r="AW142" s="199">
        <f t="shared" si="313"/>
        <v>0</v>
      </c>
      <c r="AX142" s="24">
        <f t="shared" si="314"/>
        <v>60</v>
      </c>
      <c r="AY142" s="5">
        <f t="shared" si="315"/>
        <v>1</v>
      </c>
      <c r="AZ142" s="5">
        <f t="shared" si="316"/>
        <v>1</v>
      </c>
      <c r="BA142" s="5">
        <f t="shared" si="317"/>
        <v>0</v>
      </c>
      <c r="BB142" s="5">
        <f t="shared" si="318"/>
        <v>0</v>
      </c>
      <c r="BC142" s="5">
        <f t="shared" si="319"/>
        <v>0</v>
      </c>
      <c r="BD142" s="5">
        <f t="shared" si="320"/>
        <v>0</v>
      </c>
      <c r="BE142" s="199">
        <f t="shared" si="321"/>
        <v>0</v>
      </c>
      <c r="BF142" s="21">
        <f t="shared" si="322"/>
        <v>0</v>
      </c>
      <c r="BG142" s="6">
        <f t="shared" si="323"/>
        <v>0</v>
      </c>
      <c r="BH142" s="5">
        <f t="shared" si="324"/>
        <v>0</v>
      </c>
      <c r="BI142" s="6">
        <f t="shared" si="325"/>
        <v>0</v>
      </c>
      <c r="BJ142" s="5">
        <f t="shared" si="326"/>
        <v>0</v>
      </c>
      <c r="BK142" s="20">
        <f t="shared" si="327"/>
        <v>-9.9999999999999998E-13</v>
      </c>
      <c r="BL142" s="20">
        <f t="shared" si="328"/>
        <v>2.0229265003371545E-3</v>
      </c>
      <c r="BM142" s="6">
        <f t="shared" si="329"/>
        <v>3</v>
      </c>
      <c r="BN142" s="5">
        <f t="shared" si="330"/>
        <v>1.5</v>
      </c>
      <c r="BO142" s="333">
        <f t="shared" si="331"/>
        <v>0</v>
      </c>
      <c r="BP142" s="334">
        <f t="shared" si="332"/>
        <v>0</v>
      </c>
      <c r="BQ142" s="6">
        <f t="shared" si="333"/>
        <v>0</v>
      </c>
      <c r="BR142" s="5">
        <f t="shared" si="334"/>
        <v>0</v>
      </c>
      <c r="BS142" s="6">
        <f t="shared" si="335"/>
        <v>0</v>
      </c>
      <c r="BT142" s="5">
        <f t="shared" si="336"/>
        <v>0</v>
      </c>
      <c r="BU142" s="181">
        <f t="shared" si="337"/>
        <v>0</v>
      </c>
      <c r="BV142" s="154">
        <f t="shared" si="338"/>
        <v>0</v>
      </c>
      <c r="BW142" s="181">
        <f t="shared" si="339"/>
        <v>0</v>
      </c>
      <c r="BX142" s="180">
        <f t="shared" si="340"/>
        <v>0</v>
      </c>
      <c r="BY142" s="181">
        <f t="shared" si="341"/>
        <v>0</v>
      </c>
      <c r="BZ142" s="154">
        <f t="shared" si="342"/>
        <v>0</v>
      </c>
      <c r="CA142" s="182">
        <f t="shared" si="343"/>
        <v>0</v>
      </c>
      <c r="CB142" s="2">
        <f t="shared" si="344"/>
        <v>0</v>
      </c>
      <c r="CC142" s="2">
        <f t="shared" si="345"/>
        <v>0</v>
      </c>
      <c r="CD142" s="2">
        <f t="shared" si="346"/>
        <v>0</v>
      </c>
      <c r="CE142" s="2">
        <f t="shared" si="347"/>
        <v>0</v>
      </c>
      <c r="CF142" s="6">
        <f t="shared" si="348"/>
        <v>0</v>
      </c>
      <c r="CG142" s="6">
        <f t="shared" si="349"/>
        <v>45</v>
      </c>
      <c r="CH142" s="6">
        <f t="shared" si="350"/>
        <v>23</v>
      </c>
      <c r="CI142" s="20">
        <f t="shared" si="351"/>
        <v>0.51111111111111107</v>
      </c>
      <c r="CJ142" s="133">
        <f t="shared" si="352"/>
        <v>2521</v>
      </c>
      <c r="CK142" s="5">
        <f t="shared" si="353"/>
        <v>6.3</v>
      </c>
      <c r="CL142" s="300"/>
      <c r="CM142" s="296" t="s">
        <v>13</v>
      </c>
      <c r="CN142" s="296" t="s">
        <v>1161</v>
      </c>
      <c r="CO142" s="296">
        <v>18</v>
      </c>
      <c r="CP142" s="296" t="s">
        <v>1483</v>
      </c>
      <c r="CQ142" s="296" t="s">
        <v>1131</v>
      </c>
      <c r="CR142" s="296" t="s">
        <v>644</v>
      </c>
      <c r="CS142" s="296" t="s">
        <v>1484</v>
      </c>
      <c r="CT142" s="296" t="s">
        <v>549</v>
      </c>
      <c r="CU142" s="297">
        <v>47118</v>
      </c>
      <c r="CV142" s="296">
        <v>0</v>
      </c>
      <c r="CW142" s="296">
        <v>180</v>
      </c>
      <c r="CX142" s="296">
        <v>3</v>
      </c>
      <c r="CY142" s="296">
        <v>0</v>
      </c>
      <c r="CZ142" s="296">
        <v>0</v>
      </c>
      <c r="DA142" s="296">
        <v>0</v>
      </c>
      <c r="DB142" s="296">
        <v>0</v>
      </c>
      <c r="DC142" s="296">
        <v>0</v>
      </c>
      <c r="DD142" s="296">
        <v>0</v>
      </c>
      <c r="DE142" s="296">
        <v>1</v>
      </c>
      <c r="DF142" s="296">
        <v>0</v>
      </c>
      <c r="DG142" s="296">
        <v>0</v>
      </c>
      <c r="DH142" s="296">
        <v>0</v>
      </c>
      <c r="DI142" s="296">
        <v>0</v>
      </c>
      <c r="DJ142" s="296">
        <v>0</v>
      </c>
      <c r="DK142" s="296">
        <v>0</v>
      </c>
      <c r="DL142" s="296">
        <v>40</v>
      </c>
      <c r="DM142" s="296">
        <v>23</v>
      </c>
      <c r="DN142" s="296">
        <v>0</v>
      </c>
      <c r="DO142" s="296">
        <v>0</v>
      </c>
      <c r="DP142" s="296">
        <v>0</v>
      </c>
      <c r="DQ142" s="296">
        <v>0</v>
      </c>
      <c r="DR142" s="296">
        <v>0</v>
      </c>
      <c r="DS142" s="296">
        <v>0</v>
      </c>
      <c r="DT142" s="296">
        <v>0</v>
      </c>
      <c r="DU142" s="296">
        <v>0</v>
      </c>
      <c r="DV142" s="301">
        <v>6.3</v>
      </c>
    </row>
    <row r="143" spans="1:126" ht="24.95" customHeight="1" thickBot="1" x14ac:dyDescent="0.3">
      <c r="A143" s="29" t="str">
        <f t="shared" si="265"/>
        <v>142º</v>
      </c>
      <c r="B143" s="69" t="str">
        <f t="shared" si="267"/>
        <v>Rodrigo Junqueira</v>
      </c>
      <c r="C143" s="269" t="str">
        <f t="shared" si="268"/>
        <v>BRA</v>
      </c>
      <c r="D143" s="99" t="str">
        <f t="shared" si="269"/>
        <v>Pé Direito</v>
      </c>
      <c r="E143" s="28" t="str">
        <f t="shared" si="270"/>
        <v>Resende</v>
      </c>
      <c r="F143" s="169">
        <f t="shared" si="271"/>
        <v>18</v>
      </c>
      <c r="G143" s="2" t="str">
        <f t="shared" si="272"/>
        <v>0 €</v>
      </c>
      <c r="H143" s="154">
        <f t="shared" si="273"/>
        <v>1.89</v>
      </c>
      <c r="I143" s="64">
        <f t="shared" si="274"/>
        <v>47118</v>
      </c>
      <c r="J143" s="304" t="str">
        <f t="shared" si="275"/>
        <v>550 € p/m</v>
      </c>
      <c r="K143" s="96">
        <f t="shared" si="266"/>
        <v>3.5222222222222221</v>
      </c>
      <c r="L143" s="146">
        <f t="shared" si="276"/>
        <v>3</v>
      </c>
      <c r="M143" s="6">
        <f t="shared" si="277"/>
        <v>0</v>
      </c>
      <c r="N143" s="5">
        <f t="shared" si="278"/>
        <v>5400</v>
      </c>
      <c r="O143" s="21">
        <f t="shared" si="279"/>
        <v>0</v>
      </c>
      <c r="P143" s="2">
        <f t="shared" si="280"/>
        <v>60</v>
      </c>
      <c r="Q143" s="2">
        <f t="shared" si="281"/>
        <v>33</v>
      </c>
      <c r="R143" s="5">
        <f t="shared" si="282"/>
        <v>11</v>
      </c>
      <c r="S143" s="2">
        <f t="shared" si="283"/>
        <v>27</v>
      </c>
      <c r="T143" s="2">
        <f t="shared" si="284"/>
        <v>6</v>
      </c>
      <c r="U143" s="102">
        <f t="shared" si="285"/>
        <v>0.45</v>
      </c>
      <c r="V143" s="102">
        <f t="shared" si="286"/>
        <v>0.55000000000000004</v>
      </c>
      <c r="W143" s="6">
        <f t="shared" si="287"/>
        <v>60</v>
      </c>
      <c r="X143" s="5">
        <f t="shared" si="288"/>
        <v>20</v>
      </c>
      <c r="Y143" s="6">
        <f t="shared" si="289"/>
        <v>0</v>
      </c>
      <c r="Z143" s="5">
        <f t="shared" si="290"/>
        <v>0</v>
      </c>
      <c r="AA143" s="21">
        <f t="shared" si="291"/>
        <v>0</v>
      </c>
      <c r="AB143" s="6">
        <f t="shared" si="292"/>
        <v>0</v>
      </c>
      <c r="AC143" s="5">
        <f t="shared" si="293"/>
        <v>0</v>
      </c>
      <c r="AD143" s="6">
        <f t="shared" si="294"/>
        <v>0</v>
      </c>
      <c r="AE143" s="5">
        <f t="shared" si="295"/>
        <v>0</v>
      </c>
      <c r="AF143" s="21">
        <f t="shared" si="296"/>
        <v>0</v>
      </c>
      <c r="AG143" s="6">
        <f t="shared" si="297"/>
        <v>0</v>
      </c>
      <c r="AH143" s="5">
        <f t="shared" si="298"/>
        <v>0</v>
      </c>
      <c r="AI143" s="21">
        <f t="shared" si="299"/>
        <v>0</v>
      </c>
      <c r="AJ143" s="6">
        <f t="shared" si="300"/>
        <v>0</v>
      </c>
      <c r="AK143" s="5">
        <f t="shared" si="301"/>
        <v>0</v>
      </c>
      <c r="AL143" s="21">
        <f t="shared" si="302"/>
        <v>0</v>
      </c>
      <c r="AM143" s="21">
        <f t="shared" si="303"/>
        <v>0.33333333333333331</v>
      </c>
      <c r="AN143" s="6">
        <f t="shared" si="304"/>
        <v>1</v>
      </c>
      <c r="AO143" s="5">
        <f t="shared" si="305"/>
        <v>0.33333333333333331</v>
      </c>
      <c r="AP143" s="6">
        <f t="shared" si="306"/>
        <v>0</v>
      </c>
      <c r="AQ143" s="5">
        <f t="shared" si="307"/>
        <v>0</v>
      </c>
      <c r="AR143" s="2">
        <f t="shared" si="308"/>
        <v>6</v>
      </c>
      <c r="AS143" s="5">
        <f t="shared" si="309"/>
        <v>2</v>
      </c>
      <c r="AT143" s="21">
        <f t="shared" si="310"/>
        <v>0</v>
      </c>
      <c r="AU143" s="20">
        <f t="shared" si="311"/>
        <v>0</v>
      </c>
      <c r="AV143" s="20">
        <f t="shared" si="312"/>
        <v>1</v>
      </c>
      <c r="AW143" s="199">
        <f t="shared" si="313"/>
        <v>0</v>
      </c>
      <c r="AX143" s="24">
        <f t="shared" si="314"/>
        <v>45</v>
      </c>
      <c r="AY143" s="5">
        <f t="shared" si="315"/>
        <v>1</v>
      </c>
      <c r="AZ143" s="5">
        <f t="shared" si="316"/>
        <v>1</v>
      </c>
      <c r="BA143" s="5">
        <f t="shared" si="317"/>
        <v>0</v>
      </c>
      <c r="BB143" s="5">
        <f t="shared" si="318"/>
        <v>0</v>
      </c>
      <c r="BC143" s="5">
        <f t="shared" si="319"/>
        <v>0</v>
      </c>
      <c r="BD143" s="5">
        <f t="shared" si="320"/>
        <v>0</v>
      </c>
      <c r="BE143" s="199">
        <f t="shared" si="321"/>
        <v>0</v>
      </c>
      <c r="BF143" s="21">
        <f t="shared" si="322"/>
        <v>0</v>
      </c>
      <c r="BG143" s="6">
        <f t="shared" si="323"/>
        <v>0</v>
      </c>
      <c r="BH143" s="5">
        <f t="shared" si="324"/>
        <v>0</v>
      </c>
      <c r="BI143" s="6">
        <f t="shared" si="325"/>
        <v>0</v>
      </c>
      <c r="BJ143" s="5">
        <f t="shared" si="326"/>
        <v>0</v>
      </c>
      <c r="BK143" s="20">
        <f t="shared" si="327"/>
        <v>-9.9999999999999998E-13</v>
      </c>
      <c r="BL143" s="20">
        <f t="shared" si="328"/>
        <v>4.045853000674309E-3</v>
      </c>
      <c r="BM143" s="6">
        <f t="shared" si="329"/>
        <v>6</v>
      </c>
      <c r="BN143" s="5">
        <f t="shared" si="330"/>
        <v>2</v>
      </c>
      <c r="BO143" s="333">
        <f t="shared" si="331"/>
        <v>0</v>
      </c>
      <c r="BP143" s="334">
        <f t="shared" si="332"/>
        <v>0</v>
      </c>
      <c r="BQ143" s="6">
        <f t="shared" si="333"/>
        <v>0</v>
      </c>
      <c r="BR143" s="5">
        <f t="shared" si="334"/>
        <v>0</v>
      </c>
      <c r="BS143" s="6">
        <f t="shared" si="335"/>
        <v>0</v>
      </c>
      <c r="BT143" s="5">
        <f t="shared" si="336"/>
        <v>0</v>
      </c>
      <c r="BU143" s="181">
        <f t="shared" si="337"/>
        <v>0</v>
      </c>
      <c r="BV143" s="154">
        <f t="shared" si="338"/>
        <v>0</v>
      </c>
      <c r="BW143" s="181">
        <f t="shared" si="339"/>
        <v>0</v>
      </c>
      <c r="BX143" s="180">
        <f t="shared" si="340"/>
        <v>0</v>
      </c>
      <c r="BY143" s="181">
        <f t="shared" si="341"/>
        <v>0</v>
      </c>
      <c r="BZ143" s="154">
        <f t="shared" si="342"/>
        <v>0</v>
      </c>
      <c r="CA143" s="182">
        <f t="shared" si="343"/>
        <v>0</v>
      </c>
      <c r="CB143" s="2">
        <f t="shared" si="344"/>
        <v>0</v>
      </c>
      <c r="CC143" s="2">
        <f t="shared" si="345"/>
        <v>0</v>
      </c>
      <c r="CD143" s="2">
        <f t="shared" si="346"/>
        <v>0</v>
      </c>
      <c r="CE143" s="2">
        <f t="shared" si="347"/>
        <v>0</v>
      </c>
      <c r="CF143" s="6">
        <f t="shared" si="348"/>
        <v>0</v>
      </c>
      <c r="CG143" s="6">
        <f t="shared" si="349"/>
        <v>68</v>
      </c>
      <c r="CH143" s="6">
        <f t="shared" si="350"/>
        <v>33</v>
      </c>
      <c r="CI143" s="20">
        <f t="shared" si="351"/>
        <v>0.48529411764705882</v>
      </c>
      <c r="CJ143" s="133">
        <f t="shared" si="352"/>
        <v>2521</v>
      </c>
      <c r="CK143" s="5">
        <f t="shared" si="353"/>
        <v>6.33</v>
      </c>
      <c r="CL143" s="302"/>
      <c r="CM143" s="298" t="s">
        <v>13</v>
      </c>
      <c r="CN143" s="298" t="s">
        <v>1161</v>
      </c>
      <c r="CO143" s="298">
        <v>18</v>
      </c>
      <c r="CP143" s="298" t="s">
        <v>1485</v>
      </c>
      <c r="CQ143" s="298" t="s">
        <v>1131</v>
      </c>
      <c r="CR143" s="298" t="s">
        <v>644</v>
      </c>
      <c r="CS143" s="298" t="s">
        <v>1375</v>
      </c>
      <c r="CT143" s="298" t="s">
        <v>593</v>
      </c>
      <c r="CU143" s="299">
        <v>47118</v>
      </c>
      <c r="CV143" s="298">
        <v>0</v>
      </c>
      <c r="CW143" s="298">
        <v>270</v>
      </c>
      <c r="CX143" s="298">
        <v>6</v>
      </c>
      <c r="CY143" s="298">
        <v>0</v>
      </c>
      <c r="CZ143" s="298">
        <v>0</v>
      </c>
      <c r="DA143" s="298">
        <v>0</v>
      </c>
      <c r="DB143" s="298">
        <v>0</v>
      </c>
      <c r="DC143" s="298">
        <v>0</v>
      </c>
      <c r="DD143" s="298">
        <v>0</v>
      </c>
      <c r="DE143" s="298">
        <v>1</v>
      </c>
      <c r="DF143" s="298">
        <v>0</v>
      </c>
      <c r="DG143" s="298">
        <v>0</v>
      </c>
      <c r="DH143" s="298">
        <v>0</v>
      </c>
      <c r="DI143" s="298">
        <v>0</v>
      </c>
      <c r="DJ143" s="298">
        <v>0</v>
      </c>
      <c r="DK143" s="298">
        <v>0</v>
      </c>
      <c r="DL143" s="298">
        <v>60</v>
      </c>
      <c r="DM143" s="298">
        <v>33</v>
      </c>
      <c r="DN143" s="298">
        <v>0</v>
      </c>
      <c r="DO143" s="298">
        <v>0</v>
      </c>
      <c r="DP143" s="298">
        <v>0</v>
      </c>
      <c r="DQ143" s="298">
        <v>0</v>
      </c>
      <c r="DR143" s="298">
        <v>0</v>
      </c>
      <c r="DS143" s="298">
        <v>0</v>
      </c>
      <c r="DT143" s="298">
        <v>0</v>
      </c>
      <c r="DU143" s="298">
        <v>0</v>
      </c>
      <c r="DV143" s="303">
        <v>6.33</v>
      </c>
    </row>
    <row r="144" spans="1:126" ht="24.95" customHeight="1" thickBot="1" x14ac:dyDescent="0.3">
      <c r="A144" s="29" t="str">
        <f t="shared" si="265"/>
        <v>143º</v>
      </c>
      <c r="B144" s="69" t="str">
        <f t="shared" si="267"/>
        <v>Fernando César</v>
      </c>
      <c r="C144" s="269" t="str">
        <f t="shared" si="268"/>
        <v>BRA</v>
      </c>
      <c r="D144" s="99" t="str">
        <f t="shared" si="269"/>
        <v>Pé Direito</v>
      </c>
      <c r="E144" s="28" t="str">
        <f t="shared" si="270"/>
        <v>Audax (SP)</v>
      </c>
      <c r="F144" s="169">
        <f t="shared" si="271"/>
        <v>17</v>
      </c>
      <c r="G144" s="2" t="str">
        <f t="shared" si="272"/>
        <v>0 €</v>
      </c>
      <c r="H144" s="154">
        <f t="shared" si="273"/>
        <v>1.84</v>
      </c>
      <c r="I144" s="64">
        <f t="shared" si="274"/>
        <v>47483</v>
      </c>
      <c r="J144" s="304" t="str">
        <f t="shared" si="275"/>
        <v>180 € p/m</v>
      </c>
      <c r="K144" s="96">
        <f t="shared" si="266"/>
        <v>3.5222222222222221</v>
      </c>
      <c r="L144" s="146">
        <f t="shared" si="276"/>
        <v>0</v>
      </c>
      <c r="M144" s="6">
        <f t="shared" si="277"/>
        <v>0</v>
      </c>
      <c r="N144" s="5">
        <f t="shared" si="278"/>
        <v>5400</v>
      </c>
      <c r="O144" s="21">
        <f t="shared" si="279"/>
        <v>0</v>
      </c>
      <c r="P144" s="2">
        <f t="shared" si="280"/>
        <v>0</v>
      </c>
      <c r="Q144" s="2">
        <f t="shared" si="281"/>
        <v>0</v>
      </c>
      <c r="R144" s="5">
        <f t="shared" si="282"/>
        <v>0</v>
      </c>
      <c r="S144" s="2">
        <f t="shared" si="283"/>
        <v>0</v>
      </c>
      <c r="T144" s="2">
        <f t="shared" si="284"/>
        <v>0</v>
      </c>
      <c r="U144" s="102">
        <f t="shared" si="285"/>
        <v>0</v>
      </c>
      <c r="V144" s="102">
        <f t="shared" si="286"/>
        <v>0</v>
      </c>
      <c r="W144" s="6">
        <f t="shared" si="287"/>
        <v>0</v>
      </c>
      <c r="X144" s="5">
        <f t="shared" si="288"/>
        <v>0</v>
      </c>
      <c r="Y144" s="6">
        <f t="shared" si="289"/>
        <v>0</v>
      </c>
      <c r="Z144" s="5" t="e">
        <f t="shared" si="290"/>
        <v>#DIV/0!</v>
      </c>
      <c r="AA144" s="21">
        <f t="shared" si="291"/>
        <v>0</v>
      </c>
      <c r="AB144" s="6">
        <f t="shared" si="292"/>
        <v>0</v>
      </c>
      <c r="AC144" s="5" t="e">
        <f t="shared" si="293"/>
        <v>#DIV/0!</v>
      </c>
      <c r="AD144" s="6">
        <f t="shared" si="294"/>
        <v>0</v>
      </c>
      <c r="AE144" s="5">
        <f t="shared" si="295"/>
        <v>0</v>
      </c>
      <c r="AF144" s="21">
        <f t="shared" si="296"/>
        <v>0</v>
      </c>
      <c r="AG144" s="6">
        <f t="shared" si="297"/>
        <v>0</v>
      </c>
      <c r="AH144" s="5">
        <f t="shared" si="298"/>
        <v>0</v>
      </c>
      <c r="AI144" s="21">
        <f t="shared" si="299"/>
        <v>0</v>
      </c>
      <c r="AJ144" s="6">
        <f t="shared" si="300"/>
        <v>0</v>
      </c>
      <c r="AK144" s="5">
        <f t="shared" si="301"/>
        <v>0</v>
      </c>
      <c r="AL144" s="21">
        <f t="shared" si="302"/>
        <v>0</v>
      </c>
      <c r="AM144" s="21">
        <f t="shared" si="303"/>
        <v>0</v>
      </c>
      <c r="AN144" s="6">
        <f t="shared" si="304"/>
        <v>0</v>
      </c>
      <c r="AO144" s="5">
        <f t="shared" si="305"/>
        <v>0</v>
      </c>
      <c r="AP144" s="6">
        <f t="shared" si="306"/>
        <v>0</v>
      </c>
      <c r="AQ144" s="5">
        <f t="shared" si="307"/>
        <v>0</v>
      </c>
      <c r="AR144" s="2">
        <f t="shared" si="308"/>
        <v>0</v>
      </c>
      <c r="AS144" s="5">
        <f t="shared" si="309"/>
        <v>0</v>
      </c>
      <c r="AT144" s="21">
        <f t="shared" si="310"/>
        <v>0</v>
      </c>
      <c r="AU144" s="20">
        <f t="shared" si="311"/>
        <v>0</v>
      </c>
      <c r="AV144" s="20">
        <f t="shared" si="312"/>
        <v>1</v>
      </c>
      <c r="AW144" s="199">
        <f t="shared" si="313"/>
        <v>0</v>
      </c>
      <c r="AX144" s="24">
        <f t="shared" si="314"/>
        <v>0</v>
      </c>
      <c r="AY144" s="5">
        <f t="shared" si="315"/>
        <v>0</v>
      </c>
      <c r="AZ144" s="5">
        <f t="shared" si="316"/>
        <v>0</v>
      </c>
      <c r="BA144" s="5">
        <f t="shared" si="317"/>
        <v>0</v>
      </c>
      <c r="BB144" s="5">
        <f t="shared" si="318"/>
        <v>0</v>
      </c>
      <c r="BC144" s="5">
        <f t="shared" si="319"/>
        <v>0</v>
      </c>
      <c r="BD144" s="5">
        <f t="shared" si="320"/>
        <v>0</v>
      </c>
      <c r="BE144" s="199">
        <f t="shared" si="321"/>
        <v>0</v>
      </c>
      <c r="BF144" s="21">
        <f t="shared" si="322"/>
        <v>0</v>
      </c>
      <c r="BG144" s="6">
        <f t="shared" si="323"/>
        <v>0</v>
      </c>
      <c r="BH144" s="5" t="e">
        <f t="shared" si="324"/>
        <v>#DIV/0!</v>
      </c>
      <c r="BI144" s="6">
        <f t="shared" si="325"/>
        <v>0</v>
      </c>
      <c r="BJ144" s="5" t="e">
        <f t="shared" si="326"/>
        <v>#DIV/0!</v>
      </c>
      <c r="BK144" s="20">
        <f t="shared" si="327"/>
        <v>-9.9999999999999998E-13</v>
      </c>
      <c r="BL144" s="20">
        <f t="shared" si="328"/>
        <v>0</v>
      </c>
      <c r="BM144" s="6">
        <f t="shared" si="329"/>
        <v>0</v>
      </c>
      <c r="BN144" s="5">
        <f t="shared" si="330"/>
        <v>0</v>
      </c>
      <c r="BO144" s="333">
        <f t="shared" si="331"/>
        <v>0</v>
      </c>
      <c r="BP144" s="334">
        <f t="shared" si="332"/>
        <v>0</v>
      </c>
      <c r="BQ144" s="6">
        <f t="shared" si="333"/>
        <v>0</v>
      </c>
      <c r="BR144" s="5">
        <f t="shared" si="334"/>
        <v>0</v>
      </c>
      <c r="BS144" s="6">
        <f t="shared" si="335"/>
        <v>0</v>
      </c>
      <c r="BT144" s="5">
        <f t="shared" si="336"/>
        <v>0</v>
      </c>
      <c r="BU144" s="181">
        <f t="shared" si="337"/>
        <v>0</v>
      </c>
      <c r="BV144" s="154">
        <f t="shared" si="338"/>
        <v>0</v>
      </c>
      <c r="BW144" s="181">
        <f t="shared" si="339"/>
        <v>0</v>
      </c>
      <c r="BX144" s="180">
        <f t="shared" si="340"/>
        <v>0</v>
      </c>
      <c r="BY144" s="181">
        <f t="shared" si="341"/>
        <v>0</v>
      </c>
      <c r="BZ144" s="154">
        <f t="shared" si="342"/>
        <v>0</v>
      </c>
      <c r="CA144" s="182">
        <f t="shared" si="343"/>
        <v>0</v>
      </c>
      <c r="CB144" s="2">
        <f t="shared" si="344"/>
        <v>0</v>
      </c>
      <c r="CC144" s="2">
        <f t="shared" si="345"/>
        <v>0</v>
      </c>
      <c r="CD144" s="2">
        <f t="shared" si="346"/>
        <v>0</v>
      </c>
      <c r="CE144" s="2">
        <f t="shared" si="347"/>
        <v>0</v>
      </c>
      <c r="CF144" s="6">
        <f t="shared" si="348"/>
        <v>0</v>
      </c>
      <c r="CG144" s="6">
        <f t="shared" si="349"/>
        <v>0</v>
      </c>
      <c r="CH144" s="6">
        <f t="shared" si="350"/>
        <v>0</v>
      </c>
      <c r="CI144" s="20">
        <f t="shared" si="351"/>
        <v>0</v>
      </c>
      <c r="CJ144" s="133">
        <f t="shared" si="352"/>
        <v>2521</v>
      </c>
      <c r="CK144" s="5">
        <f t="shared" si="353"/>
        <v>0</v>
      </c>
      <c r="CL144" s="300" t="s">
        <v>1486</v>
      </c>
      <c r="CM144" s="296" t="s">
        <v>13</v>
      </c>
      <c r="CN144" s="296" t="s">
        <v>1487</v>
      </c>
      <c r="CO144" s="296">
        <v>17</v>
      </c>
      <c r="CP144" s="296" t="s">
        <v>1488</v>
      </c>
      <c r="CQ144" s="296" t="s">
        <v>1131</v>
      </c>
      <c r="CR144" s="296" t="s">
        <v>644</v>
      </c>
      <c r="CS144" s="296" t="s">
        <v>1432</v>
      </c>
      <c r="CT144" s="296" t="s">
        <v>574</v>
      </c>
      <c r="CU144" s="297">
        <v>47483</v>
      </c>
      <c r="CV144" s="296">
        <v>0</v>
      </c>
      <c r="CW144" s="296">
        <v>0</v>
      </c>
      <c r="CX144" s="296">
        <v>0</v>
      </c>
      <c r="CY144" s="296">
        <v>0</v>
      </c>
      <c r="CZ144" s="296">
        <v>0</v>
      </c>
      <c r="DA144" s="296">
        <v>0</v>
      </c>
      <c r="DB144" s="296">
        <v>0</v>
      </c>
      <c r="DC144" s="296">
        <v>0</v>
      </c>
      <c r="DD144" s="296">
        <v>0</v>
      </c>
      <c r="DE144" s="296">
        <v>0</v>
      </c>
      <c r="DF144" s="296">
        <v>0</v>
      </c>
      <c r="DG144" s="296">
        <v>0</v>
      </c>
      <c r="DH144" s="296">
        <v>0</v>
      </c>
      <c r="DI144" s="296">
        <v>0</v>
      </c>
      <c r="DJ144" s="296">
        <v>0</v>
      </c>
      <c r="DK144" s="296">
        <v>0</v>
      </c>
      <c r="DL144" s="296">
        <v>0</v>
      </c>
      <c r="DM144" s="296">
        <v>0</v>
      </c>
      <c r="DN144" s="296">
        <v>0</v>
      </c>
      <c r="DO144" s="296">
        <v>0</v>
      </c>
      <c r="DP144" s="296">
        <v>0</v>
      </c>
      <c r="DQ144" s="296">
        <v>0</v>
      </c>
      <c r="DR144" s="296">
        <v>0</v>
      </c>
      <c r="DS144" s="296">
        <v>0</v>
      </c>
      <c r="DT144" s="296">
        <v>0</v>
      </c>
      <c r="DU144" s="296">
        <v>0</v>
      </c>
      <c r="DV144" s="301" t="s">
        <v>548</v>
      </c>
    </row>
    <row r="145" spans="1:126" ht="24.95" customHeight="1" thickBot="1" x14ac:dyDescent="0.3">
      <c r="A145" s="29" t="str">
        <f t="shared" si="265"/>
        <v>144º</v>
      </c>
      <c r="B145" s="69" t="str">
        <f t="shared" si="267"/>
        <v>Jajá</v>
      </c>
      <c r="C145" s="269" t="str">
        <f t="shared" si="268"/>
        <v>BRA</v>
      </c>
      <c r="D145" s="99" t="str">
        <f t="shared" si="269"/>
        <v>Pé Direito</v>
      </c>
      <c r="E145" s="28" t="str">
        <f t="shared" si="270"/>
        <v>Pelotas</v>
      </c>
      <c r="F145" s="169">
        <f t="shared" si="271"/>
        <v>18</v>
      </c>
      <c r="G145" s="2" t="str">
        <f t="shared" si="272"/>
        <v>0 €</v>
      </c>
      <c r="H145" s="154">
        <f t="shared" si="273"/>
        <v>1.89</v>
      </c>
      <c r="I145" s="64">
        <f t="shared" si="274"/>
        <v>47118</v>
      </c>
      <c r="J145" s="304" t="str">
        <f t="shared" si="275"/>
        <v>600 € p/m</v>
      </c>
      <c r="K145" s="96">
        <f t="shared" si="266"/>
        <v>3.5222222222222221</v>
      </c>
      <c r="L145" s="146">
        <f t="shared" si="276"/>
        <v>0</v>
      </c>
      <c r="M145" s="6">
        <f t="shared" si="277"/>
        <v>0</v>
      </c>
      <c r="N145" s="5">
        <f t="shared" si="278"/>
        <v>5400</v>
      </c>
      <c r="O145" s="21">
        <f t="shared" si="279"/>
        <v>0</v>
      </c>
      <c r="P145" s="2">
        <f t="shared" si="280"/>
        <v>0</v>
      </c>
      <c r="Q145" s="2">
        <f t="shared" si="281"/>
        <v>0</v>
      </c>
      <c r="R145" s="5">
        <f t="shared" si="282"/>
        <v>0</v>
      </c>
      <c r="S145" s="2">
        <f t="shared" si="283"/>
        <v>0</v>
      </c>
      <c r="T145" s="2">
        <f t="shared" si="284"/>
        <v>0</v>
      </c>
      <c r="U145" s="102">
        <f t="shared" si="285"/>
        <v>0</v>
      </c>
      <c r="V145" s="102">
        <f t="shared" si="286"/>
        <v>0</v>
      </c>
      <c r="W145" s="6">
        <f t="shared" si="287"/>
        <v>0</v>
      </c>
      <c r="X145" s="5">
        <f t="shared" si="288"/>
        <v>0</v>
      </c>
      <c r="Y145" s="6">
        <f t="shared" si="289"/>
        <v>0</v>
      </c>
      <c r="Z145" s="5" t="e">
        <f t="shared" si="290"/>
        <v>#DIV/0!</v>
      </c>
      <c r="AA145" s="21">
        <f t="shared" si="291"/>
        <v>0</v>
      </c>
      <c r="AB145" s="6">
        <f t="shared" si="292"/>
        <v>0</v>
      </c>
      <c r="AC145" s="5" t="e">
        <f t="shared" si="293"/>
        <v>#DIV/0!</v>
      </c>
      <c r="AD145" s="6">
        <f t="shared" si="294"/>
        <v>0</v>
      </c>
      <c r="AE145" s="5">
        <f t="shared" si="295"/>
        <v>0</v>
      </c>
      <c r="AF145" s="21">
        <f t="shared" si="296"/>
        <v>0</v>
      </c>
      <c r="AG145" s="6">
        <f t="shared" si="297"/>
        <v>0</v>
      </c>
      <c r="AH145" s="5">
        <f t="shared" si="298"/>
        <v>0</v>
      </c>
      <c r="AI145" s="21">
        <f t="shared" si="299"/>
        <v>0</v>
      </c>
      <c r="AJ145" s="6">
        <f t="shared" si="300"/>
        <v>0</v>
      </c>
      <c r="AK145" s="5">
        <f t="shared" si="301"/>
        <v>0</v>
      </c>
      <c r="AL145" s="21">
        <f t="shared" si="302"/>
        <v>0</v>
      </c>
      <c r="AM145" s="21">
        <f t="shared" si="303"/>
        <v>0</v>
      </c>
      <c r="AN145" s="6">
        <f t="shared" si="304"/>
        <v>0</v>
      </c>
      <c r="AO145" s="5">
        <f t="shared" si="305"/>
        <v>0</v>
      </c>
      <c r="AP145" s="6">
        <f t="shared" si="306"/>
        <v>0</v>
      </c>
      <c r="AQ145" s="5">
        <f t="shared" si="307"/>
        <v>0</v>
      </c>
      <c r="AR145" s="2">
        <f t="shared" si="308"/>
        <v>0</v>
      </c>
      <c r="AS145" s="5">
        <f t="shared" si="309"/>
        <v>0</v>
      </c>
      <c r="AT145" s="21">
        <f t="shared" si="310"/>
        <v>0</v>
      </c>
      <c r="AU145" s="20">
        <f t="shared" si="311"/>
        <v>0</v>
      </c>
      <c r="AV145" s="20">
        <f t="shared" si="312"/>
        <v>1</v>
      </c>
      <c r="AW145" s="199">
        <f t="shared" si="313"/>
        <v>0</v>
      </c>
      <c r="AX145" s="24">
        <f t="shared" si="314"/>
        <v>0</v>
      </c>
      <c r="AY145" s="5">
        <f t="shared" si="315"/>
        <v>0</v>
      </c>
      <c r="AZ145" s="5">
        <f t="shared" si="316"/>
        <v>0</v>
      </c>
      <c r="BA145" s="5">
        <f t="shared" si="317"/>
        <v>0</v>
      </c>
      <c r="BB145" s="5">
        <f t="shared" si="318"/>
        <v>0</v>
      </c>
      <c r="BC145" s="5">
        <f t="shared" si="319"/>
        <v>0</v>
      </c>
      <c r="BD145" s="5">
        <f t="shared" si="320"/>
        <v>0</v>
      </c>
      <c r="BE145" s="199">
        <f t="shared" si="321"/>
        <v>0</v>
      </c>
      <c r="BF145" s="21">
        <f t="shared" si="322"/>
        <v>0</v>
      </c>
      <c r="BG145" s="6">
        <f t="shared" si="323"/>
        <v>0</v>
      </c>
      <c r="BH145" s="5" t="e">
        <f t="shared" si="324"/>
        <v>#DIV/0!</v>
      </c>
      <c r="BI145" s="6">
        <f t="shared" si="325"/>
        <v>0</v>
      </c>
      <c r="BJ145" s="5" t="e">
        <f t="shared" si="326"/>
        <v>#DIV/0!</v>
      </c>
      <c r="BK145" s="20">
        <f t="shared" si="327"/>
        <v>-9.9999999999999998E-13</v>
      </c>
      <c r="BL145" s="20">
        <f t="shared" si="328"/>
        <v>0</v>
      </c>
      <c r="BM145" s="6">
        <f t="shared" si="329"/>
        <v>0</v>
      </c>
      <c r="BN145" s="5">
        <f t="shared" si="330"/>
        <v>0</v>
      </c>
      <c r="BO145" s="333">
        <f t="shared" si="331"/>
        <v>0</v>
      </c>
      <c r="BP145" s="334">
        <f t="shared" si="332"/>
        <v>0</v>
      </c>
      <c r="BQ145" s="6">
        <f t="shared" si="333"/>
        <v>0</v>
      </c>
      <c r="BR145" s="5">
        <f t="shared" si="334"/>
        <v>0</v>
      </c>
      <c r="BS145" s="6">
        <f t="shared" si="335"/>
        <v>0</v>
      </c>
      <c r="BT145" s="5">
        <f t="shared" si="336"/>
        <v>0</v>
      </c>
      <c r="BU145" s="181">
        <f t="shared" si="337"/>
        <v>0</v>
      </c>
      <c r="BV145" s="154">
        <f t="shared" si="338"/>
        <v>0</v>
      </c>
      <c r="BW145" s="181">
        <f t="shared" si="339"/>
        <v>0</v>
      </c>
      <c r="BX145" s="180">
        <f t="shared" si="340"/>
        <v>0</v>
      </c>
      <c r="BY145" s="181">
        <f t="shared" si="341"/>
        <v>0</v>
      </c>
      <c r="BZ145" s="154">
        <f t="shared" si="342"/>
        <v>0</v>
      </c>
      <c r="CA145" s="182">
        <f t="shared" si="343"/>
        <v>0</v>
      </c>
      <c r="CB145" s="2">
        <f t="shared" si="344"/>
        <v>0</v>
      </c>
      <c r="CC145" s="2">
        <f t="shared" si="345"/>
        <v>0</v>
      </c>
      <c r="CD145" s="2">
        <f t="shared" si="346"/>
        <v>0</v>
      </c>
      <c r="CE145" s="2">
        <f t="shared" si="347"/>
        <v>0</v>
      </c>
      <c r="CF145" s="6">
        <f t="shared" si="348"/>
        <v>0</v>
      </c>
      <c r="CG145" s="6">
        <f t="shared" si="349"/>
        <v>0</v>
      </c>
      <c r="CH145" s="6">
        <f t="shared" si="350"/>
        <v>0</v>
      </c>
      <c r="CI145" s="20">
        <f t="shared" si="351"/>
        <v>0</v>
      </c>
      <c r="CJ145" s="133">
        <f t="shared" si="352"/>
        <v>2521</v>
      </c>
      <c r="CK145" s="5">
        <f t="shared" si="353"/>
        <v>0</v>
      </c>
      <c r="CL145" s="302"/>
      <c r="CM145" s="298" t="s">
        <v>13</v>
      </c>
      <c r="CN145" s="298" t="s">
        <v>1390</v>
      </c>
      <c r="CO145" s="298">
        <v>18</v>
      </c>
      <c r="CP145" s="298" t="s">
        <v>1489</v>
      </c>
      <c r="CQ145" s="298" t="s">
        <v>1131</v>
      </c>
      <c r="CR145" s="298" t="s">
        <v>644</v>
      </c>
      <c r="CS145" s="298" t="s">
        <v>1443</v>
      </c>
      <c r="CT145" s="298" t="s">
        <v>593</v>
      </c>
      <c r="CU145" s="299">
        <v>47118</v>
      </c>
      <c r="CV145" s="298">
        <v>0</v>
      </c>
      <c r="CW145" s="298">
        <v>0</v>
      </c>
      <c r="CX145" s="298">
        <v>0</v>
      </c>
      <c r="CY145" s="298">
        <v>0</v>
      </c>
      <c r="CZ145" s="298">
        <v>0</v>
      </c>
      <c r="DA145" s="298">
        <v>0</v>
      </c>
      <c r="DB145" s="298">
        <v>0</v>
      </c>
      <c r="DC145" s="298">
        <v>0</v>
      </c>
      <c r="DD145" s="298">
        <v>0</v>
      </c>
      <c r="DE145" s="298">
        <v>0</v>
      </c>
      <c r="DF145" s="298">
        <v>0</v>
      </c>
      <c r="DG145" s="298">
        <v>0</v>
      </c>
      <c r="DH145" s="298">
        <v>0</v>
      </c>
      <c r="DI145" s="298">
        <v>0</v>
      </c>
      <c r="DJ145" s="298">
        <v>0</v>
      </c>
      <c r="DK145" s="298">
        <v>0</v>
      </c>
      <c r="DL145" s="298">
        <v>0</v>
      </c>
      <c r="DM145" s="298">
        <v>0</v>
      </c>
      <c r="DN145" s="298">
        <v>0</v>
      </c>
      <c r="DO145" s="298">
        <v>0</v>
      </c>
      <c r="DP145" s="298">
        <v>0</v>
      </c>
      <c r="DQ145" s="298">
        <v>0</v>
      </c>
      <c r="DR145" s="298">
        <v>0</v>
      </c>
      <c r="DS145" s="298">
        <v>0</v>
      </c>
      <c r="DT145" s="298">
        <v>0</v>
      </c>
      <c r="DU145" s="298">
        <v>0</v>
      </c>
      <c r="DV145" s="303" t="s">
        <v>548</v>
      </c>
    </row>
    <row r="146" spans="1:126" ht="24.95" customHeight="1" thickBot="1" x14ac:dyDescent="0.3">
      <c r="A146" s="29" t="str">
        <f t="shared" si="265"/>
        <v>145º</v>
      </c>
      <c r="B146" s="69" t="str">
        <f t="shared" si="267"/>
        <v>Marcio</v>
      </c>
      <c r="C146" s="269" t="str">
        <f t="shared" si="268"/>
        <v>BRA</v>
      </c>
      <c r="D146" s="99" t="str">
        <f t="shared" si="269"/>
        <v>Pé Direito</v>
      </c>
      <c r="E146" s="28" t="str">
        <f t="shared" si="270"/>
        <v>Novo Hamburgo</v>
      </c>
      <c r="F146" s="169">
        <f t="shared" si="271"/>
        <v>18</v>
      </c>
      <c r="G146" s="2" t="str">
        <f t="shared" si="272"/>
        <v>0 €</v>
      </c>
      <c r="H146" s="154">
        <f t="shared" si="273"/>
        <v>1.94</v>
      </c>
      <c r="I146" s="64">
        <f t="shared" si="274"/>
        <v>47118</v>
      </c>
      <c r="J146" s="304" t="str">
        <f t="shared" si="275"/>
        <v>525 € p/m</v>
      </c>
      <c r="K146" s="96">
        <f t="shared" si="266"/>
        <v>3.5222222222222221</v>
      </c>
      <c r="L146" s="146">
        <f t="shared" si="276"/>
        <v>2.4444444444444446</v>
      </c>
      <c r="M146" s="6">
        <f t="shared" si="277"/>
        <v>0</v>
      </c>
      <c r="N146" s="5">
        <f t="shared" si="278"/>
        <v>5400</v>
      </c>
      <c r="O146" s="21">
        <f t="shared" si="279"/>
        <v>0</v>
      </c>
      <c r="P146" s="2">
        <f t="shared" si="280"/>
        <v>100</v>
      </c>
      <c r="Q146" s="2">
        <f t="shared" si="281"/>
        <v>61</v>
      </c>
      <c r="R146" s="5">
        <f t="shared" si="282"/>
        <v>24.954545454545453</v>
      </c>
      <c r="S146" s="2">
        <f t="shared" si="283"/>
        <v>39</v>
      </c>
      <c r="T146" s="2">
        <f t="shared" si="284"/>
        <v>22</v>
      </c>
      <c r="U146" s="102">
        <f t="shared" si="285"/>
        <v>0.39</v>
      </c>
      <c r="V146" s="102">
        <f t="shared" si="286"/>
        <v>0.61</v>
      </c>
      <c r="W146" s="6">
        <f t="shared" si="287"/>
        <v>100</v>
      </c>
      <c r="X146" s="5">
        <f t="shared" si="288"/>
        <v>40.909090909090907</v>
      </c>
      <c r="Y146" s="6">
        <f t="shared" si="289"/>
        <v>0</v>
      </c>
      <c r="Z146" s="5">
        <f t="shared" si="290"/>
        <v>0</v>
      </c>
      <c r="AA146" s="21">
        <f t="shared" si="291"/>
        <v>0</v>
      </c>
      <c r="AB146" s="6">
        <f t="shared" si="292"/>
        <v>0</v>
      </c>
      <c r="AC146" s="5">
        <f t="shared" si="293"/>
        <v>0</v>
      </c>
      <c r="AD146" s="6">
        <f t="shared" si="294"/>
        <v>2</v>
      </c>
      <c r="AE146" s="5">
        <f t="shared" si="295"/>
        <v>0.81818181818181812</v>
      </c>
      <c r="AF146" s="21">
        <f t="shared" si="296"/>
        <v>0.18181818181818182</v>
      </c>
      <c r="AG146" s="6">
        <f t="shared" si="297"/>
        <v>2</v>
      </c>
      <c r="AH146" s="5">
        <f t="shared" si="298"/>
        <v>0.81818181818181812</v>
      </c>
      <c r="AI146" s="21">
        <f t="shared" si="299"/>
        <v>0.18181818181818182</v>
      </c>
      <c r="AJ146" s="6">
        <f t="shared" si="300"/>
        <v>7</v>
      </c>
      <c r="AK146" s="5">
        <f t="shared" si="301"/>
        <v>0.28051001821493626</v>
      </c>
      <c r="AL146" s="21">
        <f t="shared" si="302"/>
        <v>0.63636363636363635</v>
      </c>
      <c r="AM146" s="21">
        <f t="shared" si="303"/>
        <v>1.2272727272727271</v>
      </c>
      <c r="AN146" s="6">
        <f t="shared" si="304"/>
        <v>3</v>
      </c>
      <c r="AO146" s="5">
        <f t="shared" si="305"/>
        <v>1.2272727272727271</v>
      </c>
      <c r="AP146" s="6">
        <f t="shared" si="306"/>
        <v>11</v>
      </c>
      <c r="AQ146" s="5">
        <f t="shared" si="307"/>
        <v>4.5</v>
      </c>
      <c r="AR146" s="2">
        <f t="shared" si="308"/>
        <v>15</v>
      </c>
      <c r="AS146" s="5">
        <f t="shared" si="309"/>
        <v>6.1363636363636358</v>
      </c>
      <c r="AT146" s="21">
        <f t="shared" si="310"/>
        <v>0.73333333333333328</v>
      </c>
      <c r="AU146" s="20">
        <f t="shared" si="311"/>
        <v>0.69230769230769229</v>
      </c>
      <c r="AV146" s="20">
        <f t="shared" si="312"/>
        <v>0.26666666666666666</v>
      </c>
      <c r="AW146" s="199">
        <f t="shared" si="313"/>
        <v>1.1000000000000001</v>
      </c>
      <c r="AX146" s="24">
        <f t="shared" si="314"/>
        <v>55</v>
      </c>
      <c r="AY146" s="5">
        <f t="shared" si="315"/>
        <v>3.75</v>
      </c>
      <c r="AZ146" s="5">
        <f t="shared" si="316"/>
        <v>3.25</v>
      </c>
      <c r="BA146" s="5">
        <f t="shared" si="317"/>
        <v>-0.06</v>
      </c>
      <c r="BB146" s="5">
        <f t="shared" si="318"/>
        <v>-2.4545454545454544E-2</v>
      </c>
      <c r="BC146" s="5">
        <f t="shared" si="319"/>
        <v>-0.06</v>
      </c>
      <c r="BD146" s="5">
        <f t="shared" si="320"/>
        <v>-2.4545454545454544E-2</v>
      </c>
      <c r="BE146" s="199">
        <f t="shared" si="321"/>
        <v>-0.02</v>
      </c>
      <c r="BF146" s="21">
        <f t="shared" si="322"/>
        <v>-1.5228426395939085E-2</v>
      </c>
      <c r="BG146" s="6">
        <f t="shared" si="323"/>
        <v>0</v>
      </c>
      <c r="BH146" s="5">
        <f t="shared" si="324"/>
        <v>0</v>
      </c>
      <c r="BI146" s="6">
        <f t="shared" si="325"/>
        <v>0</v>
      </c>
      <c r="BJ146" s="5">
        <f t="shared" si="326"/>
        <v>0</v>
      </c>
      <c r="BK146" s="20">
        <f t="shared" si="327"/>
        <v>-9.9999999999999998E-13</v>
      </c>
      <c r="BL146" s="20">
        <f t="shared" si="328"/>
        <v>2.6972353337828725E-3</v>
      </c>
      <c r="BM146" s="6">
        <f t="shared" si="329"/>
        <v>4</v>
      </c>
      <c r="BN146" s="5">
        <f t="shared" si="330"/>
        <v>1.6363636363636362</v>
      </c>
      <c r="BO146" s="333">
        <f t="shared" si="331"/>
        <v>0</v>
      </c>
      <c r="BP146" s="334">
        <f t="shared" si="332"/>
        <v>0</v>
      </c>
      <c r="BQ146" s="6">
        <f t="shared" si="333"/>
        <v>0.97777777777777786</v>
      </c>
      <c r="BR146" s="5">
        <f t="shared" si="334"/>
        <v>0.4</v>
      </c>
      <c r="BS146" s="6">
        <f t="shared" si="335"/>
        <v>18.088888888888892</v>
      </c>
      <c r="BT146" s="5">
        <f t="shared" si="336"/>
        <v>7.4</v>
      </c>
      <c r="BU146" s="181">
        <f t="shared" si="337"/>
        <v>0</v>
      </c>
      <c r="BV146" s="154">
        <f t="shared" si="338"/>
        <v>0</v>
      </c>
      <c r="BW146" s="181">
        <f t="shared" si="339"/>
        <v>0</v>
      </c>
      <c r="BX146" s="180">
        <f t="shared" si="340"/>
        <v>0</v>
      </c>
      <c r="BY146" s="181">
        <f t="shared" si="341"/>
        <v>0</v>
      </c>
      <c r="BZ146" s="154">
        <f t="shared" si="342"/>
        <v>0</v>
      </c>
      <c r="CA146" s="182">
        <f t="shared" si="343"/>
        <v>0</v>
      </c>
      <c r="CB146" s="2">
        <f t="shared" si="344"/>
        <v>0</v>
      </c>
      <c r="CC146" s="2">
        <f t="shared" si="345"/>
        <v>0</v>
      </c>
      <c r="CD146" s="2">
        <f t="shared" si="346"/>
        <v>0</v>
      </c>
      <c r="CE146" s="2">
        <f t="shared" si="347"/>
        <v>0</v>
      </c>
      <c r="CF146" s="6">
        <f t="shared" si="348"/>
        <v>0</v>
      </c>
      <c r="CG146" s="6">
        <f t="shared" si="349"/>
        <v>130.84199999999998</v>
      </c>
      <c r="CH146" s="6">
        <f t="shared" si="350"/>
        <v>72</v>
      </c>
      <c r="CI146" s="20">
        <f t="shared" si="351"/>
        <v>0.55028201953501177</v>
      </c>
      <c r="CJ146" s="133">
        <f t="shared" si="352"/>
        <v>2521</v>
      </c>
      <c r="CK146" s="5">
        <f t="shared" si="353"/>
        <v>6.33</v>
      </c>
      <c r="CL146" s="300" t="s">
        <v>1235</v>
      </c>
      <c r="CM146" s="296" t="s">
        <v>13</v>
      </c>
      <c r="CN146" s="296" t="s">
        <v>1490</v>
      </c>
      <c r="CO146" s="296">
        <v>18</v>
      </c>
      <c r="CP146" s="296" t="s">
        <v>1491</v>
      </c>
      <c r="CQ146" s="296" t="s">
        <v>1131</v>
      </c>
      <c r="CR146" s="296" t="s">
        <v>644</v>
      </c>
      <c r="CS146" s="296" t="s">
        <v>1322</v>
      </c>
      <c r="CT146" s="296" t="s">
        <v>910</v>
      </c>
      <c r="CU146" s="297">
        <v>47118</v>
      </c>
      <c r="CV146" s="296">
        <v>0</v>
      </c>
      <c r="CW146" s="296">
        <v>220</v>
      </c>
      <c r="CX146" s="296">
        <v>4</v>
      </c>
      <c r="CY146" s="296">
        <v>2</v>
      </c>
      <c r="CZ146" s="296">
        <v>2</v>
      </c>
      <c r="DA146" s="296">
        <v>7</v>
      </c>
      <c r="DB146" s="296">
        <v>0</v>
      </c>
      <c r="DC146" s="296">
        <v>0.4</v>
      </c>
      <c r="DD146" s="296">
        <v>7.4</v>
      </c>
      <c r="DE146" s="296">
        <v>3</v>
      </c>
      <c r="DF146" s="296">
        <v>0</v>
      </c>
      <c r="DG146" s="296">
        <v>0</v>
      </c>
      <c r="DH146" s="296">
        <v>0</v>
      </c>
      <c r="DI146" s="296">
        <v>0</v>
      </c>
      <c r="DJ146" s="296">
        <v>0</v>
      </c>
      <c r="DK146" s="296">
        <v>0</v>
      </c>
      <c r="DL146" s="296">
        <v>100</v>
      </c>
      <c r="DM146" s="296">
        <v>61</v>
      </c>
      <c r="DN146" s="296" t="s">
        <v>1183</v>
      </c>
      <c r="DO146" s="296">
        <v>0</v>
      </c>
      <c r="DP146" s="296">
        <v>0</v>
      </c>
      <c r="DQ146" s="296">
        <v>0</v>
      </c>
      <c r="DR146" s="296">
        <v>0</v>
      </c>
      <c r="DS146" s="296">
        <v>0</v>
      </c>
      <c r="DT146" s="296">
        <v>0</v>
      </c>
      <c r="DU146" s="296">
        <v>0</v>
      </c>
      <c r="DV146" s="301">
        <v>6.33</v>
      </c>
    </row>
    <row r="147" spans="1:126" ht="24.95" customHeight="1" thickBot="1" x14ac:dyDescent="0.3">
      <c r="A147" s="29" t="str">
        <f t="shared" si="265"/>
        <v>146º</v>
      </c>
      <c r="B147" s="69" t="str">
        <f t="shared" si="267"/>
        <v>João António</v>
      </c>
      <c r="C147" s="269" t="str">
        <f t="shared" si="268"/>
        <v>BRA</v>
      </c>
      <c r="D147" s="99" t="str">
        <f t="shared" si="269"/>
        <v>Pé Direito</v>
      </c>
      <c r="E147" s="28" t="str">
        <f t="shared" si="270"/>
        <v>Guarani de Palhoça</v>
      </c>
      <c r="F147" s="169">
        <f t="shared" si="271"/>
        <v>17</v>
      </c>
      <c r="G147" s="2" t="str">
        <f t="shared" si="272"/>
        <v>0 €</v>
      </c>
      <c r="H147" s="154">
        <f t="shared" si="273"/>
        <v>1.84</v>
      </c>
      <c r="I147" s="64">
        <f t="shared" si="274"/>
        <v>47483</v>
      </c>
      <c r="J147" s="304" t="str">
        <f t="shared" si="275"/>
        <v>180 € p/m</v>
      </c>
      <c r="K147" s="96">
        <f t="shared" si="266"/>
        <v>3.5222222222222221</v>
      </c>
      <c r="L147" s="146">
        <f t="shared" si="276"/>
        <v>0</v>
      </c>
      <c r="M147" s="6">
        <f t="shared" si="277"/>
        <v>0</v>
      </c>
      <c r="N147" s="5">
        <f t="shared" si="278"/>
        <v>5400</v>
      </c>
      <c r="O147" s="21">
        <f t="shared" si="279"/>
        <v>0</v>
      </c>
      <c r="P147" s="2">
        <f t="shared" si="280"/>
        <v>0</v>
      </c>
      <c r="Q147" s="2">
        <f t="shared" si="281"/>
        <v>0</v>
      </c>
      <c r="R147" s="5">
        <f t="shared" si="282"/>
        <v>0</v>
      </c>
      <c r="S147" s="2">
        <f t="shared" si="283"/>
        <v>0</v>
      </c>
      <c r="T147" s="2">
        <f t="shared" si="284"/>
        <v>0</v>
      </c>
      <c r="U147" s="102">
        <f t="shared" si="285"/>
        <v>0</v>
      </c>
      <c r="V147" s="102">
        <f t="shared" si="286"/>
        <v>0</v>
      </c>
      <c r="W147" s="6">
        <f t="shared" si="287"/>
        <v>0</v>
      </c>
      <c r="X147" s="5">
        <f t="shared" si="288"/>
        <v>0</v>
      </c>
      <c r="Y147" s="6">
        <f t="shared" si="289"/>
        <v>0</v>
      </c>
      <c r="Z147" s="5" t="e">
        <f t="shared" si="290"/>
        <v>#DIV/0!</v>
      </c>
      <c r="AA147" s="21">
        <f t="shared" si="291"/>
        <v>0</v>
      </c>
      <c r="AB147" s="6">
        <f t="shared" si="292"/>
        <v>0</v>
      </c>
      <c r="AC147" s="5" t="e">
        <f t="shared" si="293"/>
        <v>#DIV/0!</v>
      </c>
      <c r="AD147" s="6">
        <f t="shared" si="294"/>
        <v>0</v>
      </c>
      <c r="AE147" s="5">
        <f t="shared" si="295"/>
        <v>0</v>
      </c>
      <c r="AF147" s="21">
        <f t="shared" si="296"/>
        <v>0</v>
      </c>
      <c r="AG147" s="6">
        <f t="shared" si="297"/>
        <v>0</v>
      </c>
      <c r="AH147" s="5">
        <f t="shared" si="298"/>
        <v>0</v>
      </c>
      <c r="AI147" s="21">
        <f t="shared" si="299"/>
        <v>0</v>
      </c>
      <c r="AJ147" s="6">
        <f t="shared" si="300"/>
        <v>0</v>
      </c>
      <c r="AK147" s="5">
        <f t="shared" si="301"/>
        <v>0</v>
      </c>
      <c r="AL147" s="21">
        <f t="shared" si="302"/>
        <v>0</v>
      </c>
      <c r="AM147" s="21">
        <f t="shared" si="303"/>
        <v>0</v>
      </c>
      <c r="AN147" s="6">
        <f t="shared" si="304"/>
        <v>0</v>
      </c>
      <c r="AO147" s="5">
        <f t="shared" si="305"/>
        <v>0</v>
      </c>
      <c r="AP147" s="6">
        <f t="shared" si="306"/>
        <v>0</v>
      </c>
      <c r="AQ147" s="5">
        <f t="shared" si="307"/>
        <v>0</v>
      </c>
      <c r="AR147" s="2">
        <f t="shared" si="308"/>
        <v>0</v>
      </c>
      <c r="AS147" s="5">
        <f t="shared" si="309"/>
        <v>0</v>
      </c>
      <c r="AT147" s="21">
        <f t="shared" si="310"/>
        <v>0</v>
      </c>
      <c r="AU147" s="20">
        <f t="shared" si="311"/>
        <v>0</v>
      </c>
      <c r="AV147" s="20">
        <f t="shared" si="312"/>
        <v>1</v>
      </c>
      <c r="AW147" s="199">
        <f t="shared" si="313"/>
        <v>0</v>
      </c>
      <c r="AX147" s="24">
        <f t="shared" si="314"/>
        <v>0</v>
      </c>
      <c r="AY147" s="5">
        <f t="shared" si="315"/>
        <v>0</v>
      </c>
      <c r="AZ147" s="5">
        <f t="shared" si="316"/>
        <v>0</v>
      </c>
      <c r="BA147" s="5">
        <f t="shared" si="317"/>
        <v>0</v>
      </c>
      <c r="BB147" s="5">
        <f t="shared" si="318"/>
        <v>0</v>
      </c>
      <c r="BC147" s="5">
        <f t="shared" si="319"/>
        <v>0</v>
      </c>
      <c r="BD147" s="5">
        <f t="shared" si="320"/>
        <v>0</v>
      </c>
      <c r="BE147" s="199">
        <f t="shared" si="321"/>
        <v>0</v>
      </c>
      <c r="BF147" s="21">
        <f t="shared" si="322"/>
        <v>0</v>
      </c>
      <c r="BG147" s="6">
        <f t="shared" si="323"/>
        <v>0</v>
      </c>
      <c r="BH147" s="5" t="e">
        <f t="shared" si="324"/>
        <v>#DIV/0!</v>
      </c>
      <c r="BI147" s="6">
        <f t="shared" si="325"/>
        <v>0</v>
      </c>
      <c r="BJ147" s="5" t="e">
        <f t="shared" si="326"/>
        <v>#DIV/0!</v>
      </c>
      <c r="BK147" s="20">
        <f t="shared" si="327"/>
        <v>-9.9999999999999998E-13</v>
      </c>
      <c r="BL147" s="20">
        <f t="shared" si="328"/>
        <v>0</v>
      </c>
      <c r="BM147" s="6">
        <f t="shared" si="329"/>
        <v>0</v>
      </c>
      <c r="BN147" s="5">
        <f t="shared" si="330"/>
        <v>0</v>
      </c>
      <c r="BO147" s="333">
        <f t="shared" si="331"/>
        <v>0</v>
      </c>
      <c r="BP147" s="334">
        <f t="shared" si="332"/>
        <v>0</v>
      </c>
      <c r="BQ147" s="6">
        <f t="shared" si="333"/>
        <v>0</v>
      </c>
      <c r="BR147" s="5">
        <f t="shared" si="334"/>
        <v>0</v>
      </c>
      <c r="BS147" s="6">
        <f t="shared" si="335"/>
        <v>0</v>
      </c>
      <c r="BT147" s="5">
        <f t="shared" si="336"/>
        <v>0</v>
      </c>
      <c r="BU147" s="181">
        <f t="shared" si="337"/>
        <v>0</v>
      </c>
      <c r="BV147" s="154">
        <f t="shared" si="338"/>
        <v>0</v>
      </c>
      <c r="BW147" s="181">
        <f t="shared" si="339"/>
        <v>0</v>
      </c>
      <c r="BX147" s="180">
        <f t="shared" si="340"/>
        <v>0</v>
      </c>
      <c r="BY147" s="181">
        <f t="shared" si="341"/>
        <v>0</v>
      </c>
      <c r="BZ147" s="154">
        <f t="shared" si="342"/>
        <v>0</v>
      </c>
      <c r="CA147" s="182">
        <f t="shared" si="343"/>
        <v>0</v>
      </c>
      <c r="CB147" s="2">
        <f t="shared" si="344"/>
        <v>0</v>
      </c>
      <c r="CC147" s="2">
        <f t="shared" si="345"/>
        <v>0</v>
      </c>
      <c r="CD147" s="2">
        <f t="shared" si="346"/>
        <v>0</v>
      </c>
      <c r="CE147" s="2">
        <f t="shared" si="347"/>
        <v>0</v>
      </c>
      <c r="CF147" s="6">
        <f t="shared" si="348"/>
        <v>0</v>
      </c>
      <c r="CG147" s="6">
        <f t="shared" si="349"/>
        <v>0</v>
      </c>
      <c r="CH147" s="6">
        <f t="shared" si="350"/>
        <v>0</v>
      </c>
      <c r="CI147" s="20">
        <f t="shared" si="351"/>
        <v>0</v>
      </c>
      <c r="CJ147" s="133">
        <f t="shared" si="352"/>
        <v>2521</v>
      </c>
      <c r="CK147" s="5">
        <f t="shared" si="353"/>
        <v>0</v>
      </c>
      <c r="CL147" s="302" t="s">
        <v>1486</v>
      </c>
      <c r="CM147" s="298" t="s">
        <v>13</v>
      </c>
      <c r="CN147" s="298" t="s">
        <v>1492</v>
      </c>
      <c r="CO147" s="298">
        <v>17</v>
      </c>
      <c r="CP147" s="298" t="s">
        <v>1493</v>
      </c>
      <c r="CQ147" s="298" t="s">
        <v>1131</v>
      </c>
      <c r="CR147" s="298" t="s">
        <v>644</v>
      </c>
      <c r="CS147" s="298" t="s">
        <v>1432</v>
      </c>
      <c r="CT147" s="298" t="s">
        <v>574</v>
      </c>
      <c r="CU147" s="299">
        <v>47483</v>
      </c>
      <c r="CV147" s="298">
        <v>0</v>
      </c>
      <c r="CW147" s="298">
        <v>0</v>
      </c>
      <c r="CX147" s="298">
        <v>0</v>
      </c>
      <c r="CY147" s="298">
        <v>0</v>
      </c>
      <c r="CZ147" s="298">
        <v>0</v>
      </c>
      <c r="DA147" s="298">
        <v>0</v>
      </c>
      <c r="DB147" s="298">
        <v>0</v>
      </c>
      <c r="DC147" s="298">
        <v>0</v>
      </c>
      <c r="DD147" s="298">
        <v>0</v>
      </c>
      <c r="DE147" s="298">
        <v>0</v>
      </c>
      <c r="DF147" s="298">
        <v>0</v>
      </c>
      <c r="DG147" s="298">
        <v>0</v>
      </c>
      <c r="DH147" s="298">
        <v>0</v>
      </c>
      <c r="DI147" s="298">
        <v>0</v>
      </c>
      <c r="DJ147" s="298">
        <v>0</v>
      </c>
      <c r="DK147" s="298">
        <v>0</v>
      </c>
      <c r="DL147" s="298">
        <v>0</v>
      </c>
      <c r="DM147" s="298">
        <v>0</v>
      </c>
      <c r="DN147" s="298">
        <v>0</v>
      </c>
      <c r="DO147" s="298">
        <v>0</v>
      </c>
      <c r="DP147" s="298">
        <v>0</v>
      </c>
      <c r="DQ147" s="298">
        <v>0</v>
      </c>
      <c r="DR147" s="298">
        <v>0</v>
      </c>
      <c r="DS147" s="298">
        <v>0</v>
      </c>
      <c r="DT147" s="298">
        <v>0</v>
      </c>
      <c r="DU147" s="298">
        <v>0</v>
      </c>
      <c r="DV147" s="303" t="s">
        <v>548</v>
      </c>
    </row>
    <row r="148" spans="1:126" ht="24.95" customHeight="1" thickBot="1" x14ac:dyDescent="0.3">
      <c r="A148" s="29" t="str">
        <f t="shared" si="265"/>
        <v>147º</v>
      </c>
      <c r="B148" s="69" t="str">
        <f t="shared" si="267"/>
        <v>Gustavo</v>
      </c>
      <c r="C148" s="269" t="str">
        <f t="shared" si="268"/>
        <v>BRA</v>
      </c>
      <c r="D148" s="99" t="str">
        <f t="shared" si="269"/>
        <v>Somente Pé Direito</v>
      </c>
      <c r="E148" s="28" t="str">
        <f t="shared" si="270"/>
        <v>Camboriú</v>
      </c>
      <c r="F148" s="169">
        <f t="shared" si="271"/>
        <v>17</v>
      </c>
      <c r="G148" s="2" t="str">
        <f t="shared" si="272"/>
        <v>0 €</v>
      </c>
      <c r="H148" s="154">
        <f t="shared" si="273"/>
        <v>1.87</v>
      </c>
      <c r="I148" s="64">
        <f t="shared" si="274"/>
        <v>47118</v>
      </c>
      <c r="J148" s="304" t="str">
        <f t="shared" si="275"/>
        <v>450 € p/m</v>
      </c>
      <c r="K148" s="96">
        <f t="shared" si="266"/>
        <v>3.5222222222222221</v>
      </c>
      <c r="L148" s="146">
        <f t="shared" si="276"/>
        <v>0</v>
      </c>
      <c r="M148" s="6">
        <f t="shared" si="277"/>
        <v>0</v>
      </c>
      <c r="N148" s="5">
        <f t="shared" si="278"/>
        <v>5400</v>
      </c>
      <c r="O148" s="21">
        <f t="shared" si="279"/>
        <v>0</v>
      </c>
      <c r="P148" s="2">
        <f t="shared" si="280"/>
        <v>0</v>
      </c>
      <c r="Q148" s="2">
        <f t="shared" si="281"/>
        <v>0</v>
      </c>
      <c r="R148" s="5">
        <f t="shared" si="282"/>
        <v>0</v>
      </c>
      <c r="S148" s="2">
        <f t="shared" si="283"/>
        <v>0</v>
      </c>
      <c r="T148" s="2">
        <f t="shared" si="284"/>
        <v>0</v>
      </c>
      <c r="U148" s="102">
        <f t="shared" si="285"/>
        <v>0</v>
      </c>
      <c r="V148" s="102">
        <f t="shared" si="286"/>
        <v>0</v>
      </c>
      <c r="W148" s="6">
        <f t="shared" si="287"/>
        <v>0</v>
      </c>
      <c r="X148" s="5">
        <f t="shared" si="288"/>
        <v>0</v>
      </c>
      <c r="Y148" s="6">
        <f t="shared" si="289"/>
        <v>0</v>
      </c>
      <c r="Z148" s="5" t="e">
        <f t="shared" si="290"/>
        <v>#DIV/0!</v>
      </c>
      <c r="AA148" s="21">
        <f t="shared" si="291"/>
        <v>0</v>
      </c>
      <c r="AB148" s="6">
        <f t="shared" si="292"/>
        <v>0</v>
      </c>
      <c r="AC148" s="5" t="e">
        <f t="shared" si="293"/>
        <v>#DIV/0!</v>
      </c>
      <c r="AD148" s="6">
        <f t="shared" si="294"/>
        <v>0</v>
      </c>
      <c r="AE148" s="5">
        <f t="shared" si="295"/>
        <v>0</v>
      </c>
      <c r="AF148" s="21">
        <f t="shared" si="296"/>
        <v>0</v>
      </c>
      <c r="AG148" s="6">
        <f t="shared" si="297"/>
        <v>0</v>
      </c>
      <c r="AH148" s="5">
        <f t="shared" si="298"/>
        <v>0</v>
      </c>
      <c r="AI148" s="21">
        <f t="shared" si="299"/>
        <v>0</v>
      </c>
      <c r="AJ148" s="6">
        <f t="shared" si="300"/>
        <v>0</v>
      </c>
      <c r="AK148" s="5">
        <f t="shared" si="301"/>
        <v>0</v>
      </c>
      <c r="AL148" s="21">
        <f t="shared" si="302"/>
        <v>0</v>
      </c>
      <c r="AM148" s="21">
        <f t="shared" si="303"/>
        <v>0</v>
      </c>
      <c r="AN148" s="6">
        <f t="shared" si="304"/>
        <v>0</v>
      </c>
      <c r="AO148" s="5">
        <f t="shared" si="305"/>
        <v>0</v>
      </c>
      <c r="AP148" s="6">
        <f t="shared" si="306"/>
        <v>0</v>
      </c>
      <c r="AQ148" s="5">
        <f t="shared" si="307"/>
        <v>0</v>
      </c>
      <c r="AR148" s="2">
        <f t="shared" si="308"/>
        <v>0</v>
      </c>
      <c r="AS148" s="5">
        <f t="shared" si="309"/>
        <v>0</v>
      </c>
      <c r="AT148" s="21">
        <f t="shared" si="310"/>
        <v>0</v>
      </c>
      <c r="AU148" s="20">
        <f t="shared" si="311"/>
        <v>0</v>
      </c>
      <c r="AV148" s="20">
        <f t="shared" si="312"/>
        <v>1</v>
      </c>
      <c r="AW148" s="199">
        <f t="shared" si="313"/>
        <v>0</v>
      </c>
      <c r="AX148" s="24">
        <f t="shared" si="314"/>
        <v>0</v>
      </c>
      <c r="AY148" s="5">
        <f t="shared" si="315"/>
        <v>0</v>
      </c>
      <c r="AZ148" s="5">
        <f t="shared" si="316"/>
        <v>0</v>
      </c>
      <c r="BA148" s="5">
        <f t="shared" si="317"/>
        <v>0</v>
      </c>
      <c r="BB148" s="5">
        <f t="shared" si="318"/>
        <v>0</v>
      </c>
      <c r="BC148" s="5">
        <f t="shared" si="319"/>
        <v>0</v>
      </c>
      <c r="BD148" s="5">
        <f t="shared" si="320"/>
        <v>0</v>
      </c>
      <c r="BE148" s="199">
        <f t="shared" si="321"/>
        <v>0</v>
      </c>
      <c r="BF148" s="21">
        <f t="shared" si="322"/>
        <v>0</v>
      </c>
      <c r="BG148" s="6">
        <f t="shared" si="323"/>
        <v>0</v>
      </c>
      <c r="BH148" s="5" t="e">
        <f t="shared" si="324"/>
        <v>#DIV/0!</v>
      </c>
      <c r="BI148" s="6">
        <f t="shared" si="325"/>
        <v>0</v>
      </c>
      <c r="BJ148" s="5" t="e">
        <f t="shared" si="326"/>
        <v>#DIV/0!</v>
      </c>
      <c r="BK148" s="20">
        <f t="shared" si="327"/>
        <v>-9.9999999999999998E-13</v>
      </c>
      <c r="BL148" s="20">
        <f t="shared" si="328"/>
        <v>0</v>
      </c>
      <c r="BM148" s="6">
        <f t="shared" si="329"/>
        <v>0</v>
      </c>
      <c r="BN148" s="5">
        <f t="shared" si="330"/>
        <v>0</v>
      </c>
      <c r="BO148" s="333">
        <f t="shared" si="331"/>
        <v>0</v>
      </c>
      <c r="BP148" s="334">
        <f t="shared" si="332"/>
        <v>0</v>
      </c>
      <c r="BQ148" s="6">
        <f t="shared" si="333"/>
        <v>0</v>
      </c>
      <c r="BR148" s="5">
        <f t="shared" si="334"/>
        <v>0</v>
      </c>
      <c r="BS148" s="6">
        <f t="shared" si="335"/>
        <v>0</v>
      </c>
      <c r="BT148" s="5">
        <f t="shared" si="336"/>
        <v>0</v>
      </c>
      <c r="BU148" s="181">
        <f t="shared" si="337"/>
        <v>0</v>
      </c>
      <c r="BV148" s="154">
        <f t="shared" si="338"/>
        <v>0</v>
      </c>
      <c r="BW148" s="181">
        <f t="shared" si="339"/>
        <v>0</v>
      </c>
      <c r="BX148" s="180">
        <f t="shared" si="340"/>
        <v>0</v>
      </c>
      <c r="BY148" s="181">
        <f t="shared" si="341"/>
        <v>0</v>
      </c>
      <c r="BZ148" s="154">
        <f t="shared" si="342"/>
        <v>0</v>
      </c>
      <c r="CA148" s="182">
        <f t="shared" si="343"/>
        <v>0</v>
      </c>
      <c r="CB148" s="2">
        <f t="shared" si="344"/>
        <v>0</v>
      </c>
      <c r="CC148" s="2">
        <f t="shared" si="345"/>
        <v>0</v>
      </c>
      <c r="CD148" s="2">
        <f t="shared" si="346"/>
        <v>0</v>
      </c>
      <c r="CE148" s="2">
        <f t="shared" si="347"/>
        <v>0</v>
      </c>
      <c r="CF148" s="6">
        <f t="shared" si="348"/>
        <v>0</v>
      </c>
      <c r="CG148" s="6">
        <f t="shared" si="349"/>
        <v>0</v>
      </c>
      <c r="CH148" s="6">
        <f t="shared" si="350"/>
        <v>0</v>
      </c>
      <c r="CI148" s="20">
        <f t="shared" si="351"/>
        <v>0</v>
      </c>
      <c r="CJ148" s="133">
        <f t="shared" si="352"/>
        <v>2521</v>
      </c>
      <c r="CK148" s="5">
        <f t="shared" si="353"/>
        <v>0</v>
      </c>
      <c r="CL148" s="300"/>
      <c r="CM148" s="296" t="s">
        <v>13</v>
      </c>
      <c r="CN148" s="296" t="s">
        <v>1494</v>
      </c>
      <c r="CO148" s="296">
        <v>17</v>
      </c>
      <c r="CP148" s="296" t="s">
        <v>1495</v>
      </c>
      <c r="CQ148" s="296" t="s">
        <v>1131</v>
      </c>
      <c r="CR148" s="296" t="s">
        <v>645</v>
      </c>
      <c r="CS148" s="296" t="s">
        <v>1317</v>
      </c>
      <c r="CT148" s="296" t="s">
        <v>911</v>
      </c>
      <c r="CU148" s="297">
        <v>47118</v>
      </c>
      <c r="CV148" s="296">
        <v>0</v>
      </c>
      <c r="CW148" s="296">
        <v>0</v>
      </c>
      <c r="CX148" s="296">
        <v>0</v>
      </c>
      <c r="CY148" s="296">
        <v>0</v>
      </c>
      <c r="CZ148" s="296">
        <v>0</v>
      </c>
      <c r="DA148" s="296">
        <v>0</v>
      </c>
      <c r="DB148" s="296">
        <v>0</v>
      </c>
      <c r="DC148" s="296">
        <v>0</v>
      </c>
      <c r="DD148" s="296">
        <v>0</v>
      </c>
      <c r="DE148" s="296">
        <v>0</v>
      </c>
      <c r="DF148" s="296">
        <v>0</v>
      </c>
      <c r="DG148" s="296">
        <v>0</v>
      </c>
      <c r="DH148" s="296">
        <v>0</v>
      </c>
      <c r="DI148" s="296">
        <v>0</v>
      </c>
      <c r="DJ148" s="296">
        <v>0</v>
      </c>
      <c r="DK148" s="296">
        <v>0</v>
      </c>
      <c r="DL148" s="296">
        <v>0</v>
      </c>
      <c r="DM148" s="296">
        <v>0</v>
      </c>
      <c r="DN148" s="296">
        <v>0</v>
      </c>
      <c r="DO148" s="296">
        <v>0</v>
      </c>
      <c r="DP148" s="296">
        <v>0</v>
      </c>
      <c r="DQ148" s="296">
        <v>0</v>
      </c>
      <c r="DR148" s="296">
        <v>0</v>
      </c>
      <c r="DS148" s="296">
        <v>0</v>
      </c>
      <c r="DT148" s="296">
        <v>0</v>
      </c>
      <c r="DU148" s="296">
        <v>0</v>
      </c>
      <c r="DV148" s="301" t="s">
        <v>548</v>
      </c>
    </row>
    <row r="149" spans="1:126" ht="24.95" customHeight="1" thickBot="1" x14ac:dyDescent="0.3">
      <c r="A149" s="29" t="str">
        <f t="shared" si="265"/>
        <v>148º</v>
      </c>
      <c r="B149" s="69" t="str">
        <f t="shared" si="267"/>
        <v>Lucas</v>
      </c>
      <c r="C149" s="269" t="str">
        <f t="shared" si="268"/>
        <v>BRA</v>
      </c>
      <c r="D149" s="99" t="str">
        <f t="shared" si="269"/>
        <v>Pé Direito</v>
      </c>
      <c r="E149" s="28" t="str">
        <f t="shared" si="270"/>
        <v>São-Joseense</v>
      </c>
      <c r="F149" s="169">
        <f t="shared" si="271"/>
        <v>17</v>
      </c>
      <c r="G149" s="2" t="str">
        <f t="shared" si="272"/>
        <v>0 €</v>
      </c>
      <c r="H149" s="154">
        <f t="shared" si="273"/>
        <v>1.9</v>
      </c>
      <c r="I149" s="64">
        <f t="shared" si="274"/>
        <v>47118</v>
      </c>
      <c r="J149" s="304" t="str">
        <f t="shared" si="275"/>
        <v>525 € p/m</v>
      </c>
      <c r="K149" s="96">
        <f t="shared" si="266"/>
        <v>3.5222222222222221</v>
      </c>
      <c r="L149" s="146">
        <f t="shared" si="276"/>
        <v>2.4</v>
      </c>
      <c r="M149" s="6">
        <f t="shared" si="277"/>
        <v>0</v>
      </c>
      <c r="N149" s="5">
        <f t="shared" si="278"/>
        <v>5400</v>
      </c>
      <c r="O149" s="21">
        <f t="shared" si="279"/>
        <v>0</v>
      </c>
      <c r="P149" s="2">
        <f t="shared" si="280"/>
        <v>80</v>
      </c>
      <c r="Q149" s="2">
        <f t="shared" si="281"/>
        <v>40</v>
      </c>
      <c r="R149" s="5">
        <f t="shared" si="282"/>
        <v>16.666666666666668</v>
      </c>
      <c r="S149" s="2">
        <f t="shared" si="283"/>
        <v>40</v>
      </c>
      <c r="T149" s="2">
        <f t="shared" si="284"/>
        <v>0</v>
      </c>
      <c r="U149" s="102">
        <f t="shared" si="285"/>
        <v>0.5</v>
      </c>
      <c r="V149" s="102">
        <f t="shared" si="286"/>
        <v>0.5</v>
      </c>
      <c r="W149" s="6">
        <f t="shared" si="287"/>
        <v>80</v>
      </c>
      <c r="X149" s="5">
        <f t="shared" si="288"/>
        <v>33.333333333333336</v>
      </c>
      <c r="Y149" s="6">
        <f t="shared" si="289"/>
        <v>0</v>
      </c>
      <c r="Z149" s="5">
        <f t="shared" si="290"/>
        <v>0</v>
      </c>
      <c r="AA149" s="21">
        <f t="shared" si="291"/>
        <v>0</v>
      </c>
      <c r="AB149" s="6">
        <f t="shared" si="292"/>
        <v>0</v>
      </c>
      <c r="AC149" s="5">
        <f t="shared" si="293"/>
        <v>0</v>
      </c>
      <c r="AD149" s="6">
        <f t="shared" si="294"/>
        <v>0</v>
      </c>
      <c r="AE149" s="5">
        <f t="shared" si="295"/>
        <v>0</v>
      </c>
      <c r="AF149" s="21">
        <f t="shared" si="296"/>
        <v>0</v>
      </c>
      <c r="AG149" s="6">
        <f t="shared" si="297"/>
        <v>0</v>
      </c>
      <c r="AH149" s="5">
        <f t="shared" si="298"/>
        <v>0</v>
      </c>
      <c r="AI149" s="21">
        <f t="shared" si="299"/>
        <v>0</v>
      </c>
      <c r="AJ149" s="6">
        <f t="shared" si="300"/>
        <v>0</v>
      </c>
      <c r="AK149" s="5">
        <f t="shared" si="301"/>
        <v>0</v>
      </c>
      <c r="AL149" s="21">
        <f t="shared" si="302"/>
        <v>0</v>
      </c>
      <c r="AM149" s="21">
        <f t="shared" si="303"/>
        <v>0.41666666666666669</v>
      </c>
      <c r="AN149" s="6">
        <f t="shared" si="304"/>
        <v>1</v>
      </c>
      <c r="AO149" s="5">
        <f t="shared" si="305"/>
        <v>0.41666666666666669</v>
      </c>
      <c r="AP149" s="6">
        <f t="shared" si="306"/>
        <v>0</v>
      </c>
      <c r="AQ149" s="5">
        <f t="shared" si="307"/>
        <v>0</v>
      </c>
      <c r="AR149" s="2">
        <f t="shared" si="308"/>
        <v>7</v>
      </c>
      <c r="AS149" s="5">
        <f t="shared" si="309"/>
        <v>2.916666666666667</v>
      </c>
      <c r="AT149" s="21">
        <f t="shared" si="310"/>
        <v>0</v>
      </c>
      <c r="AU149" s="20">
        <f t="shared" si="311"/>
        <v>0</v>
      </c>
      <c r="AV149" s="20">
        <f t="shared" si="312"/>
        <v>1</v>
      </c>
      <c r="AW149" s="199">
        <f t="shared" si="313"/>
        <v>0</v>
      </c>
      <c r="AX149" s="24">
        <f t="shared" si="314"/>
        <v>30.857142857142858</v>
      </c>
      <c r="AY149" s="5">
        <f t="shared" si="315"/>
        <v>1</v>
      </c>
      <c r="AZ149" s="5">
        <f t="shared" si="316"/>
        <v>1</v>
      </c>
      <c r="BA149" s="5">
        <f t="shared" si="317"/>
        <v>0</v>
      </c>
      <c r="BB149" s="5">
        <f t="shared" si="318"/>
        <v>0</v>
      </c>
      <c r="BC149" s="5">
        <f t="shared" si="319"/>
        <v>0</v>
      </c>
      <c r="BD149" s="5">
        <f t="shared" si="320"/>
        <v>0</v>
      </c>
      <c r="BE149" s="199">
        <f t="shared" si="321"/>
        <v>0</v>
      </c>
      <c r="BF149" s="21">
        <f t="shared" si="322"/>
        <v>0</v>
      </c>
      <c r="BG149" s="6">
        <f t="shared" si="323"/>
        <v>0</v>
      </c>
      <c r="BH149" s="5">
        <f t="shared" si="324"/>
        <v>0</v>
      </c>
      <c r="BI149" s="6">
        <f t="shared" si="325"/>
        <v>0</v>
      </c>
      <c r="BJ149" s="5">
        <f t="shared" si="326"/>
        <v>0</v>
      </c>
      <c r="BK149" s="20">
        <f t="shared" si="327"/>
        <v>-9.9999999999999998E-13</v>
      </c>
      <c r="BL149" s="20">
        <f t="shared" si="328"/>
        <v>4.720161834120027E-3</v>
      </c>
      <c r="BM149" s="6">
        <f t="shared" si="329"/>
        <v>7</v>
      </c>
      <c r="BN149" s="5">
        <f t="shared" si="330"/>
        <v>2.916666666666667</v>
      </c>
      <c r="BO149" s="333">
        <f t="shared" si="331"/>
        <v>0</v>
      </c>
      <c r="BP149" s="334">
        <f t="shared" si="332"/>
        <v>0</v>
      </c>
      <c r="BQ149" s="6">
        <f t="shared" si="333"/>
        <v>0</v>
      </c>
      <c r="BR149" s="5">
        <f t="shared" si="334"/>
        <v>0</v>
      </c>
      <c r="BS149" s="6">
        <f t="shared" si="335"/>
        <v>0</v>
      </c>
      <c r="BT149" s="5">
        <f t="shared" si="336"/>
        <v>0</v>
      </c>
      <c r="BU149" s="181">
        <f t="shared" si="337"/>
        <v>0</v>
      </c>
      <c r="BV149" s="154">
        <f t="shared" si="338"/>
        <v>0</v>
      </c>
      <c r="BW149" s="181">
        <f t="shared" si="339"/>
        <v>0</v>
      </c>
      <c r="BX149" s="180">
        <f t="shared" si="340"/>
        <v>0</v>
      </c>
      <c r="BY149" s="181">
        <f t="shared" si="341"/>
        <v>0</v>
      </c>
      <c r="BZ149" s="154">
        <f t="shared" si="342"/>
        <v>0</v>
      </c>
      <c r="CA149" s="182">
        <f t="shared" si="343"/>
        <v>0</v>
      </c>
      <c r="CB149" s="2">
        <f t="shared" si="344"/>
        <v>0</v>
      </c>
      <c r="CC149" s="2">
        <f t="shared" si="345"/>
        <v>0</v>
      </c>
      <c r="CD149" s="2">
        <f t="shared" si="346"/>
        <v>0</v>
      </c>
      <c r="CE149" s="2">
        <f t="shared" si="347"/>
        <v>0</v>
      </c>
      <c r="CF149" s="6">
        <f t="shared" si="348"/>
        <v>0</v>
      </c>
      <c r="CG149" s="6">
        <f t="shared" si="349"/>
        <v>89</v>
      </c>
      <c r="CH149" s="6">
        <f t="shared" si="350"/>
        <v>40</v>
      </c>
      <c r="CI149" s="20">
        <f t="shared" si="351"/>
        <v>0.449438202247191</v>
      </c>
      <c r="CJ149" s="133">
        <f t="shared" si="352"/>
        <v>2521</v>
      </c>
      <c r="CK149" s="5">
        <f t="shared" si="353"/>
        <v>5.73</v>
      </c>
      <c r="CL149" s="302"/>
      <c r="CM149" s="298" t="s">
        <v>13</v>
      </c>
      <c r="CN149" s="298" t="s">
        <v>1496</v>
      </c>
      <c r="CO149" s="298">
        <v>17</v>
      </c>
      <c r="CP149" s="298" t="s">
        <v>1206</v>
      </c>
      <c r="CQ149" s="298" t="s">
        <v>1131</v>
      </c>
      <c r="CR149" s="298" t="s">
        <v>644</v>
      </c>
      <c r="CS149" s="298" t="s">
        <v>1322</v>
      </c>
      <c r="CT149" s="298" t="s">
        <v>682</v>
      </c>
      <c r="CU149" s="299">
        <v>47118</v>
      </c>
      <c r="CV149" s="298">
        <v>0</v>
      </c>
      <c r="CW149" s="298">
        <v>216</v>
      </c>
      <c r="CX149" s="298">
        <v>7</v>
      </c>
      <c r="CY149" s="298">
        <v>0</v>
      </c>
      <c r="CZ149" s="298">
        <v>0</v>
      </c>
      <c r="DA149" s="298">
        <v>0</v>
      </c>
      <c r="DB149" s="298">
        <v>0</v>
      </c>
      <c r="DC149" s="298">
        <v>0</v>
      </c>
      <c r="DD149" s="298">
        <v>0</v>
      </c>
      <c r="DE149" s="298">
        <v>1</v>
      </c>
      <c r="DF149" s="298">
        <v>0</v>
      </c>
      <c r="DG149" s="298">
        <v>0</v>
      </c>
      <c r="DH149" s="298">
        <v>0</v>
      </c>
      <c r="DI149" s="298">
        <v>0</v>
      </c>
      <c r="DJ149" s="298">
        <v>0</v>
      </c>
      <c r="DK149" s="298">
        <v>0</v>
      </c>
      <c r="DL149" s="298">
        <v>80</v>
      </c>
      <c r="DM149" s="298">
        <v>40</v>
      </c>
      <c r="DN149" s="298">
        <v>0</v>
      </c>
      <c r="DO149" s="298">
        <v>0</v>
      </c>
      <c r="DP149" s="298">
        <v>0</v>
      </c>
      <c r="DQ149" s="298">
        <v>0</v>
      </c>
      <c r="DR149" s="298">
        <v>0</v>
      </c>
      <c r="DS149" s="298">
        <v>0</v>
      </c>
      <c r="DT149" s="298">
        <v>0</v>
      </c>
      <c r="DU149" s="298">
        <v>0</v>
      </c>
      <c r="DV149" s="303">
        <v>5.73</v>
      </c>
    </row>
    <row r="150" spans="1:126" ht="24.95" customHeight="1" thickBot="1" x14ac:dyDescent="0.3">
      <c r="A150" s="29" t="str">
        <f t="shared" si="265"/>
        <v>149º</v>
      </c>
      <c r="B150" s="69" t="str">
        <f t="shared" si="267"/>
        <v>China</v>
      </c>
      <c r="C150" s="269" t="str">
        <f t="shared" si="268"/>
        <v>BRA</v>
      </c>
      <c r="D150" s="99" t="str">
        <f t="shared" si="269"/>
        <v>Pé Direito</v>
      </c>
      <c r="E150" s="28" t="str">
        <f t="shared" si="270"/>
        <v>Plácido de Castro</v>
      </c>
      <c r="F150" s="169">
        <f t="shared" si="271"/>
        <v>21</v>
      </c>
      <c r="G150" s="2" t="str">
        <f t="shared" si="272"/>
        <v>0 €</v>
      </c>
      <c r="H150" s="154">
        <f t="shared" si="273"/>
        <v>1.84</v>
      </c>
      <c r="I150" s="64">
        <f t="shared" si="274"/>
        <v>47118</v>
      </c>
      <c r="J150" s="304" t="str">
        <f t="shared" si="275"/>
        <v>500 € p/m</v>
      </c>
      <c r="K150" s="96">
        <f t="shared" si="266"/>
        <v>3.5222222222222221</v>
      </c>
      <c r="L150" s="146">
        <f t="shared" si="276"/>
        <v>0</v>
      </c>
      <c r="M150" s="6">
        <f t="shared" si="277"/>
        <v>0</v>
      </c>
      <c r="N150" s="5">
        <f t="shared" si="278"/>
        <v>5400</v>
      </c>
      <c r="O150" s="21">
        <f t="shared" si="279"/>
        <v>0</v>
      </c>
      <c r="P150" s="2">
        <f t="shared" si="280"/>
        <v>0</v>
      </c>
      <c r="Q150" s="2">
        <f t="shared" si="281"/>
        <v>0</v>
      </c>
      <c r="R150" s="5">
        <f t="shared" si="282"/>
        <v>0</v>
      </c>
      <c r="S150" s="2">
        <f t="shared" si="283"/>
        <v>0</v>
      </c>
      <c r="T150" s="2">
        <f t="shared" si="284"/>
        <v>0</v>
      </c>
      <c r="U150" s="102">
        <f t="shared" si="285"/>
        <v>0</v>
      </c>
      <c r="V150" s="102">
        <f t="shared" si="286"/>
        <v>0</v>
      </c>
      <c r="W150" s="6">
        <f t="shared" si="287"/>
        <v>0</v>
      </c>
      <c r="X150" s="5">
        <f t="shared" si="288"/>
        <v>0</v>
      </c>
      <c r="Y150" s="6">
        <f t="shared" si="289"/>
        <v>0</v>
      </c>
      <c r="Z150" s="5" t="e">
        <f t="shared" si="290"/>
        <v>#DIV/0!</v>
      </c>
      <c r="AA150" s="21">
        <f t="shared" si="291"/>
        <v>0</v>
      </c>
      <c r="AB150" s="6">
        <f t="shared" si="292"/>
        <v>0</v>
      </c>
      <c r="AC150" s="5" t="e">
        <f t="shared" si="293"/>
        <v>#DIV/0!</v>
      </c>
      <c r="AD150" s="6">
        <f t="shared" si="294"/>
        <v>0</v>
      </c>
      <c r="AE150" s="5">
        <f t="shared" si="295"/>
        <v>0</v>
      </c>
      <c r="AF150" s="21">
        <f t="shared" si="296"/>
        <v>0</v>
      </c>
      <c r="AG150" s="6">
        <f t="shared" si="297"/>
        <v>0</v>
      </c>
      <c r="AH150" s="5">
        <f t="shared" si="298"/>
        <v>0</v>
      </c>
      <c r="AI150" s="21">
        <f t="shared" si="299"/>
        <v>0</v>
      </c>
      <c r="AJ150" s="6">
        <f t="shared" si="300"/>
        <v>0</v>
      </c>
      <c r="AK150" s="5">
        <f t="shared" si="301"/>
        <v>0</v>
      </c>
      <c r="AL150" s="21">
        <f t="shared" si="302"/>
        <v>0</v>
      </c>
      <c r="AM150" s="21">
        <f t="shared" si="303"/>
        <v>0</v>
      </c>
      <c r="AN150" s="6">
        <f t="shared" si="304"/>
        <v>0</v>
      </c>
      <c r="AO150" s="5">
        <f t="shared" si="305"/>
        <v>0</v>
      </c>
      <c r="AP150" s="6">
        <f t="shared" si="306"/>
        <v>0</v>
      </c>
      <c r="AQ150" s="5">
        <f t="shared" si="307"/>
        <v>0</v>
      </c>
      <c r="AR150" s="2">
        <f t="shared" si="308"/>
        <v>0</v>
      </c>
      <c r="AS150" s="5">
        <f t="shared" si="309"/>
        <v>0</v>
      </c>
      <c r="AT150" s="21">
        <f t="shared" si="310"/>
        <v>0</v>
      </c>
      <c r="AU150" s="20">
        <f t="shared" si="311"/>
        <v>0</v>
      </c>
      <c r="AV150" s="20">
        <f t="shared" si="312"/>
        <v>1</v>
      </c>
      <c r="AW150" s="199">
        <f t="shared" si="313"/>
        <v>0</v>
      </c>
      <c r="AX150" s="24">
        <f t="shared" si="314"/>
        <v>0</v>
      </c>
      <c r="AY150" s="5">
        <f t="shared" si="315"/>
        <v>0</v>
      </c>
      <c r="AZ150" s="5">
        <f t="shared" si="316"/>
        <v>0</v>
      </c>
      <c r="BA150" s="5">
        <f t="shared" si="317"/>
        <v>0</v>
      </c>
      <c r="BB150" s="5">
        <f t="shared" si="318"/>
        <v>0</v>
      </c>
      <c r="BC150" s="5">
        <f t="shared" si="319"/>
        <v>0</v>
      </c>
      <c r="BD150" s="5">
        <f t="shared" si="320"/>
        <v>0</v>
      </c>
      <c r="BE150" s="199">
        <f t="shared" si="321"/>
        <v>0</v>
      </c>
      <c r="BF150" s="21">
        <f t="shared" si="322"/>
        <v>0</v>
      </c>
      <c r="BG150" s="6">
        <f t="shared" si="323"/>
        <v>0</v>
      </c>
      <c r="BH150" s="5" t="e">
        <f t="shared" si="324"/>
        <v>#DIV/0!</v>
      </c>
      <c r="BI150" s="6">
        <f t="shared" si="325"/>
        <v>0</v>
      </c>
      <c r="BJ150" s="5" t="e">
        <f t="shared" si="326"/>
        <v>#DIV/0!</v>
      </c>
      <c r="BK150" s="20">
        <f t="shared" si="327"/>
        <v>-9.9999999999999998E-13</v>
      </c>
      <c r="BL150" s="20">
        <f t="shared" si="328"/>
        <v>0</v>
      </c>
      <c r="BM150" s="6">
        <f t="shared" si="329"/>
        <v>0</v>
      </c>
      <c r="BN150" s="5">
        <f t="shared" si="330"/>
        <v>0</v>
      </c>
      <c r="BO150" s="333">
        <f t="shared" si="331"/>
        <v>0</v>
      </c>
      <c r="BP150" s="334">
        <f t="shared" si="332"/>
        <v>0</v>
      </c>
      <c r="BQ150" s="6">
        <f t="shared" si="333"/>
        <v>0</v>
      </c>
      <c r="BR150" s="5">
        <f t="shared" si="334"/>
        <v>0</v>
      </c>
      <c r="BS150" s="6">
        <f t="shared" si="335"/>
        <v>0</v>
      </c>
      <c r="BT150" s="5">
        <f t="shared" si="336"/>
        <v>0</v>
      </c>
      <c r="BU150" s="181">
        <f t="shared" si="337"/>
        <v>0</v>
      </c>
      <c r="BV150" s="154">
        <f t="shared" si="338"/>
        <v>0</v>
      </c>
      <c r="BW150" s="181">
        <f t="shared" si="339"/>
        <v>0</v>
      </c>
      <c r="BX150" s="180">
        <f t="shared" si="340"/>
        <v>0</v>
      </c>
      <c r="BY150" s="181">
        <f t="shared" si="341"/>
        <v>0</v>
      </c>
      <c r="BZ150" s="154">
        <f t="shared" si="342"/>
        <v>0</v>
      </c>
      <c r="CA150" s="182">
        <f t="shared" si="343"/>
        <v>0</v>
      </c>
      <c r="CB150" s="2">
        <f t="shared" si="344"/>
        <v>0</v>
      </c>
      <c r="CC150" s="2">
        <f t="shared" si="345"/>
        <v>0</v>
      </c>
      <c r="CD150" s="2">
        <f t="shared" si="346"/>
        <v>0</v>
      </c>
      <c r="CE150" s="2">
        <f t="shared" si="347"/>
        <v>0</v>
      </c>
      <c r="CF150" s="6">
        <f t="shared" si="348"/>
        <v>0</v>
      </c>
      <c r="CG150" s="6">
        <f t="shared" si="349"/>
        <v>0</v>
      </c>
      <c r="CH150" s="6">
        <f t="shared" si="350"/>
        <v>0</v>
      </c>
      <c r="CI150" s="20">
        <f t="shared" si="351"/>
        <v>0</v>
      </c>
      <c r="CJ150" s="133">
        <f t="shared" si="352"/>
        <v>2521</v>
      </c>
      <c r="CK150" s="5">
        <f t="shared" si="353"/>
        <v>0</v>
      </c>
      <c r="CL150" s="300"/>
      <c r="CM150" s="296" t="s">
        <v>13</v>
      </c>
      <c r="CN150" s="296" t="s">
        <v>1479</v>
      </c>
      <c r="CO150" s="296">
        <v>21</v>
      </c>
      <c r="CP150" s="296" t="s">
        <v>1497</v>
      </c>
      <c r="CQ150" s="296" t="s">
        <v>1131</v>
      </c>
      <c r="CR150" s="296" t="s">
        <v>644</v>
      </c>
      <c r="CS150" s="296" t="s">
        <v>760</v>
      </c>
      <c r="CT150" s="296" t="s">
        <v>574</v>
      </c>
      <c r="CU150" s="297">
        <v>47118</v>
      </c>
      <c r="CV150" s="296">
        <v>0</v>
      </c>
      <c r="CW150" s="296">
        <v>0</v>
      </c>
      <c r="CX150" s="296">
        <v>0</v>
      </c>
      <c r="CY150" s="296">
        <v>0</v>
      </c>
      <c r="CZ150" s="296">
        <v>0</v>
      </c>
      <c r="DA150" s="296">
        <v>0</v>
      </c>
      <c r="DB150" s="296">
        <v>0</v>
      </c>
      <c r="DC150" s="296">
        <v>0</v>
      </c>
      <c r="DD150" s="296">
        <v>0</v>
      </c>
      <c r="DE150" s="296">
        <v>0</v>
      </c>
      <c r="DF150" s="296">
        <v>0</v>
      </c>
      <c r="DG150" s="296">
        <v>0</v>
      </c>
      <c r="DH150" s="296">
        <v>0</v>
      </c>
      <c r="DI150" s="296">
        <v>0</v>
      </c>
      <c r="DJ150" s="296">
        <v>0</v>
      </c>
      <c r="DK150" s="296">
        <v>0</v>
      </c>
      <c r="DL150" s="296">
        <v>0</v>
      </c>
      <c r="DM150" s="296">
        <v>0</v>
      </c>
      <c r="DN150" s="296">
        <v>0</v>
      </c>
      <c r="DO150" s="296">
        <v>0</v>
      </c>
      <c r="DP150" s="296">
        <v>0</v>
      </c>
      <c r="DQ150" s="296">
        <v>0</v>
      </c>
      <c r="DR150" s="296">
        <v>0</v>
      </c>
      <c r="DS150" s="296">
        <v>0</v>
      </c>
      <c r="DT150" s="296">
        <v>0</v>
      </c>
      <c r="DU150" s="296">
        <v>0</v>
      </c>
      <c r="DV150" s="301" t="s">
        <v>548</v>
      </c>
    </row>
    <row r="151" spans="1:126" ht="24.95" customHeight="1" thickBot="1" x14ac:dyDescent="0.3">
      <c r="A151" s="29" t="str">
        <f t="shared" si="265"/>
        <v>150º</v>
      </c>
      <c r="B151" s="69" t="str">
        <f t="shared" si="267"/>
        <v>Kabila</v>
      </c>
      <c r="C151" s="269" t="str">
        <f t="shared" si="268"/>
        <v>BRA</v>
      </c>
      <c r="D151" s="99" t="str">
        <f t="shared" si="269"/>
        <v>Pé Direito</v>
      </c>
      <c r="E151" s="28" t="str">
        <f t="shared" si="270"/>
        <v>Cristal (AP)</v>
      </c>
      <c r="F151" s="169">
        <f t="shared" si="271"/>
        <v>20</v>
      </c>
      <c r="G151" s="2" t="str">
        <f t="shared" si="272"/>
        <v>0 €</v>
      </c>
      <c r="H151" s="154">
        <f t="shared" si="273"/>
        <v>1.89</v>
      </c>
      <c r="I151" s="64">
        <f t="shared" si="274"/>
        <v>47118</v>
      </c>
      <c r="J151" s="304" t="str">
        <f t="shared" si="275"/>
        <v>500 € p/m</v>
      </c>
      <c r="K151" s="96">
        <f t="shared" si="266"/>
        <v>3.5222222222222221</v>
      </c>
      <c r="L151" s="146">
        <f t="shared" si="276"/>
        <v>3.2</v>
      </c>
      <c r="M151" s="6">
        <f t="shared" si="277"/>
        <v>0</v>
      </c>
      <c r="N151" s="5">
        <f t="shared" si="278"/>
        <v>5400</v>
      </c>
      <c r="O151" s="21">
        <f t="shared" si="279"/>
        <v>0</v>
      </c>
      <c r="P151" s="2">
        <f t="shared" si="280"/>
        <v>140</v>
      </c>
      <c r="Q151" s="2">
        <f t="shared" si="281"/>
        <v>74</v>
      </c>
      <c r="R151" s="5">
        <f t="shared" si="282"/>
        <v>23.125</v>
      </c>
      <c r="S151" s="2">
        <f t="shared" si="283"/>
        <v>66</v>
      </c>
      <c r="T151" s="2">
        <f t="shared" si="284"/>
        <v>8</v>
      </c>
      <c r="U151" s="102">
        <f t="shared" si="285"/>
        <v>0.47142857142857142</v>
      </c>
      <c r="V151" s="102">
        <f t="shared" si="286"/>
        <v>0.52857142857142858</v>
      </c>
      <c r="W151" s="6">
        <f t="shared" si="287"/>
        <v>140</v>
      </c>
      <c r="X151" s="5">
        <f t="shared" si="288"/>
        <v>43.75</v>
      </c>
      <c r="Y151" s="6">
        <f t="shared" si="289"/>
        <v>0</v>
      </c>
      <c r="Z151" s="5">
        <f t="shared" si="290"/>
        <v>0</v>
      </c>
      <c r="AA151" s="21">
        <f t="shared" si="291"/>
        <v>0</v>
      </c>
      <c r="AB151" s="6">
        <f t="shared" si="292"/>
        <v>0</v>
      </c>
      <c r="AC151" s="5">
        <f t="shared" si="293"/>
        <v>0</v>
      </c>
      <c r="AD151" s="6">
        <f t="shared" si="294"/>
        <v>0</v>
      </c>
      <c r="AE151" s="5">
        <f t="shared" si="295"/>
        <v>0</v>
      </c>
      <c r="AF151" s="21">
        <f t="shared" si="296"/>
        <v>0</v>
      </c>
      <c r="AG151" s="6">
        <f t="shared" si="297"/>
        <v>0</v>
      </c>
      <c r="AH151" s="5">
        <f t="shared" si="298"/>
        <v>0</v>
      </c>
      <c r="AI151" s="21">
        <f t="shared" si="299"/>
        <v>0</v>
      </c>
      <c r="AJ151" s="6">
        <f t="shared" si="300"/>
        <v>0</v>
      </c>
      <c r="AK151" s="5">
        <f t="shared" si="301"/>
        <v>0</v>
      </c>
      <c r="AL151" s="21">
        <f t="shared" si="302"/>
        <v>0</v>
      </c>
      <c r="AM151" s="21">
        <f t="shared" si="303"/>
        <v>0.3125</v>
      </c>
      <c r="AN151" s="6">
        <f t="shared" si="304"/>
        <v>1</v>
      </c>
      <c r="AO151" s="5">
        <f t="shared" si="305"/>
        <v>0.3125</v>
      </c>
      <c r="AP151" s="6">
        <f t="shared" si="306"/>
        <v>0</v>
      </c>
      <c r="AQ151" s="5">
        <f t="shared" si="307"/>
        <v>0</v>
      </c>
      <c r="AR151" s="2">
        <f t="shared" si="308"/>
        <v>9</v>
      </c>
      <c r="AS151" s="5">
        <f t="shared" si="309"/>
        <v>2.8125</v>
      </c>
      <c r="AT151" s="21">
        <f t="shared" si="310"/>
        <v>0</v>
      </c>
      <c r="AU151" s="20">
        <f t="shared" si="311"/>
        <v>0</v>
      </c>
      <c r="AV151" s="20">
        <f t="shared" si="312"/>
        <v>1</v>
      </c>
      <c r="AW151" s="199">
        <f t="shared" si="313"/>
        <v>0</v>
      </c>
      <c r="AX151" s="24">
        <f t="shared" si="314"/>
        <v>32</v>
      </c>
      <c r="AY151" s="5">
        <f t="shared" si="315"/>
        <v>1</v>
      </c>
      <c r="AZ151" s="5">
        <f t="shared" si="316"/>
        <v>1</v>
      </c>
      <c r="BA151" s="5">
        <f t="shared" si="317"/>
        <v>0</v>
      </c>
      <c r="BB151" s="5">
        <f t="shared" si="318"/>
        <v>0</v>
      </c>
      <c r="BC151" s="5">
        <f t="shared" si="319"/>
        <v>0</v>
      </c>
      <c r="BD151" s="5">
        <f t="shared" si="320"/>
        <v>0</v>
      </c>
      <c r="BE151" s="199">
        <f t="shared" si="321"/>
        <v>0</v>
      </c>
      <c r="BF151" s="21">
        <f t="shared" si="322"/>
        <v>0</v>
      </c>
      <c r="BG151" s="6">
        <f t="shared" si="323"/>
        <v>0</v>
      </c>
      <c r="BH151" s="5">
        <f t="shared" si="324"/>
        <v>0</v>
      </c>
      <c r="BI151" s="6">
        <f t="shared" si="325"/>
        <v>0</v>
      </c>
      <c r="BJ151" s="5">
        <f t="shared" si="326"/>
        <v>0</v>
      </c>
      <c r="BK151" s="20">
        <f t="shared" si="327"/>
        <v>-9.9999999999999998E-13</v>
      </c>
      <c r="BL151" s="20">
        <f t="shared" si="328"/>
        <v>6.0687795010114631E-3</v>
      </c>
      <c r="BM151" s="6">
        <f t="shared" si="329"/>
        <v>9</v>
      </c>
      <c r="BN151" s="5">
        <f t="shared" si="330"/>
        <v>2.8125</v>
      </c>
      <c r="BO151" s="333">
        <f t="shared" si="331"/>
        <v>0</v>
      </c>
      <c r="BP151" s="334">
        <f t="shared" si="332"/>
        <v>0</v>
      </c>
      <c r="BQ151" s="6">
        <f t="shared" si="333"/>
        <v>0</v>
      </c>
      <c r="BR151" s="5">
        <f t="shared" si="334"/>
        <v>0</v>
      </c>
      <c r="BS151" s="6">
        <f t="shared" si="335"/>
        <v>0</v>
      </c>
      <c r="BT151" s="5">
        <f t="shared" si="336"/>
        <v>0</v>
      </c>
      <c r="BU151" s="181">
        <f t="shared" si="337"/>
        <v>0</v>
      </c>
      <c r="BV151" s="154">
        <f t="shared" si="338"/>
        <v>0</v>
      </c>
      <c r="BW151" s="181">
        <f t="shared" si="339"/>
        <v>0</v>
      </c>
      <c r="BX151" s="180">
        <f t="shared" si="340"/>
        <v>0</v>
      </c>
      <c r="BY151" s="181">
        <f t="shared" si="341"/>
        <v>0</v>
      </c>
      <c r="BZ151" s="154">
        <f t="shared" si="342"/>
        <v>0</v>
      </c>
      <c r="CA151" s="182">
        <f t="shared" si="343"/>
        <v>0</v>
      </c>
      <c r="CB151" s="2">
        <f t="shared" si="344"/>
        <v>0</v>
      </c>
      <c r="CC151" s="2">
        <f t="shared" si="345"/>
        <v>0</v>
      </c>
      <c r="CD151" s="2">
        <f t="shared" si="346"/>
        <v>0</v>
      </c>
      <c r="CE151" s="2">
        <f t="shared" si="347"/>
        <v>2</v>
      </c>
      <c r="CF151" s="6">
        <f t="shared" si="348"/>
        <v>0</v>
      </c>
      <c r="CG151" s="6">
        <f t="shared" si="349"/>
        <v>151</v>
      </c>
      <c r="CH151" s="6">
        <f t="shared" si="350"/>
        <v>74</v>
      </c>
      <c r="CI151" s="20">
        <f t="shared" si="351"/>
        <v>0.49006622516556292</v>
      </c>
      <c r="CJ151" s="133">
        <f t="shared" si="352"/>
        <v>2521</v>
      </c>
      <c r="CK151" s="5">
        <f t="shared" si="353"/>
        <v>5.99</v>
      </c>
      <c r="CL151" s="302" t="s">
        <v>1235</v>
      </c>
      <c r="CM151" s="298" t="s">
        <v>13</v>
      </c>
      <c r="CN151" s="298" t="s">
        <v>1407</v>
      </c>
      <c r="CO151" s="298">
        <v>20</v>
      </c>
      <c r="CP151" s="298" t="s">
        <v>1498</v>
      </c>
      <c r="CQ151" s="298" t="s">
        <v>1131</v>
      </c>
      <c r="CR151" s="298" t="s">
        <v>644</v>
      </c>
      <c r="CS151" s="298" t="s">
        <v>760</v>
      </c>
      <c r="CT151" s="298" t="s">
        <v>593</v>
      </c>
      <c r="CU151" s="299">
        <v>47118</v>
      </c>
      <c r="CV151" s="298">
        <v>0</v>
      </c>
      <c r="CW151" s="298">
        <v>288</v>
      </c>
      <c r="CX151" s="298">
        <v>9</v>
      </c>
      <c r="CY151" s="298">
        <v>0</v>
      </c>
      <c r="CZ151" s="298">
        <v>0</v>
      </c>
      <c r="DA151" s="298">
        <v>0</v>
      </c>
      <c r="DB151" s="298">
        <v>0</v>
      </c>
      <c r="DC151" s="298">
        <v>0</v>
      </c>
      <c r="DD151" s="298">
        <v>0</v>
      </c>
      <c r="DE151" s="298">
        <v>1</v>
      </c>
      <c r="DF151" s="298">
        <v>0</v>
      </c>
      <c r="DG151" s="298">
        <v>0</v>
      </c>
      <c r="DH151" s="298">
        <v>0</v>
      </c>
      <c r="DI151" s="298">
        <v>2</v>
      </c>
      <c r="DJ151" s="298">
        <v>0</v>
      </c>
      <c r="DK151" s="298">
        <v>0</v>
      </c>
      <c r="DL151" s="298">
        <v>140</v>
      </c>
      <c r="DM151" s="298">
        <v>74</v>
      </c>
      <c r="DN151" s="298">
        <v>0</v>
      </c>
      <c r="DO151" s="298">
        <v>0</v>
      </c>
      <c r="DP151" s="298">
        <v>0</v>
      </c>
      <c r="DQ151" s="298">
        <v>0</v>
      </c>
      <c r="DR151" s="298">
        <v>0</v>
      </c>
      <c r="DS151" s="298">
        <v>0</v>
      </c>
      <c r="DT151" s="298">
        <v>0</v>
      </c>
      <c r="DU151" s="298">
        <v>0</v>
      </c>
      <c r="DV151" s="303">
        <v>5.99</v>
      </c>
    </row>
    <row r="152" spans="1:126" ht="24.95" customHeight="1" thickBot="1" x14ac:dyDescent="0.3">
      <c r="A152" s="29" t="str">
        <f t="shared" si="265"/>
        <v>151º</v>
      </c>
      <c r="B152" s="69" t="str">
        <f t="shared" si="267"/>
        <v>José Ângelo</v>
      </c>
      <c r="C152" s="269" t="str">
        <f t="shared" si="268"/>
        <v>BRA</v>
      </c>
      <c r="D152" s="99" t="str">
        <f t="shared" si="269"/>
        <v>Pé Direito</v>
      </c>
      <c r="E152" s="28" t="str">
        <f t="shared" si="270"/>
        <v>Atlético (ES)</v>
      </c>
      <c r="F152" s="169">
        <f t="shared" si="271"/>
        <v>26</v>
      </c>
      <c r="G152" s="2" t="str">
        <f t="shared" si="272"/>
        <v>0 €</v>
      </c>
      <c r="H152" s="154">
        <f t="shared" si="273"/>
        <v>1.94</v>
      </c>
      <c r="I152" s="64">
        <f t="shared" si="274"/>
        <v>47118</v>
      </c>
      <c r="J152" s="304" t="str">
        <f t="shared" si="275"/>
        <v>500 € p/m</v>
      </c>
      <c r="K152" s="96">
        <f t="shared" si="266"/>
        <v>3.5222222222222221</v>
      </c>
      <c r="L152" s="146">
        <f t="shared" si="276"/>
        <v>2</v>
      </c>
      <c r="M152" s="6">
        <f t="shared" si="277"/>
        <v>0</v>
      </c>
      <c r="N152" s="5">
        <f t="shared" si="278"/>
        <v>5400</v>
      </c>
      <c r="O152" s="21">
        <f t="shared" si="279"/>
        <v>0</v>
      </c>
      <c r="P152" s="2">
        <f t="shared" si="280"/>
        <v>40</v>
      </c>
      <c r="Q152" s="2">
        <f t="shared" si="281"/>
        <v>27</v>
      </c>
      <c r="R152" s="5">
        <f t="shared" si="282"/>
        <v>13.5</v>
      </c>
      <c r="S152" s="2">
        <f t="shared" si="283"/>
        <v>13</v>
      </c>
      <c r="T152" s="2">
        <f t="shared" si="284"/>
        <v>14</v>
      </c>
      <c r="U152" s="102">
        <f t="shared" si="285"/>
        <v>0.32500000000000001</v>
      </c>
      <c r="V152" s="102">
        <f t="shared" si="286"/>
        <v>0.67500000000000004</v>
      </c>
      <c r="W152" s="6">
        <f t="shared" si="287"/>
        <v>40</v>
      </c>
      <c r="X152" s="5">
        <f t="shared" si="288"/>
        <v>20</v>
      </c>
      <c r="Y152" s="6">
        <f t="shared" si="289"/>
        <v>0</v>
      </c>
      <c r="Z152" s="5">
        <f t="shared" si="290"/>
        <v>0</v>
      </c>
      <c r="AA152" s="21">
        <f t="shared" si="291"/>
        <v>0</v>
      </c>
      <c r="AB152" s="6">
        <f t="shared" si="292"/>
        <v>0</v>
      </c>
      <c r="AC152" s="5">
        <f t="shared" si="293"/>
        <v>0</v>
      </c>
      <c r="AD152" s="6">
        <f t="shared" si="294"/>
        <v>0</v>
      </c>
      <c r="AE152" s="5">
        <f t="shared" si="295"/>
        <v>0</v>
      </c>
      <c r="AF152" s="21">
        <f t="shared" si="296"/>
        <v>0</v>
      </c>
      <c r="AG152" s="6">
        <f t="shared" si="297"/>
        <v>0</v>
      </c>
      <c r="AH152" s="5">
        <f t="shared" si="298"/>
        <v>0</v>
      </c>
      <c r="AI152" s="21">
        <f t="shared" si="299"/>
        <v>0</v>
      </c>
      <c r="AJ152" s="6">
        <f t="shared" si="300"/>
        <v>0</v>
      </c>
      <c r="AK152" s="5">
        <f t="shared" si="301"/>
        <v>0</v>
      </c>
      <c r="AL152" s="21">
        <f t="shared" si="302"/>
        <v>0</v>
      </c>
      <c r="AM152" s="21">
        <f t="shared" si="303"/>
        <v>0.5</v>
      </c>
      <c r="AN152" s="6">
        <f t="shared" si="304"/>
        <v>1</v>
      </c>
      <c r="AO152" s="5">
        <f t="shared" si="305"/>
        <v>0.5</v>
      </c>
      <c r="AP152" s="6">
        <f t="shared" si="306"/>
        <v>0</v>
      </c>
      <c r="AQ152" s="5">
        <f t="shared" si="307"/>
        <v>0</v>
      </c>
      <c r="AR152" s="2">
        <f t="shared" si="308"/>
        <v>1</v>
      </c>
      <c r="AS152" s="5">
        <f t="shared" si="309"/>
        <v>0.5</v>
      </c>
      <c r="AT152" s="21">
        <f t="shared" si="310"/>
        <v>0</v>
      </c>
      <c r="AU152" s="20">
        <f t="shared" si="311"/>
        <v>0</v>
      </c>
      <c r="AV152" s="20">
        <f t="shared" si="312"/>
        <v>1</v>
      </c>
      <c r="AW152" s="199">
        <f t="shared" si="313"/>
        <v>0</v>
      </c>
      <c r="AX152" s="24">
        <f t="shared" si="314"/>
        <v>180</v>
      </c>
      <c r="AY152" s="5">
        <f t="shared" si="315"/>
        <v>1</v>
      </c>
      <c r="AZ152" s="5">
        <f t="shared" si="316"/>
        <v>1</v>
      </c>
      <c r="BA152" s="5">
        <f t="shared" si="317"/>
        <v>0</v>
      </c>
      <c r="BB152" s="5">
        <f t="shared" si="318"/>
        <v>0</v>
      </c>
      <c r="BC152" s="5">
        <f t="shared" si="319"/>
        <v>0</v>
      </c>
      <c r="BD152" s="5">
        <f t="shared" si="320"/>
        <v>0</v>
      </c>
      <c r="BE152" s="199">
        <f t="shared" si="321"/>
        <v>0</v>
      </c>
      <c r="BF152" s="21">
        <f t="shared" si="322"/>
        <v>0</v>
      </c>
      <c r="BG152" s="6">
        <f t="shared" si="323"/>
        <v>0</v>
      </c>
      <c r="BH152" s="5">
        <f t="shared" si="324"/>
        <v>0</v>
      </c>
      <c r="BI152" s="6">
        <f t="shared" si="325"/>
        <v>0</v>
      </c>
      <c r="BJ152" s="5">
        <f t="shared" si="326"/>
        <v>0</v>
      </c>
      <c r="BK152" s="20">
        <f t="shared" si="327"/>
        <v>-9.9999999999999998E-13</v>
      </c>
      <c r="BL152" s="20">
        <f t="shared" si="328"/>
        <v>6.7430883344571813E-4</v>
      </c>
      <c r="BM152" s="6">
        <f t="shared" si="329"/>
        <v>1</v>
      </c>
      <c r="BN152" s="5">
        <f t="shared" si="330"/>
        <v>0.5</v>
      </c>
      <c r="BO152" s="333">
        <f t="shared" si="331"/>
        <v>0</v>
      </c>
      <c r="BP152" s="334">
        <f t="shared" si="332"/>
        <v>0</v>
      </c>
      <c r="BQ152" s="6">
        <f t="shared" si="333"/>
        <v>0</v>
      </c>
      <c r="BR152" s="5">
        <f t="shared" si="334"/>
        <v>0</v>
      </c>
      <c r="BS152" s="6">
        <f t="shared" si="335"/>
        <v>0</v>
      </c>
      <c r="BT152" s="5">
        <f t="shared" si="336"/>
        <v>0</v>
      </c>
      <c r="BU152" s="181">
        <f t="shared" si="337"/>
        <v>0</v>
      </c>
      <c r="BV152" s="154">
        <f t="shared" si="338"/>
        <v>0</v>
      </c>
      <c r="BW152" s="181">
        <f t="shared" si="339"/>
        <v>0</v>
      </c>
      <c r="BX152" s="180">
        <f t="shared" si="340"/>
        <v>0</v>
      </c>
      <c r="BY152" s="181">
        <f t="shared" si="341"/>
        <v>0</v>
      </c>
      <c r="BZ152" s="154">
        <f t="shared" si="342"/>
        <v>0</v>
      </c>
      <c r="CA152" s="182">
        <f t="shared" si="343"/>
        <v>0</v>
      </c>
      <c r="CB152" s="2">
        <f t="shared" si="344"/>
        <v>0</v>
      </c>
      <c r="CC152" s="2">
        <f t="shared" si="345"/>
        <v>0</v>
      </c>
      <c r="CD152" s="2">
        <f t="shared" si="346"/>
        <v>0</v>
      </c>
      <c r="CE152" s="2">
        <f t="shared" si="347"/>
        <v>0</v>
      </c>
      <c r="CF152" s="6">
        <f t="shared" si="348"/>
        <v>0</v>
      </c>
      <c r="CG152" s="6">
        <f t="shared" si="349"/>
        <v>43</v>
      </c>
      <c r="CH152" s="6">
        <f t="shared" si="350"/>
        <v>27</v>
      </c>
      <c r="CI152" s="20">
        <f t="shared" si="351"/>
        <v>0.62790697674418605</v>
      </c>
      <c r="CJ152" s="133">
        <f t="shared" si="352"/>
        <v>2521</v>
      </c>
      <c r="CK152" s="5">
        <f t="shared" si="353"/>
        <v>6.75</v>
      </c>
      <c r="CL152" s="300"/>
      <c r="CM152" s="296" t="s">
        <v>13</v>
      </c>
      <c r="CN152" s="296" t="s">
        <v>1499</v>
      </c>
      <c r="CO152" s="296">
        <v>26</v>
      </c>
      <c r="CP152" s="296" t="s">
        <v>1500</v>
      </c>
      <c r="CQ152" s="296" t="s">
        <v>1131</v>
      </c>
      <c r="CR152" s="296" t="s">
        <v>644</v>
      </c>
      <c r="CS152" s="296" t="s">
        <v>760</v>
      </c>
      <c r="CT152" s="296" t="s">
        <v>910</v>
      </c>
      <c r="CU152" s="297">
        <v>47118</v>
      </c>
      <c r="CV152" s="296">
        <v>0</v>
      </c>
      <c r="CW152" s="296">
        <v>180</v>
      </c>
      <c r="CX152" s="296">
        <v>1</v>
      </c>
      <c r="CY152" s="296">
        <v>0</v>
      </c>
      <c r="CZ152" s="296">
        <v>0</v>
      </c>
      <c r="DA152" s="296">
        <v>0</v>
      </c>
      <c r="DB152" s="296">
        <v>0</v>
      </c>
      <c r="DC152" s="296">
        <v>0</v>
      </c>
      <c r="DD152" s="296">
        <v>0</v>
      </c>
      <c r="DE152" s="296">
        <v>1</v>
      </c>
      <c r="DF152" s="296">
        <v>0</v>
      </c>
      <c r="DG152" s="296">
        <v>0</v>
      </c>
      <c r="DH152" s="296">
        <v>0</v>
      </c>
      <c r="DI152" s="296">
        <v>0</v>
      </c>
      <c r="DJ152" s="296">
        <v>0</v>
      </c>
      <c r="DK152" s="296">
        <v>0</v>
      </c>
      <c r="DL152" s="296">
        <v>40</v>
      </c>
      <c r="DM152" s="296">
        <v>27</v>
      </c>
      <c r="DN152" s="296">
        <v>0</v>
      </c>
      <c r="DO152" s="296">
        <v>0</v>
      </c>
      <c r="DP152" s="296">
        <v>0</v>
      </c>
      <c r="DQ152" s="296">
        <v>0</v>
      </c>
      <c r="DR152" s="296">
        <v>0</v>
      </c>
      <c r="DS152" s="296">
        <v>0</v>
      </c>
      <c r="DT152" s="296">
        <v>0</v>
      </c>
      <c r="DU152" s="296">
        <v>0</v>
      </c>
      <c r="DV152" s="301">
        <v>6.75</v>
      </c>
    </row>
    <row r="153" spans="1:126" ht="24.95" customHeight="1" thickBot="1" x14ac:dyDescent="0.3">
      <c r="A153" s="29" t="str">
        <f t="shared" si="265"/>
        <v>152º</v>
      </c>
      <c r="B153" s="69" t="str">
        <f t="shared" si="267"/>
        <v>Da Silva</v>
      </c>
      <c r="C153" s="269" t="str">
        <f t="shared" si="268"/>
        <v>BRA</v>
      </c>
      <c r="D153" s="99" t="str">
        <f t="shared" si="269"/>
        <v>Pé Direito</v>
      </c>
      <c r="E153" s="28" t="str">
        <f t="shared" si="270"/>
        <v>Planaltina EC</v>
      </c>
      <c r="F153" s="169">
        <f t="shared" si="271"/>
        <v>24</v>
      </c>
      <c r="G153" s="2" t="str">
        <f t="shared" si="272"/>
        <v>0 €</v>
      </c>
      <c r="H153" s="154">
        <f t="shared" si="273"/>
        <v>1.87</v>
      </c>
      <c r="I153" s="64">
        <f t="shared" si="274"/>
        <v>47118</v>
      </c>
      <c r="J153" s="304" t="str">
        <f t="shared" si="275"/>
        <v>500 € p/m</v>
      </c>
      <c r="K153" s="96">
        <f t="shared" si="266"/>
        <v>3.5222222222222221</v>
      </c>
      <c r="L153" s="146">
        <f t="shared" si="276"/>
        <v>0</v>
      </c>
      <c r="M153" s="6">
        <f t="shared" si="277"/>
        <v>0</v>
      </c>
      <c r="N153" s="5">
        <f t="shared" si="278"/>
        <v>5400</v>
      </c>
      <c r="O153" s="21">
        <f t="shared" si="279"/>
        <v>0</v>
      </c>
      <c r="P153" s="2">
        <f t="shared" si="280"/>
        <v>0</v>
      </c>
      <c r="Q153" s="2">
        <f t="shared" si="281"/>
        <v>0</v>
      </c>
      <c r="R153" s="5">
        <f t="shared" si="282"/>
        <v>0</v>
      </c>
      <c r="S153" s="2">
        <f t="shared" si="283"/>
        <v>0</v>
      </c>
      <c r="T153" s="2">
        <f t="shared" si="284"/>
        <v>0</v>
      </c>
      <c r="U153" s="102">
        <f t="shared" si="285"/>
        <v>0</v>
      </c>
      <c r="V153" s="102">
        <f t="shared" si="286"/>
        <v>0</v>
      </c>
      <c r="W153" s="6">
        <f t="shared" si="287"/>
        <v>0</v>
      </c>
      <c r="X153" s="5">
        <f t="shared" si="288"/>
        <v>0</v>
      </c>
      <c r="Y153" s="6">
        <f t="shared" si="289"/>
        <v>0</v>
      </c>
      <c r="Z153" s="5" t="e">
        <f t="shared" si="290"/>
        <v>#DIV/0!</v>
      </c>
      <c r="AA153" s="21">
        <f t="shared" si="291"/>
        <v>0</v>
      </c>
      <c r="AB153" s="6">
        <f t="shared" si="292"/>
        <v>0</v>
      </c>
      <c r="AC153" s="5" t="e">
        <f t="shared" si="293"/>
        <v>#DIV/0!</v>
      </c>
      <c r="AD153" s="6">
        <f t="shared" si="294"/>
        <v>0</v>
      </c>
      <c r="AE153" s="5">
        <f t="shared" si="295"/>
        <v>0</v>
      </c>
      <c r="AF153" s="21">
        <f t="shared" si="296"/>
        <v>0</v>
      </c>
      <c r="AG153" s="6">
        <f t="shared" si="297"/>
        <v>0</v>
      </c>
      <c r="AH153" s="5">
        <f t="shared" si="298"/>
        <v>0</v>
      </c>
      <c r="AI153" s="21">
        <f t="shared" si="299"/>
        <v>0</v>
      </c>
      <c r="AJ153" s="6">
        <f t="shared" si="300"/>
        <v>0</v>
      </c>
      <c r="AK153" s="5">
        <f t="shared" si="301"/>
        <v>0</v>
      </c>
      <c r="AL153" s="21">
        <f t="shared" si="302"/>
        <v>0</v>
      </c>
      <c r="AM153" s="21">
        <f t="shared" si="303"/>
        <v>0</v>
      </c>
      <c r="AN153" s="6">
        <f t="shared" si="304"/>
        <v>0</v>
      </c>
      <c r="AO153" s="5">
        <f t="shared" si="305"/>
        <v>0</v>
      </c>
      <c r="AP153" s="6">
        <f t="shared" si="306"/>
        <v>0</v>
      </c>
      <c r="AQ153" s="5">
        <f t="shared" si="307"/>
        <v>0</v>
      </c>
      <c r="AR153" s="2">
        <f t="shared" si="308"/>
        <v>0</v>
      </c>
      <c r="AS153" s="5">
        <f t="shared" si="309"/>
        <v>0</v>
      </c>
      <c r="AT153" s="21">
        <f t="shared" si="310"/>
        <v>0</v>
      </c>
      <c r="AU153" s="20">
        <f t="shared" si="311"/>
        <v>0</v>
      </c>
      <c r="AV153" s="20">
        <f t="shared" si="312"/>
        <v>1</v>
      </c>
      <c r="AW153" s="199">
        <f t="shared" si="313"/>
        <v>0</v>
      </c>
      <c r="AX153" s="24">
        <f t="shared" si="314"/>
        <v>0</v>
      </c>
      <c r="AY153" s="5">
        <f t="shared" si="315"/>
        <v>0</v>
      </c>
      <c r="AZ153" s="5">
        <f t="shared" si="316"/>
        <v>0</v>
      </c>
      <c r="BA153" s="5">
        <f t="shared" si="317"/>
        <v>0</v>
      </c>
      <c r="BB153" s="5">
        <f t="shared" si="318"/>
        <v>0</v>
      </c>
      <c r="BC153" s="5">
        <f t="shared" si="319"/>
        <v>0</v>
      </c>
      <c r="BD153" s="5">
        <f t="shared" si="320"/>
        <v>0</v>
      </c>
      <c r="BE153" s="199">
        <f t="shared" si="321"/>
        <v>0</v>
      </c>
      <c r="BF153" s="21">
        <f t="shared" si="322"/>
        <v>0</v>
      </c>
      <c r="BG153" s="6">
        <f t="shared" si="323"/>
        <v>0</v>
      </c>
      <c r="BH153" s="5" t="e">
        <f t="shared" si="324"/>
        <v>#DIV/0!</v>
      </c>
      <c r="BI153" s="6">
        <f t="shared" si="325"/>
        <v>0</v>
      </c>
      <c r="BJ153" s="5" t="e">
        <f t="shared" si="326"/>
        <v>#DIV/0!</v>
      </c>
      <c r="BK153" s="20">
        <f t="shared" si="327"/>
        <v>-9.9999999999999998E-13</v>
      </c>
      <c r="BL153" s="20">
        <f t="shared" si="328"/>
        <v>0</v>
      </c>
      <c r="BM153" s="6">
        <f t="shared" si="329"/>
        <v>0</v>
      </c>
      <c r="BN153" s="5">
        <f t="shared" si="330"/>
        <v>0</v>
      </c>
      <c r="BO153" s="333">
        <f t="shared" si="331"/>
        <v>0</v>
      </c>
      <c r="BP153" s="334">
        <f t="shared" si="332"/>
        <v>0</v>
      </c>
      <c r="BQ153" s="6">
        <f t="shared" si="333"/>
        <v>0</v>
      </c>
      <c r="BR153" s="5">
        <f t="shared" si="334"/>
        <v>0</v>
      </c>
      <c r="BS153" s="6">
        <f t="shared" si="335"/>
        <v>0</v>
      </c>
      <c r="BT153" s="5">
        <f t="shared" si="336"/>
        <v>0</v>
      </c>
      <c r="BU153" s="181">
        <f t="shared" si="337"/>
        <v>0</v>
      </c>
      <c r="BV153" s="154">
        <f t="shared" si="338"/>
        <v>0</v>
      </c>
      <c r="BW153" s="181">
        <f t="shared" si="339"/>
        <v>0</v>
      </c>
      <c r="BX153" s="180">
        <f t="shared" si="340"/>
        <v>0</v>
      </c>
      <c r="BY153" s="181">
        <f t="shared" si="341"/>
        <v>0</v>
      </c>
      <c r="BZ153" s="154">
        <f t="shared" si="342"/>
        <v>0</v>
      </c>
      <c r="CA153" s="182">
        <f t="shared" si="343"/>
        <v>0</v>
      </c>
      <c r="CB153" s="2">
        <f t="shared" si="344"/>
        <v>0</v>
      </c>
      <c r="CC153" s="2">
        <f t="shared" si="345"/>
        <v>0</v>
      </c>
      <c r="CD153" s="2">
        <f t="shared" si="346"/>
        <v>0</v>
      </c>
      <c r="CE153" s="2">
        <f t="shared" si="347"/>
        <v>0</v>
      </c>
      <c r="CF153" s="6">
        <f t="shared" si="348"/>
        <v>0</v>
      </c>
      <c r="CG153" s="6">
        <f t="shared" si="349"/>
        <v>0</v>
      </c>
      <c r="CH153" s="6">
        <f t="shared" si="350"/>
        <v>0</v>
      </c>
      <c r="CI153" s="20">
        <f t="shared" si="351"/>
        <v>0</v>
      </c>
      <c r="CJ153" s="133">
        <f t="shared" si="352"/>
        <v>2521</v>
      </c>
      <c r="CK153" s="5">
        <f t="shared" si="353"/>
        <v>0</v>
      </c>
      <c r="CL153" s="302"/>
      <c r="CM153" s="298" t="s">
        <v>13</v>
      </c>
      <c r="CN153" s="298" t="s">
        <v>1501</v>
      </c>
      <c r="CO153" s="298">
        <v>24</v>
      </c>
      <c r="CP153" s="298" t="s">
        <v>1502</v>
      </c>
      <c r="CQ153" s="298" t="s">
        <v>1131</v>
      </c>
      <c r="CR153" s="298" t="s">
        <v>644</v>
      </c>
      <c r="CS153" s="298" t="s">
        <v>760</v>
      </c>
      <c r="CT153" s="298" t="s">
        <v>911</v>
      </c>
      <c r="CU153" s="299">
        <v>47118</v>
      </c>
      <c r="CV153" s="298">
        <v>0</v>
      </c>
      <c r="CW153" s="298">
        <v>0</v>
      </c>
      <c r="CX153" s="298">
        <v>0</v>
      </c>
      <c r="CY153" s="298">
        <v>0</v>
      </c>
      <c r="CZ153" s="298">
        <v>0</v>
      </c>
      <c r="DA153" s="298">
        <v>0</v>
      </c>
      <c r="DB153" s="298">
        <v>0</v>
      </c>
      <c r="DC153" s="298">
        <v>0</v>
      </c>
      <c r="DD153" s="298">
        <v>0</v>
      </c>
      <c r="DE153" s="298">
        <v>0</v>
      </c>
      <c r="DF153" s="298">
        <v>0</v>
      </c>
      <c r="DG153" s="298">
        <v>0</v>
      </c>
      <c r="DH153" s="298">
        <v>0</v>
      </c>
      <c r="DI153" s="298">
        <v>0</v>
      </c>
      <c r="DJ153" s="298">
        <v>0</v>
      </c>
      <c r="DK153" s="298">
        <v>0</v>
      </c>
      <c r="DL153" s="298">
        <v>0</v>
      </c>
      <c r="DM153" s="298">
        <v>0</v>
      </c>
      <c r="DN153" s="298">
        <v>0</v>
      </c>
      <c r="DO153" s="298">
        <v>0</v>
      </c>
      <c r="DP153" s="298">
        <v>0</v>
      </c>
      <c r="DQ153" s="298">
        <v>0</v>
      </c>
      <c r="DR153" s="298">
        <v>0</v>
      </c>
      <c r="DS153" s="298">
        <v>0</v>
      </c>
      <c r="DT153" s="298">
        <v>0</v>
      </c>
      <c r="DU153" s="298">
        <v>0</v>
      </c>
      <c r="DV153" s="303" t="s">
        <v>548</v>
      </c>
    </row>
    <row r="154" spans="1:126" ht="24.95" customHeight="1" thickBot="1" x14ac:dyDescent="0.3">
      <c r="A154" s="29" t="str">
        <f t="shared" si="265"/>
        <v>153º</v>
      </c>
      <c r="B154" s="69" t="str">
        <f t="shared" si="267"/>
        <v>Emerson Luiz</v>
      </c>
      <c r="C154" s="269" t="str">
        <f t="shared" si="268"/>
        <v>BRA</v>
      </c>
      <c r="D154" s="99" t="str">
        <f t="shared" si="269"/>
        <v>Pé Esquerdo</v>
      </c>
      <c r="E154" s="28" t="str">
        <f t="shared" si="270"/>
        <v>Tiradentes (CE)</v>
      </c>
      <c r="F154" s="169">
        <f t="shared" si="271"/>
        <v>20</v>
      </c>
      <c r="G154" s="2" t="str">
        <f t="shared" si="272"/>
        <v>0 €</v>
      </c>
      <c r="H154" s="154">
        <f t="shared" si="273"/>
        <v>1.89</v>
      </c>
      <c r="I154" s="64">
        <f t="shared" si="274"/>
        <v>47118</v>
      </c>
      <c r="J154" s="304" t="str">
        <f t="shared" si="275"/>
        <v>500 € p/m</v>
      </c>
      <c r="K154" s="96">
        <f t="shared" si="266"/>
        <v>3.5222222222222221</v>
      </c>
      <c r="L154" s="146">
        <f t="shared" si="276"/>
        <v>0.93333333333333335</v>
      </c>
      <c r="M154" s="6">
        <f t="shared" si="277"/>
        <v>0</v>
      </c>
      <c r="N154" s="5">
        <f t="shared" si="278"/>
        <v>5400</v>
      </c>
      <c r="O154" s="21">
        <f t="shared" si="279"/>
        <v>0</v>
      </c>
      <c r="P154" s="2">
        <f t="shared" si="280"/>
        <v>120</v>
      </c>
      <c r="Q154" s="2">
        <f t="shared" si="281"/>
        <v>72</v>
      </c>
      <c r="R154" s="5">
        <f t="shared" si="282"/>
        <v>77.142857142857139</v>
      </c>
      <c r="S154" s="2">
        <f t="shared" si="283"/>
        <v>48</v>
      </c>
      <c r="T154" s="2">
        <f t="shared" si="284"/>
        <v>24</v>
      </c>
      <c r="U154" s="102">
        <f t="shared" si="285"/>
        <v>0.4</v>
      </c>
      <c r="V154" s="102">
        <f t="shared" si="286"/>
        <v>0.6</v>
      </c>
      <c r="W154" s="6">
        <f t="shared" si="287"/>
        <v>120</v>
      </c>
      <c r="X154" s="5">
        <f t="shared" si="288"/>
        <v>128.57142857142856</v>
      </c>
      <c r="Y154" s="6">
        <f t="shared" si="289"/>
        <v>0</v>
      </c>
      <c r="Z154" s="5">
        <f t="shared" si="290"/>
        <v>0</v>
      </c>
      <c r="AA154" s="21">
        <f t="shared" si="291"/>
        <v>0</v>
      </c>
      <c r="AB154" s="6">
        <f t="shared" si="292"/>
        <v>0</v>
      </c>
      <c r="AC154" s="5">
        <f t="shared" si="293"/>
        <v>0</v>
      </c>
      <c r="AD154" s="6">
        <f t="shared" si="294"/>
        <v>0</v>
      </c>
      <c r="AE154" s="5">
        <f t="shared" si="295"/>
        <v>0</v>
      </c>
      <c r="AF154" s="21">
        <f t="shared" si="296"/>
        <v>0</v>
      </c>
      <c r="AG154" s="6">
        <f t="shared" si="297"/>
        <v>0</v>
      </c>
      <c r="AH154" s="5">
        <f t="shared" si="298"/>
        <v>0</v>
      </c>
      <c r="AI154" s="21">
        <f t="shared" si="299"/>
        <v>0</v>
      </c>
      <c r="AJ154" s="6">
        <f t="shared" si="300"/>
        <v>0</v>
      </c>
      <c r="AK154" s="5">
        <f t="shared" si="301"/>
        <v>0</v>
      </c>
      <c r="AL154" s="21">
        <f t="shared" si="302"/>
        <v>0</v>
      </c>
      <c r="AM154" s="21">
        <f t="shared" si="303"/>
        <v>1.0714285714285714</v>
      </c>
      <c r="AN154" s="6">
        <f t="shared" si="304"/>
        <v>1</v>
      </c>
      <c r="AO154" s="5">
        <f t="shared" si="305"/>
        <v>1.0714285714285714</v>
      </c>
      <c r="AP154" s="6">
        <f t="shared" si="306"/>
        <v>0</v>
      </c>
      <c r="AQ154" s="5">
        <f t="shared" si="307"/>
        <v>0</v>
      </c>
      <c r="AR154" s="2">
        <f t="shared" si="308"/>
        <v>9</v>
      </c>
      <c r="AS154" s="5">
        <f t="shared" si="309"/>
        <v>9.6428571428571423</v>
      </c>
      <c r="AT154" s="21">
        <f t="shared" si="310"/>
        <v>0</v>
      </c>
      <c r="AU154" s="20">
        <f t="shared" si="311"/>
        <v>0</v>
      </c>
      <c r="AV154" s="20">
        <f t="shared" si="312"/>
        <v>1</v>
      </c>
      <c r="AW154" s="199">
        <f t="shared" si="313"/>
        <v>0</v>
      </c>
      <c r="AX154" s="24">
        <f t="shared" si="314"/>
        <v>9.3333333333333339</v>
      </c>
      <c r="AY154" s="5">
        <f t="shared" si="315"/>
        <v>1</v>
      </c>
      <c r="AZ154" s="5">
        <f t="shared" si="316"/>
        <v>1</v>
      </c>
      <c r="BA154" s="5">
        <f t="shared" si="317"/>
        <v>0</v>
      </c>
      <c r="BB154" s="5">
        <f t="shared" si="318"/>
        <v>0</v>
      </c>
      <c r="BC154" s="5">
        <f t="shared" si="319"/>
        <v>0</v>
      </c>
      <c r="BD154" s="5">
        <f t="shared" si="320"/>
        <v>0</v>
      </c>
      <c r="BE154" s="199">
        <f t="shared" si="321"/>
        <v>0</v>
      </c>
      <c r="BF154" s="21">
        <f t="shared" si="322"/>
        <v>0</v>
      </c>
      <c r="BG154" s="6">
        <f t="shared" si="323"/>
        <v>0</v>
      </c>
      <c r="BH154" s="5">
        <f t="shared" si="324"/>
        <v>0</v>
      </c>
      <c r="BI154" s="6">
        <f t="shared" si="325"/>
        <v>0</v>
      </c>
      <c r="BJ154" s="5">
        <f t="shared" si="326"/>
        <v>0</v>
      </c>
      <c r="BK154" s="20">
        <f t="shared" si="327"/>
        <v>-9.9999999999999998E-13</v>
      </c>
      <c r="BL154" s="20">
        <f t="shared" si="328"/>
        <v>6.0687795010114631E-3</v>
      </c>
      <c r="BM154" s="6">
        <f t="shared" si="329"/>
        <v>9</v>
      </c>
      <c r="BN154" s="5">
        <f t="shared" si="330"/>
        <v>9.6428571428571423</v>
      </c>
      <c r="BO154" s="333">
        <f t="shared" si="331"/>
        <v>0</v>
      </c>
      <c r="BP154" s="334">
        <f t="shared" si="332"/>
        <v>0</v>
      </c>
      <c r="BQ154" s="6">
        <f t="shared" si="333"/>
        <v>0</v>
      </c>
      <c r="BR154" s="5">
        <f t="shared" si="334"/>
        <v>0</v>
      </c>
      <c r="BS154" s="6">
        <f t="shared" si="335"/>
        <v>0</v>
      </c>
      <c r="BT154" s="5">
        <f t="shared" si="336"/>
        <v>0</v>
      </c>
      <c r="BU154" s="181">
        <f t="shared" si="337"/>
        <v>0</v>
      </c>
      <c r="BV154" s="154">
        <f t="shared" si="338"/>
        <v>0</v>
      </c>
      <c r="BW154" s="181">
        <f t="shared" si="339"/>
        <v>0</v>
      </c>
      <c r="BX154" s="180">
        <f t="shared" si="340"/>
        <v>0</v>
      </c>
      <c r="BY154" s="181">
        <f t="shared" si="341"/>
        <v>0</v>
      </c>
      <c r="BZ154" s="154">
        <f t="shared" si="342"/>
        <v>0</v>
      </c>
      <c r="CA154" s="182">
        <f t="shared" si="343"/>
        <v>0</v>
      </c>
      <c r="CB154" s="2">
        <f t="shared" si="344"/>
        <v>0</v>
      </c>
      <c r="CC154" s="2">
        <f t="shared" si="345"/>
        <v>0</v>
      </c>
      <c r="CD154" s="2">
        <f t="shared" si="346"/>
        <v>0</v>
      </c>
      <c r="CE154" s="2">
        <f t="shared" si="347"/>
        <v>0</v>
      </c>
      <c r="CF154" s="6">
        <f t="shared" si="348"/>
        <v>0</v>
      </c>
      <c r="CG154" s="6">
        <f t="shared" si="349"/>
        <v>131</v>
      </c>
      <c r="CH154" s="6">
        <f t="shared" si="350"/>
        <v>72</v>
      </c>
      <c r="CI154" s="20">
        <f t="shared" si="351"/>
        <v>0.54961832061068705</v>
      </c>
      <c r="CJ154" s="133">
        <f t="shared" si="352"/>
        <v>2521</v>
      </c>
      <c r="CK154" s="5">
        <f t="shared" si="353"/>
        <v>5.82</v>
      </c>
      <c r="CL154" s="300"/>
      <c r="CM154" s="296" t="s">
        <v>13</v>
      </c>
      <c r="CN154" s="296" t="s">
        <v>1396</v>
      </c>
      <c r="CO154" s="296">
        <v>20</v>
      </c>
      <c r="CP154" s="296" t="s">
        <v>1503</v>
      </c>
      <c r="CQ154" s="296" t="s">
        <v>1131</v>
      </c>
      <c r="CR154" s="296" t="s">
        <v>652</v>
      </c>
      <c r="CS154" s="296" t="s">
        <v>760</v>
      </c>
      <c r="CT154" s="296" t="s">
        <v>593</v>
      </c>
      <c r="CU154" s="297">
        <v>47118</v>
      </c>
      <c r="CV154" s="296">
        <v>0</v>
      </c>
      <c r="CW154" s="296">
        <v>84</v>
      </c>
      <c r="CX154" s="296">
        <v>9</v>
      </c>
      <c r="CY154" s="296">
        <v>0</v>
      </c>
      <c r="CZ154" s="296">
        <v>0</v>
      </c>
      <c r="DA154" s="296">
        <v>0</v>
      </c>
      <c r="DB154" s="296">
        <v>0</v>
      </c>
      <c r="DC154" s="296">
        <v>0</v>
      </c>
      <c r="DD154" s="296">
        <v>0</v>
      </c>
      <c r="DE154" s="296">
        <v>1</v>
      </c>
      <c r="DF154" s="296">
        <v>0</v>
      </c>
      <c r="DG154" s="296">
        <v>0</v>
      </c>
      <c r="DH154" s="296">
        <v>0</v>
      </c>
      <c r="DI154" s="296">
        <v>0</v>
      </c>
      <c r="DJ154" s="296">
        <v>0</v>
      </c>
      <c r="DK154" s="296">
        <v>0</v>
      </c>
      <c r="DL154" s="296">
        <v>120</v>
      </c>
      <c r="DM154" s="296">
        <v>72</v>
      </c>
      <c r="DN154" s="296">
        <v>0</v>
      </c>
      <c r="DO154" s="296">
        <v>0</v>
      </c>
      <c r="DP154" s="296">
        <v>0</v>
      </c>
      <c r="DQ154" s="296">
        <v>0</v>
      </c>
      <c r="DR154" s="296">
        <v>0</v>
      </c>
      <c r="DS154" s="296">
        <v>0</v>
      </c>
      <c r="DT154" s="296">
        <v>0</v>
      </c>
      <c r="DU154" s="296">
        <v>0</v>
      </c>
      <c r="DV154" s="301">
        <v>5.82</v>
      </c>
    </row>
    <row r="155" spans="1:126" ht="24.95" customHeight="1" thickBot="1" x14ac:dyDescent="0.3">
      <c r="A155" s="29" t="str">
        <f t="shared" si="265"/>
        <v>154º</v>
      </c>
      <c r="B155" s="69" t="str">
        <f t="shared" si="267"/>
        <v>Izael</v>
      </c>
      <c r="C155" s="269" t="str">
        <f t="shared" si="268"/>
        <v>BRA</v>
      </c>
      <c r="D155" s="99" t="str">
        <f t="shared" si="269"/>
        <v>Pé Direito</v>
      </c>
      <c r="E155" s="28" t="str">
        <f t="shared" si="270"/>
        <v>Atlético (ES)</v>
      </c>
      <c r="F155" s="169">
        <f t="shared" si="271"/>
        <v>22</v>
      </c>
      <c r="G155" s="2" t="str">
        <f t="shared" si="272"/>
        <v>0 €</v>
      </c>
      <c r="H155" s="154">
        <f t="shared" si="273"/>
        <v>1.87</v>
      </c>
      <c r="I155" s="64">
        <f t="shared" si="274"/>
        <v>47118</v>
      </c>
      <c r="J155" s="304" t="str">
        <f t="shared" si="275"/>
        <v>850 € p/m</v>
      </c>
      <c r="K155" s="96">
        <f t="shared" si="266"/>
        <v>3.5222222222222221</v>
      </c>
      <c r="L155" s="146">
        <f t="shared" si="276"/>
        <v>21</v>
      </c>
      <c r="M155" s="6">
        <f t="shared" si="277"/>
        <v>0</v>
      </c>
      <c r="N155" s="5">
        <f t="shared" si="278"/>
        <v>5400</v>
      </c>
      <c r="O155" s="21">
        <f t="shared" si="279"/>
        <v>0</v>
      </c>
      <c r="P155" s="2">
        <f t="shared" si="280"/>
        <v>420</v>
      </c>
      <c r="Q155" s="2">
        <f t="shared" si="281"/>
        <v>240</v>
      </c>
      <c r="R155" s="5">
        <f t="shared" si="282"/>
        <v>11.428571428571429</v>
      </c>
      <c r="S155" s="2">
        <f t="shared" si="283"/>
        <v>180</v>
      </c>
      <c r="T155" s="2">
        <f t="shared" si="284"/>
        <v>60</v>
      </c>
      <c r="U155" s="102">
        <f t="shared" si="285"/>
        <v>0.42857142857142855</v>
      </c>
      <c r="V155" s="102">
        <f t="shared" si="286"/>
        <v>0.5714285714285714</v>
      </c>
      <c r="W155" s="6">
        <f t="shared" si="287"/>
        <v>420</v>
      </c>
      <c r="X155" s="5">
        <f t="shared" si="288"/>
        <v>20</v>
      </c>
      <c r="Y155" s="6">
        <f t="shared" si="289"/>
        <v>0</v>
      </c>
      <c r="Z155" s="5">
        <f t="shared" si="290"/>
        <v>0</v>
      </c>
      <c r="AA155" s="21">
        <f t="shared" si="291"/>
        <v>0</v>
      </c>
      <c r="AB155" s="6">
        <f t="shared" si="292"/>
        <v>0</v>
      </c>
      <c r="AC155" s="5">
        <f t="shared" si="293"/>
        <v>0</v>
      </c>
      <c r="AD155" s="6">
        <f t="shared" si="294"/>
        <v>0</v>
      </c>
      <c r="AE155" s="5">
        <f t="shared" si="295"/>
        <v>0</v>
      </c>
      <c r="AF155" s="21">
        <f t="shared" si="296"/>
        <v>0</v>
      </c>
      <c r="AG155" s="6">
        <f t="shared" si="297"/>
        <v>0</v>
      </c>
      <c r="AH155" s="5">
        <f t="shared" si="298"/>
        <v>0</v>
      </c>
      <c r="AI155" s="21">
        <f t="shared" si="299"/>
        <v>0</v>
      </c>
      <c r="AJ155" s="6">
        <f t="shared" si="300"/>
        <v>0</v>
      </c>
      <c r="AK155" s="5">
        <f t="shared" si="301"/>
        <v>0</v>
      </c>
      <c r="AL155" s="21">
        <f t="shared" si="302"/>
        <v>0</v>
      </c>
      <c r="AM155" s="21">
        <f t="shared" si="303"/>
        <v>4.7619047619047616E-2</v>
      </c>
      <c r="AN155" s="6">
        <f t="shared" si="304"/>
        <v>1</v>
      </c>
      <c r="AO155" s="5">
        <f t="shared" si="305"/>
        <v>4.7619047619047616E-2</v>
      </c>
      <c r="AP155" s="6">
        <f t="shared" si="306"/>
        <v>0</v>
      </c>
      <c r="AQ155" s="5">
        <f t="shared" si="307"/>
        <v>0</v>
      </c>
      <c r="AR155" s="2">
        <f t="shared" si="308"/>
        <v>37</v>
      </c>
      <c r="AS155" s="5">
        <f t="shared" si="309"/>
        <v>1.7619047619047619</v>
      </c>
      <c r="AT155" s="21">
        <f t="shared" si="310"/>
        <v>0</v>
      </c>
      <c r="AU155" s="20">
        <f t="shared" si="311"/>
        <v>0</v>
      </c>
      <c r="AV155" s="20">
        <f t="shared" si="312"/>
        <v>1</v>
      </c>
      <c r="AW155" s="199">
        <f t="shared" si="313"/>
        <v>0</v>
      </c>
      <c r="AX155" s="24">
        <f t="shared" si="314"/>
        <v>51.081081081081081</v>
      </c>
      <c r="AY155" s="5">
        <f t="shared" si="315"/>
        <v>1</v>
      </c>
      <c r="AZ155" s="5">
        <f t="shared" si="316"/>
        <v>1</v>
      </c>
      <c r="BA155" s="5">
        <f t="shared" si="317"/>
        <v>0</v>
      </c>
      <c r="BB155" s="5">
        <f t="shared" si="318"/>
        <v>0</v>
      </c>
      <c r="BC155" s="5">
        <f t="shared" si="319"/>
        <v>0</v>
      </c>
      <c r="BD155" s="5">
        <f t="shared" si="320"/>
        <v>0</v>
      </c>
      <c r="BE155" s="199">
        <f t="shared" si="321"/>
        <v>0</v>
      </c>
      <c r="BF155" s="21">
        <f t="shared" si="322"/>
        <v>0</v>
      </c>
      <c r="BG155" s="6">
        <f t="shared" si="323"/>
        <v>0</v>
      </c>
      <c r="BH155" s="5">
        <f t="shared" si="324"/>
        <v>0</v>
      </c>
      <c r="BI155" s="6">
        <f t="shared" si="325"/>
        <v>0</v>
      </c>
      <c r="BJ155" s="5">
        <f t="shared" si="326"/>
        <v>0</v>
      </c>
      <c r="BK155" s="20">
        <f t="shared" si="327"/>
        <v>-9.9999999999999998E-13</v>
      </c>
      <c r="BL155" s="20">
        <f t="shared" si="328"/>
        <v>2.4949426837491573E-2</v>
      </c>
      <c r="BM155" s="6">
        <f t="shared" si="329"/>
        <v>37</v>
      </c>
      <c r="BN155" s="5">
        <f t="shared" si="330"/>
        <v>1.7619047619047619</v>
      </c>
      <c r="BO155" s="333">
        <f t="shared" si="331"/>
        <v>0</v>
      </c>
      <c r="BP155" s="334">
        <f t="shared" si="332"/>
        <v>0</v>
      </c>
      <c r="BQ155" s="6">
        <f t="shared" si="333"/>
        <v>0</v>
      </c>
      <c r="BR155" s="5">
        <f t="shared" si="334"/>
        <v>0</v>
      </c>
      <c r="BS155" s="6">
        <f t="shared" si="335"/>
        <v>0</v>
      </c>
      <c r="BT155" s="5">
        <f t="shared" si="336"/>
        <v>0</v>
      </c>
      <c r="BU155" s="181">
        <f t="shared" si="337"/>
        <v>0</v>
      </c>
      <c r="BV155" s="154">
        <f t="shared" si="338"/>
        <v>0</v>
      </c>
      <c r="BW155" s="181">
        <f t="shared" si="339"/>
        <v>0</v>
      </c>
      <c r="BX155" s="180">
        <f t="shared" si="340"/>
        <v>0</v>
      </c>
      <c r="BY155" s="181">
        <f t="shared" si="341"/>
        <v>0</v>
      </c>
      <c r="BZ155" s="154">
        <f t="shared" si="342"/>
        <v>0</v>
      </c>
      <c r="CA155" s="182">
        <f t="shared" si="343"/>
        <v>0</v>
      </c>
      <c r="CB155" s="2">
        <f t="shared" si="344"/>
        <v>0</v>
      </c>
      <c r="CC155" s="2">
        <f t="shared" si="345"/>
        <v>0</v>
      </c>
      <c r="CD155" s="2">
        <f t="shared" si="346"/>
        <v>0</v>
      </c>
      <c r="CE155" s="2">
        <f t="shared" si="347"/>
        <v>4</v>
      </c>
      <c r="CF155" s="6">
        <f t="shared" si="348"/>
        <v>0</v>
      </c>
      <c r="CG155" s="6">
        <f t="shared" si="349"/>
        <v>459</v>
      </c>
      <c r="CH155" s="6">
        <f t="shared" si="350"/>
        <v>240</v>
      </c>
      <c r="CI155" s="20">
        <f t="shared" si="351"/>
        <v>0.52287581699346408</v>
      </c>
      <c r="CJ155" s="133">
        <f t="shared" si="352"/>
        <v>2521</v>
      </c>
      <c r="CK155" s="5">
        <f t="shared" si="353"/>
        <v>6.2</v>
      </c>
      <c r="CL155" s="302" t="s">
        <v>19</v>
      </c>
      <c r="CM155" s="298" t="s">
        <v>13</v>
      </c>
      <c r="CN155" s="298" t="s">
        <v>1499</v>
      </c>
      <c r="CO155" s="298">
        <v>22</v>
      </c>
      <c r="CP155" s="298" t="s">
        <v>1504</v>
      </c>
      <c r="CQ155" s="298" t="s">
        <v>1131</v>
      </c>
      <c r="CR155" s="298" t="s">
        <v>644</v>
      </c>
      <c r="CS155" s="298" t="s">
        <v>1412</v>
      </c>
      <c r="CT155" s="298" t="s">
        <v>911</v>
      </c>
      <c r="CU155" s="299">
        <v>47118</v>
      </c>
      <c r="CV155" s="298">
        <v>0</v>
      </c>
      <c r="CW155" s="298">
        <v>1890</v>
      </c>
      <c r="CX155" s="298">
        <v>37</v>
      </c>
      <c r="CY155" s="298">
        <v>0</v>
      </c>
      <c r="CZ155" s="298">
        <v>0</v>
      </c>
      <c r="DA155" s="298">
        <v>0</v>
      </c>
      <c r="DB155" s="298">
        <v>0</v>
      </c>
      <c r="DC155" s="298">
        <v>0</v>
      </c>
      <c r="DD155" s="298">
        <v>0</v>
      </c>
      <c r="DE155" s="298">
        <v>1</v>
      </c>
      <c r="DF155" s="298">
        <v>0</v>
      </c>
      <c r="DG155" s="298">
        <v>0</v>
      </c>
      <c r="DH155" s="298">
        <v>0</v>
      </c>
      <c r="DI155" s="298">
        <v>4</v>
      </c>
      <c r="DJ155" s="298">
        <v>0</v>
      </c>
      <c r="DK155" s="298">
        <v>0</v>
      </c>
      <c r="DL155" s="298">
        <v>420</v>
      </c>
      <c r="DM155" s="298">
        <v>240</v>
      </c>
      <c r="DN155" s="298">
        <v>0</v>
      </c>
      <c r="DO155" s="298">
        <v>0</v>
      </c>
      <c r="DP155" s="298">
        <v>0</v>
      </c>
      <c r="DQ155" s="298">
        <v>0</v>
      </c>
      <c r="DR155" s="298">
        <v>0</v>
      </c>
      <c r="DS155" s="298">
        <v>0</v>
      </c>
      <c r="DT155" s="298">
        <v>0</v>
      </c>
      <c r="DU155" s="298">
        <v>0</v>
      </c>
      <c r="DV155" s="303">
        <v>6.2</v>
      </c>
    </row>
    <row r="156" spans="1:126" ht="24.95" customHeight="1" thickBot="1" x14ac:dyDescent="0.3">
      <c r="A156" s="29" t="str">
        <f t="shared" si="265"/>
        <v>155º</v>
      </c>
      <c r="B156" s="69" t="str">
        <f t="shared" si="267"/>
        <v>José Rafael</v>
      </c>
      <c r="C156" s="269" t="str">
        <f t="shared" si="268"/>
        <v>BRA</v>
      </c>
      <c r="D156" s="99" t="str">
        <f t="shared" si="269"/>
        <v>Somente Pé Direito</v>
      </c>
      <c r="E156" s="28" t="str">
        <f t="shared" si="270"/>
        <v>Pinheiro (MA)</v>
      </c>
      <c r="F156" s="169">
        <f t="shared" si="271"/>
        <v>25</v>
      </c>
      <c r="G156" s="2" t="str">
        <f t="shared" si="272"/>
        <v>0 €</v>
      </c>
      <c r="H156" s="154">
        <f t="shared" si="273"/>
        <v>1.83</v>
      </c>
      <c r="I156" s="64">
        <f t="shared" si="274"/>
        <v>47118</v>
      </c>
      <c r="J156" s="304" t="str">
        <f t="shared" si="275"/>
        <v>500 € p/m</v>
      </c>
      <c r="K156" s="96">
        <f t="shared" si="266"/>
        <v>3.5222222222222221</v>
      </c>
      <c r="L156" s="146">
        <f t="shared" si="276"/>
        <v>17.977777777777778</v>
      </c>
      <c r="M156" s="6">
        <f t="shared" si="277"/>
        <v>0</v>
      </c>
      <c r="N156" s="5">
        <f t="shared" si="278"/>
        <v>5400</v>
      </c>
      <c r="O156" s="21">
        <f t="shared" si="279"/>
        <v>0</v>
      </c>
      <c r="P156" s="2">
        <f t="shared" si="280"/>
        <v>479</v>
      </c>
      <c r="Q156" s="2">
        <f t="shared" si="281"/>
        <v>282</v>
      </c>
      <c r="R156" s="5">
        <f t="shared" si="282"/>
        <v>15.686032138442522</v>
      </c>
      <c r="S156" s="2">
        <f t="shared" si="283"/>
        <v>197</v>
      </c>
      <c r="T156" s="2">
        <f t="shared" si="284"/>
        <v>85</v>
      </c>
      <c r="U156" s="102">
        <f t="shared" si="285"/>
        <v>0.41127348643006262</v>
      </c>
      <c r="V156" s="102">
        <f t="shared" si="286"/>
        <v>0.58872651356993733</v>
      </c>
      <c r="W156" s="6">
        <f t="shared" si="287"/>
        <v>479</v>
      </c>
      <c r="X156" s="5">
        <f t="shared" si="288"/>
        <v>26.644004944375773</v>
      </c>
      <c r="Y156" s="6">
        <f t="shared" si="289"/>
        <v>0</v>
      </c>
      <c r="Z156" s="5">
        <f t="shared" si="290"/>
        <v>0</v>
      </c>
      <c r="AA156" s="21">
        <f t="shared" si="291"/>
        <v>0</v>
      </c>
      <c r="AB156" s="6">
        <f t="shared" si="292"/>
        <v>0</v>
      </c>
      <c r="AC156" s="5">
        <f t="shared" si="293"/>
        <v>0</v>
      </c>
      <c r="AD156" s="6">
        <f t="shared" si="294"/>
        <v>9</v>
      </c>
      <c r="AE156" s="5">
        <f t="shared" si="295"/>
        <v>0.50061804697156986</v>
      </c>
      <c r="AF156" s="21">
        <f t="shared" si="296"/>
        <v>0.16666666666666666</v>
      </c>
      <c r="AG156" s="6">
        <f t="shared" si="297"/>
        <v>9</v>
      </c>
      <c r="AH156" s="5">
        <f t="shared" si="298"/>
        <v>0.50061804697156986</v>
      </c>
      <c r="AI156" s="21">
        <f t="shared" si="299"/>
        <v>0.16666666666666666</v>
      </c>
      <c r="AJ156" s="6">
        <f t="shared" si="300"/>
        <v>36</v>
      </c>
      <c r="AK156" s="5">
        <f t="shared" si="301"/>
        <v>2.2950354609929078</v>
      </c>
      <c r="AL156" s="21">
        <f t="shared" si="302"/>
        <v>0.66666666666666663</v>
      </c>
      <c r="AM156" s="21">
        <f t="shared" si="303"/>
        <v>0.11124845488257107</v>
      </c>
      <c r="AN156" s="6">
        <f t="shared" si="304"/>
        <v>2</v>
      </c>
      <c r="AO156" s="5">
        <f t="shared" si="305"/>
        <v>0.11124845488257107</v>
      </c>
      <c r="AP156" s="6">
        <f t="shared" si="306"/>
        <v>54</v>
      </c>
      <c r="AQ156" s="5">
        <f t="shared" si="307"/>
        <v>3.003708281829419</v>
      </c>
      <c r="AR156" s="2">
        <f t="shared" si="308"/>
        <v>93</v>
      </c>
      <c r="AS156" s="5">
        <f t="shared" si="309"/>
        <v>5.1730531520395546</v>
      </c>
      <c r="AT156" s="21">
        <f t="shared" si="310"/>
        <v>0.58064516129032262</v>
      </c>
      <c r="AU156" s="20">
        <f t="shared" si="311"/>
        <v>0.5357142857142857</v>
      </c>
      <c r="AV156" s="20">
        <f t="shared" si="312"/>
        <v>0.41935483870967749</v>
      </c>
      <c r="AW156" s="199">
        <f t="shared" si="313"/>
        <v>0.87096774193548387</v>
      </c>
      <c r="AX156" s="24">
        <f t="shared" si="314"/>
        <v>41.487179487179489</v>
      </c>
      <c r="AY156" s="5">
        <f t="shared" si="315"/>
        <v>2.3846153846153846</v>
      </c>
      <c r="AZ156" s="5">
        <f t="shared" si="316"/>
        <v>2.1538461538461537</v>
      </c>
      <c r="BA156" s="5">
        <f t="shared" si="317"/>
        <v>-8.99</v>
      </c>
      <c r="BB156" s="5">
        <f t="shared" si="318"/>
        <v>-0.500061804697157</v>
      </c>
      <c r="BC156" s="5">
        <f t="shared" si="319"/>
        <v>-8.99</v>
      </c>
      <c r="BD156" s="5">
        <f t="shared" si="320"/>
        <v>-0.500061804697157</v>
      </c>
      <c r="BE156" s="199">
        <f t="shared" si="321"/>
        <v>-4.4950000000000001</v>
      </c>
      <c r="BF156" s="21">
        <f t="shared" si="322"/>
        <v>-0.29956681106297905</v>
      </c>
      <c r="BG156" s="6">
        <f t="shared" si="323"/>
        <v>3</v>
      </c>
      <c r="BH156" s="5">
        <f t="shared" si="324"/>
        <v>0.1668726823238566</v>
      </c>
      <c r="BI156" s="6">
        <f t="shared" si="325"/>
        <v>0</v>
      </c>
      <c r="BJ156" s="5">
        <f t="shared" si="326"/>
        <v>0</v>
      </c>
      <c r="BK156" s="20">
        <f t="shared" si="327"/>
        <v>0</v>
      </c>
      <c r="BL156" s="20">
        <f t="shared" si="328"/>
        <v>2.6298044504383007E-2</v>
      </c>
      <c r="BM156" s="6">
        <f t="shared" si="329"/>
        <v>39</v>
      </c>
      <c r="BN156" s="5">
        <f t="shared" si="330"/>
        <v>2.1693448702101361</v>
      </c>
      <c r="BO156" s="333">
        <f t="shared" si="331"/>
        <v>0</v>
      </c>
      <c r="BP156" s="334">
        <f t="shared" si="332"/>
        <v>0</v>
      </c>
      <c r="BQ156" s="6">
        <f t="shared" si="333"/>
        <v>53.933333333333337</v>
      </c>
      <c r="BR156" s="5">
        <f t="shared" si="334"/>
        <v>3</v>
      </c>
      <c r="BS156" s="6">
        <f t="shared" si="335"/>
        <v>113.25999999999999</v>
      </c>
      <c r="BT156" s="5">
        <f t="shared" si="336"/>
        <v>6.3</v>
      </c>
      <c r="BU156" s="181">
        <f t="shared" si="337"/>
        <v>3</v>
      </c>
      <c r="BV156" s="154">
        <f t="shared" si="338"/>
        <v>0.1668726823238566</v>
      </c>
      <c r="BW156" s="181">
        <f t="shared" si="339"/>
        <v>0</v>
      </c>
      <c r="BX156" s="180">
        <f t="shared" si="340"/>
        <v>0</v>
      </c>
      <c r="BY156" s="181">
        <f t="shared" si="341"/>
        <v>3</v>
      </c>
      <c r="BZ156" s="154">
        <f t="shared" si="342"/>
        <v>0.1668726823238566</v>
      </c>
      <c r="CA156" s="182">
        <f t="shared" si="343"/>
        <v>0</v>
      </c>
      <c r="CB156" s="2">
        <f t="shared" si="344"/>
        <v>0</v>
      </c>
      <c r="CC156" s="2">
        <f t="shared" si="345"/>
        <v>0</v>
      </c>
      <c r="CD156" s="2">
        <f t="shared" si="346"/>
        <v>0</v>
      </c>
      <c r="CE156" s="2">
        <f t="shared" si="347"/>
        <v>7</v>
      </c>
      <c r="CF156" s="6">
        <f t="shared" si="348"/>
        <v>0</v>
      </c>
      <c r="CG156" s="6">
        <f t="shared" si="349"/>
        <v>590.37900000000002</v>
      </c>
      <c r="CH156" s="6">
        <f t="shared" si="350"/>
        <v>336</v>
      </c>
      <c r="CI156" s="20">
        <f t="shared" si="351"/>
        <v>0.5691259343574212</v>
      </c>
      <c r="CJ156" s="133">
        <f t="shared" si="352"/>
        <v>2521</v>
      </c>
      <c r="CK156" s="5">
        <f t="shared" si="353"/>
        <v>6.02</v>
      </c>
      <c r="CL156" s="300"/>
      <c r="CM156" s="296" t="s">
        <v>13</v>
      </c>
      <c r="CN156" s="296" t="s">
        <v>1505</v>
      </c>
      <c r="CO156" s="296">
        <v>25</v>
      </c>
      <c r="CP156" s="296" t="s">
        <v>1506</v>
      </c>
      <c r="CQ156" s="296" t="s">
        <v>1131</v>
      </c>
      <c r="CR156" s="296" t="s">
        <v>645</v>
      </c>
      <c r="CS156" s="296" t="s">
        <v>760</v>
      </c>
      <c r="CT156" s="296" t="s">
        <v>586</v>
      </c>
      <c r="CU156" s="297">
        <v>47118</v>
      </c>
      <c r="CV156" s="296">
        <v>0</v>
      </c>
      <c r="CW156" s="296">
        <v>1618</v>
      </c>
      <c r="CX156" s="296">
        <v>39</v>
      </c>
      <c r="CY156" s="296">
        <v>9</v>
      </c>
      <c r="CZ156" s="296">
        <v>9</v>
      </c>
      <c r="DA156" s="296">
        <v>36</v>
      </c>
      <c r="DB156" s="296">
        <v>0</v>
      </c>
      <c r="DC156" s="296">
        <v>3</v>
      </c>
      <c r="DD156" s="296">
        <v>6.3</v>
      </c>
      <c r="DE156" s="296">
        <v>2</v>
      </c>
      <c r="DF156" s="296">
        <v>0</v>
      </c>
      <c r="DG156" s="296">
        <v>0</v>
      </c>
      <c r="DH156" s="296">
        <v>0</v>
      </c>
      <c r="DI156" s="296">
        <v>7</v>
      </c>
      <c r="DJ156" s="296">
        <v>0</v>
      </c>
      <c r="DK156" s="296">
        <v>0</v>
      </c>
      <c r="DL156" s="296">
        <v>479</v>
      </c>
      <c r="DM156" s="296">
        <v>282</v>
      </c>
      <c r="DN156" s="296" t="s">
        <v>1507</v>
      </c>
      <c r="DO156" s="296">
        <v>0</v>
      </c>
      <c r="DP156" s="296">
        <v>0</v>
      </c>
      <c r="DQ156" s="296">
        <v>3</v>
      </c>
      <c r="DR156" s="296">
        <v>0</v>
      </c>
      <c r="DS156" s="296">
        <v>0</v>
      </c>
      <c r="DT156" s="296">
        <v>3</v>
      </c>
      <c r="DU156" s="296">
        <v>0</v>
      </c>
      <c r="DV156" s="301">
        <v>6.02</v>
      </c>
    </row>
    <row r="157" spans="1:126" ht="24.95" customHeight="1" thickBot="1" x14ac:dyDescent="0.3">
      <c r="A157" s="29" t="str">
        <f t="shared" si="265"/>
        <v>156º</v>
      </c>
      <c r="B157" s="69" t="str">
        <f t="shared" si="267"/>
        <v>Mengo</v>
      </c>
      <c r="C157" s="269" t="str">
        <f t="shared" si="268"/>
        <v>BRA</v>
      </c>
      <c r="D157" s="99" t="str">
        <f t="shared" si="269"/>
        <v>Pé Direito</v>
      </c>
      <c r="E157" s="28" t="str">
        <f t="shared" si="270"/>
        <v>Pinheiro (MA)</v>
      </c>
      <c r="F157" s="169">
        <f t="shared" si="271"/>
        <v>22</v>
      </c>
      <c r="G157" s="2" t="str">
        <f t="shared" si="272"/>
        <v>0 €</v>
      </c>
      <c r="H157" s="154">
        <f t="shared" si="273"/>
        <v>1.85</v>
      </c>
      <c r="I157" s="64">
        <f t="shared" si="274"/>
        <v>47118</v>
      </c>
      <c r="J157" s="304" t="str">
        <f t="shared" si="275"/>
        <v>500 € p/m</v>
      </c>
      <c r="K157" s="96">
        <f t="shared" si="266"/>
        <v>3.5222222222222221</v>
      </c>
      <c r="L157" s="146">
        <f t="shared" si="276"/>
        <v>5.0222222222222221</v>
      </c>
      <c r="M157" s="6">
        <f t="shared" si="277"/>
        <v>0</v>
      </c>
      <c r="N157" s="5">
        <f t="shared" si="278"/>
        <v>5400</v>
      </c>
      <c r="O157" s="21">
        <f t="shared" si="279"/>
        <v>0</v>
      </c>
      <c r="P157" s="2">
        <f t="shared" si="280"/>
        <v>130</v>
      </c>
      <c r="Q157" s="2">
        <f t="shared" si="281"/>
        <v>68</v>
      </c>
      <c r="R157" s="5">
        <f t="shared" si="282"/>
        <v>13.539823008849558</v>
      </c>
      <c r="S157" s="2">
        <f t="shared" si="283"/>
        <v>62</v>
      </c>
      <c r="T157" s="2">
        <f t="shared" si="284"/>
        <v>6</v>
      </c>
      <c r="U157" s="102">
        <f t="shared" si="285"/>
        <v>0.47692307692307695</v>
      </c>
      <c r="V157" s="102">
        <f t="shared" si="286"/>
        <v>0.52307692307692311</v>
      </c>
      <c r="W157" s="6">
        <f t="shared" si="287"/>
        <v>130</v>
      </c>
      <c r="X157" s="5">
        <f t="shared" si="288"/>
        <v>25.884955752212388</v>
      </c>
      <c r="Y157" s="6">
        <f t="shared" si="289"/>
        <v>0</v>
      </c>
      <c r="Z157" s="5">
        <f t="shared" si="290"/>
        <v>0</v>
      </c>
      <c r="AA157" s="21">
        <f t="shared" si="291"/>
        <v>0</v>
      </c>
      <c r="AB157" s="6">
        <f t="shared" si="292"/>
        <v>0</v>
      </c>
      <c r="AC157" s="5">
        <f t="shared" si="293"/>
        <v>0</v>
      </c>
      <c r="AD157" s="6">
        <f t="shared" si="294"/>
        <v>6</v>
      </c>
      <c r="AE157" s="5">
        <f t="shared" si="295"/>
        <v>1.1946902654867257</v>
      </c>
      <c r="AF157" s="21">
        <f t="shared" si="296"/>
        <v>0.27272727272727271</v>
      </c>
      <c r="AG157" s="6">
        <f t="shared" si="297"/>
        <v>7</v>
      </c>
      <c r="AH157" s="5">
        <f t="shared" si="298"/>
        <v>1.3938053097345133</v>
      </c>
      <c r="AI157" s="21">
        <f t="shared" si="299"/>
        <v>0.31818181818181818</v>
      </c>
      <c r="AJ157" s="6">
        <f t="shared" si="300"/>
        <v>9</v>
      </c>
      <c r="AK157" s="5">
        <f t="shared" si="301"/>
        <v>0.66470588235294115</v>
      </c>
      <c r="AL157" s="21">
        <f t="shared" si="302"/>
        <v>0.40909090909090912</v>
      </c>
      <c r="AM157" s="21">
        <f t="shared" si="303"/>
        <v>0.19911504424778761</v>
      </c>
      <c r="AN157" s="6">
        <f t="shared" si="304"/>
        <v>1</v>
      </c>
      <c r="AO157" s="5">
        <f t="shared" si="305"/>
        <v>0.19911504424778761</v>
      </c>
      <c r="AP157" s="6">
        <f t="shared" si="306"/>
        <v>22</v>
      </c>
      <c r="AQ157" s="5">
        <f t="shared" si="307"/>
        <v>4.3805309734513278</v>
      </c>
      <c r="AR157" s="2">
        <f t="shared" si="308"/>
        <v>30</v>
      </c>
      <c r="AS157" s="5">
        <f t="shared" si="309"/>
        <v>5.9734513274336285</v>
      </c>
      <c r="AT157" s="21">
        <f t="shared" si="310"/>
        <v>0.73333333333333328</v>
      </c>
      <c r="AU157" s="20">
        <f t="shared" si="311"/>
        <v>0.66666666666666663</v>
      </c>
      <c r="AV157" s="20">
        <f t="shared" si="312"/>
        <v>0.26666666666666666</v>
      </c>
      <c r="AW157" s="199">
        <f t="shared" si="313"/>
        <v>1.1166666666666667</v>
      </c>
      <c r="AX157" s="24">
        <f t="shared" si="314"/>
        <v>56.5</v>
      </c>
      <c r="AY157" s="5">
        <f t="shared" si="315"/>
        <v>3.75</v>
      </c>
      <c r="AZ157" s="5">
        <f t="shared" si="316"/>
        <v>3</v>
      </c>
      <c r="BA157" s="5">
        <f t="shared" si="317"/>
        <v>0.2</v>
      </c>
      <c r="BB157" s="5">
        <f t="shared" si="318"/>
        <v>3.9823008849557522E-2</v>
      </c>
      <c r="BC157" s="5">
        <f t="shared" si="319"/>
        <v>0.2</v>
      </c>
      <c r="BD157" s="5">
        <f t="shared" si="320"/>
        <v>3.9823008849557522E-2</v>
      </c>
      <c r="BE157" s="199">
        <f t="shared" si="321"/>
        <v>0.19999999999999998</v>
      </c>
      <c r="BF157" s="21">
        <f t="shared" si="322"/>
        <v>2.4390243902439029E-2</v>
      </c>
      <c r="BG157" s="6">
        <f t="shared" si="323"/>
        <v>0</v>
      </c>
      <c r="BH157" s="5">
        <f t="shared" si="324"/>
        <v>0</v>
      </c>
      <c r="BI157" s="6">
        <f t="shared" si="325"/>
        <v>0</v>
      </c>
      <c r="BJ157" s="5">
        <f t="shared" si="326"/>
        <v>0</v>
      </c>
      <c r="BK157" s="20">
        <f t="shared" si="327"/>
        <v>-9.9999999999999998E-13</v>
      </c>
      <c r="BL157" s="20">
        <f t="shared" si="328"/>
        <v>5.394470667565745E-3</v>
      </c>
      <c r="BM157" s="6">
        <f t="shared" si="329"/>
        <v>8</v>
      </c>
      <c r="BN157" s="5">
        <f t="shared" si="330"/>
        <v>1.5929203539823009</v>
      </c>
      <c r="BO157" s="333">
        <f t="shared" si="331"/>
        <v>0</v>
      </c>
      <c r="BP157" s="334">
        <f t="shared" si="332"/>
        <v>0</v>
      </c>
      <c r="BQ157" s="6">
        <f t="shared" si="333"/>
        <v>1.0044444444444445</v>
      </c>
      <c r="BR157" s="5">
        <f t="shared" si="334"/>
        <v>0.2</v>
      </c>
      <c r="BS157" s="6">
        <f t="shared" si="335"/>
        <v>44.195555555555558</v>
      </c>
      <c r="BT157" s="5">
        <f t="shared" si="336"/>
        <v>8.8000000000000007</v>
      </c>
      <c r="BU157" s="181">
        <f t="shared" si="337"/>
        <v>0</v>
      </c>
      <c r="BV157" s="154">
        <f t="shared" si="338"/>
        <v>0</v>
      </c>
      <c r="BW157" s="181">
        <f t="shared" si="339"/>
        <v>0</v>
      </c>
      <c r="BX157" s="180">
        <f t="shared" si="340"/>
        <v>0</v>
      </c>
      <c r="BY157" s="181">
        <f t="shared" si="341"/>
        <v>0</v>
      </c>
      <c r="BZ157" s="154">
        <f t="shared" si="342"/>
        <v>0</v>
      </c>
      <c r="CA157" s="182">
        <f t="shared" si="343"/>
        <v>0</v>
      </c>
      <c r="CB157" s="2">
        <f t="shared" si="344"/>
        <v>0</v>
      </c>
      <c r="CC157" s="2">
        <f t="shared" si="345"/>
        <v>0</v>
      </c>
      <c r="CD157" s="2">
        <f t="shared" si="346"/>
        <v>0</v>
      </c>
      <c r="CE157" s="2">
        <f t="shared" si="347"/>
        <v>0</v>
      </c>
      <c r="CF157" s="6">
        <f t="shared" si="348"/>
        <v>0</v>
      </c>
      <c r="CG157" s="6">
        <f t="shared" si="349"/>
        <v>173.70400000000001</v>
      </c>
      <c r="CH157" s="6">
        <f t="shared" si="350"/>
        <v>90</v>
      </c>
      <c r="CI157" s="20">
        <f t="shared" si="351"/>
        <v>0.51812278358587016</v>
      </c>
      <c r="CJ157" s="133">
        <f t="shared" si="352"/>
        <v>2521</v>
      </c>
      <c r="CK157" s="5">
        <f t="shared" si="353"/>
        <v>6.46</v>
      </c>
      <c r="CL157" s="302"/>
      <c r="CM157" s="298" t="s">
        <v>13</v>
      </c>
      <c r="CN157" s="298" t="s">
        <v>1505</v>
      </c>
      <c r="CO157" s="298">
        <v>22</v>
      </c>
      <c r="CP157" s="298" t="s">
        <v>1508</v>
      </c>
      <c r="CQ157" s="298" t="s">
        <v>1131</v>
      </c>
      <c r="CR157" s="298" t="s">
        <v>644</v>
      </c>
      <c r="CS157" s="298" t="s">
        <v>760</v>
      </c>
      <c r="CT157" s="298" t="s">
        <v>587</v>
      </c>
      <c r="CU157" s="299">
        <v>47118</v>
      </c>
      <c r="CV157" s="298">
        <v>0</v>
      </c>
      <c r="CW157" s="298">
        <v>452</v>
      </c>
      <c r="CX157" s="298">
        <v>8</v>
      </c>
      <c r="CY157" s="298">
        <v>6</v>
      </c>
      <c r="CZ157" s="298">
        <v>7</v>
      </c>
      <c r="DA157" s="298">
        <v>9</v>
      </c>
      <c r="DB157" s="298">
        <v>0</v>
      </c>
      <c r="DC157" s="298">
        <v>0.2</v>
      </c>
      <c r="DD157" s="298">
        <v>8.8000000000000007</v>
      </c>
      <c r="DE157" s="298">
        <v>1</v>
      </c>
      <c r="DF157" s="298">
        <v>0</v>
      </c>
      <c r="DG157" s="298">
        <v>0</v>
      </c>
      <c r="DH157" s="298">
        <v>0</v>
      </c>
      <c r="DI157" s="298">
        <v>0</v>
      </c>
      <c r="DJ157" s="298">
        <v>0</v>
      </c>
      <c r="DK157" s="298">
        <v>0</v>
      </c>
      <c r="DL157" s="298">
        <v>130</v>
      </c>
      <c r="DM157" s="298">
        <v>68</v>
      </c>
      <c r="DN157" s="298" t="s">
        <v>1509</v>
      </c>
      <c r="DO157" s="298">
        <v>0</v>
      </c>
      <c r="DP157" s="298">
        <v>0</v>
      </c>
      <c r="DQ157" s="298">
        <v>0</v>
      </c>
      <c r="DR157" s="298">
        <v>0</v>
      </c>
      <c r="DS157" s="298">
        <v>0</v>
      </c>
      <c r="DT157" s="298">
        <v>0</v>
      </c>
      <c r="DU157" s="298">
        <v>0</v>
      </c>
      <c r="DV157" s="303">
        <v>6.46</v>
      </c>
    </row>
    <row r="158" spans="1:126" ht="24.95" customHeight="1" thickBot="1" x14ac:dyDescent="0.3">
      <c r="A158" s="29" t="str">
        <f t="shared" si="265"/>
        <v>157º</v>
      </c>
      <c r="B158" s="69" t="str">
        <f t="shared" si="267"/>
        <v>Digão</v>
      </c>
      <c r="C158" s="269" t="str">
        <f t="shared" si="268"/>
        <v>BRA</v>
      </c>
      <c r="D158" s="99" t="str">
        <f t="shared" si="269"/>
        <v>Pé Direito</v>
      </c>
      <c r="E158" s="28" t="str">
        <f t="shared" si="270"/>
        <v>SERC</v>
      </c>
      <c r="F158" s="169">
        <f t="shared" si="271"/>
        <v>20</v>
      </c>
      <c r="G158" s="2" t="str">
        <f t="shared" si="272"/>
        <v>0 €</v>
      </c>
      <c r="H158" s="154">
        <f t="shared" si="273"/>
        <v>1.82</v>
      </c>
      <c r="I158" s="64">
        <f t="shared" si="274"/>
        <v>47118</v>
      </c>
      <c r="J158" s="304" t="str">
        <f t="shared" si="275"/>
        <v>500 € p/m</v>
      </c>
      <c r="K158" s="96">
        <f t="shared" si="266"/>
        <v>3.5222222222222221</v>
      </c>
      <c r="L158" s="146">
        <f t="shared" si="276"/>
        <v>0</v>
      </c>
      <c r="M158" s="6">
        <f t="shared" si="277"/>
        <v>0</v>
      </c>
      <c r="N158" s="5">
        <f t="shared" si="278"/>
        <v>5400</v>
      </c>
      <c r="O158" s="21">
        <f t="shared" si="279"/>
        <v>0</v>
      </c>
      <c r="P158" s="2">
        <f t="shared" si="280"/>
        <v>0</v>
      </c>
      <c r="Q158" s="2">
        <f t="shared" si="281"/>
        <v>0</v>
      </c>
      <c r="R158" s="5">
        <f t="shared" si="282"/>
        <v>0</v>
      </c>
      <c r="S158" s="2">
        <f t="shared" si="283"/>
        <v>0</v>
      </c>
      <c r="T158" s="2">
        <f t="shared" si="284"/>
        <v>0</v>
      </c>
      <c r="U158" s="102">
        <f t="shared" si="285"/>
        <v>0</v>
      </c>
      <c r="V158" s="102">
        <f t="shared" si="286"/>
        <v>0</v>
      </c>
      <c r="W158" s="6">
        <f t="shared" si="287"/>
        <v>0</v>
      </c>
      <c r="X158" s="5">
        <f t="shared" si="288"/>
        <v>0</v>
      </c>
      <c r="Y158" s="6">
        <f t="shared" si="289"/>
        <v>0</v>
      </c>
      <c r="Z158" s="5" t="e">
        <f t="shared" si="290"/>
        <v>#DIV/0!</v>
      </c>
      <c r="AA158" s="21">
        <f t="shared" si="291"/>
        <v>0</v>
      </c>
      <c r="AB158" s="6">
        <f t="shared" si="292"/>
        <v>0</v>
      </c>
      <c r="AC158" s="5" t="e">
        <f t="shared" si="293"/>
        <v>#DIV/0!</v>
      </c>
      <c r="AD158" s="6">
        <f t="shared" si="294"/>
        <v>0</v>
      </c>
      <c r="AE158" s="5">
        <f t="shared" si="295"/>
        <v>0</v>
      </c>
      <c r="AF158" s="21">
        <f t="shared" si="296"/>
        <v>0</v>
      </c>
      <c r="AG158" s="6">
        <f t="shared" si="297"/>
        <v>0</v>
      </c>
      <c r="AH158" s="5">
        <f t="shared" si="298"/>
        <v>0</v>
      </c>
      <c r="AI158" s="21">
        <f t="shared" si="299"/>
        <v>0</v>
      </c>
      <c r="AJ158" s="6">
        <f t="shared" si="300"/>
        <v>0</v>
      </c>
      <c r="AK158" s="5">
        <f t="shared" si="301"/>
        <v>0</v>
      </c>
      <c r="AL158" s="21">
        <f t="shared" si="302"/>
        <v>0</v>
      </c>
      <c r="AM158" s="21">
        <f t="shared" si="303"/>
        <v>0</v>
      </c>
      <c r="AN158" s="6">
        <f t="shared" si="304"/>
        <v>0</v>
      </c>
      <c r="AO158" s="5">
        <f t="shared" si="305"/>
        <v>0</v>
      </c>
      <c r="AP158" s="6">
        <f t="shared" si="306"/>
        <v>0</v>
      </c>
      <c r="AQ158" s="5">
        <f t="shared" si="307"/>
        <v>0</v>
      </c>
      <c r="AR158" s="2">
        <f t="shared" si="308"/>
        <v>0</v>
      </c>
      <c r="AS158" s="5">
        <f t="shared" si="309"/>
        <v>0</v>
      </c>
      <c r="AT158" s="21">
        <f t="shared" si="310"/>
        <v>0</v>
      </c>
      <c r="AU158" s="20">
        <f t="shared" si="311"/>
        <v>0</v>
      </c>
      <c r="AV158" s="20">
        <f t="shared" si="312"/>
        <v>1</v>
      </c>
      <c r="AW158" s="199">
        <f t="shared" si="313"/>
        <v>0</v>
      </c>
      <c r="AX158" s="24">
        <f t="shared" si="314"/>
        <v>0</v>
      </c>
      <c r="AY158" s="5">
        <f t="shared" si="315"/>
        <v>0</v>
      </c>
      <c r="AZ158" s="5">
        <f t="shared" si="316"/>
        <v>0</v>
      </c>
      <c r="BA158" s="5">
        <f t="shared" si="317"/>
        <v>0</v>
      </c>
      <c r="BB158" s="5">
        <f t="shared" si="318"/>
        <v>0</v>
      </c>
      <c r="BC158" s="5">
        <f t="shared" si="319"/>
        <v>0</v>
      </c>
      <c r="BD158" s="5">
        <f t="shared" si="320"/>
        <v>0</v>
      </c>
      <c r="BE158" s="199">
        <f t="shared" si="321"/>
        <v>0</v>
      </c>
      <c r="BF158" s="21">
        <f t="shared" si="322"/>
        <v>0</v>
      </c>
      <c r="BG158" s="6">
        <f t="shared" si="323"/>
        <v>0</v>
      </c>
      <c r="BH158" s="5" t="e">
        <f t="shared" si="324"/>
        <v>#DIV/0!</v>
      </c>
      <c r="BI158" s="6">
        <f t="shared" si="325"/>
        <v>0</v>
      </c>
      <c r="BJ158" s="5" t="e">
        <f t="shared" si="326"/>
        <v>#DIV/0!</v>
      </c>
      <c r="BK158" s="20">
        <f t="shared" si="327"/>
        <v>-9.9999999999999998E-13</v>
      </c>
      <c r="BL158" s="20">
        <f t="shared" si="328"/>
        <v>0</v>
      </c>
      <c r="BM158" s="6">
        <f t="shared" si="329"/>
        <v>0</v>
      </c>
      <c r="BN158" s="5">
        <f t="shared" si="330"/>
        <v>0</v>
      </c>
      <c r="BO158" s="333">
        <f t="shared" si="331"/>
        <v>0</v>
      </c>
      <c r="BP158" s="334">
        <f t="shared" si="332"/>
        <v>0</v>
      </c>
      <c r="BQ158" s="6">
        <f t="shared" si="333"/>
        <v>0</v>
      </c>
      <c r="BR158" s="5">
        <f t="shared" si="334"/>
        <v>0</v>
      </c>
      <c r="BS158" s="6">
        <f t="shared" si="335"/>
        <v>0</v>
      </c>
      <c r="BT158" s="5">
        <f t="shared" si="336"/>
        <v>0</v>
      </c>
      <c r="BU158" s="181">
        <f t="shared" si="337"/>
        <v>0</v>
      </c>
      <c r="BV158" s="154">
        <f t="shared" si="338"/>
        <v>0</v>
      </c>
      <c r="BW158" s="181">
        <f t="shared" si="339"/>
        <v>0</v>
      </c>
      <c r="BX158" s="180">
        <f t="shared" si="340"/>
        <v>0</v>
      </c>
      <c r="BY158" s="181">
        <f t="shared" si="341"/>
        <v>0</v>
      </c>
      <c r="BZ158" s="154">
        <f t="shared" si="342"/>
        <v>0</v>
      </c>
      <c r="CA158" s="182">
        <f t="shared" si="343"/>
        <v>0</v>
      </c>
      <c r="CB158" s="2">
        <f t="shared" si="344"/>
        <v>0</v>
      </c>
      <c r="CC158" s="2">
        <f t="shared" si="345"/>
        <v>0</v>
      </c>
      <c r="CD158" s="2">
        <f t="shared" si="346"/>
        <v>0</v>
      </c>
      <c r="CE158" s="2">
        <f t="shared" si="347"/>
        <v>0</v>
      </c>
      <c r="CF158" s="6">
        <f t="shared" si="348"/>
        <v>0</v>
      </c>
      <c r="CG158" s="6">
        <f t="shared" si="349"/>
        <v>0</v>
      </c>
      <c r="CH158" s="6">
        <f t="shared" si="350"/>
        <v>0</v>
      </c>
      <c r="CI158" s="20">
        <f t="shared" si="351"/>
        <v>0</v>
      </c>
      <c r="CJ158" s="133">
        <f t="shared" si="352"/>
        <v>2521</v>
      </c>
      <c r="CK158" s="5">
        <f t="shared" si="353"/>
        <v>0</v>
      </c>
      <c r="CL158" s="300"/>
      <c r="CM158" s="296" t="s">
        <v>13</v>
      </c>
      <c r="CN158" s="296" t="s">
        <v>1510</v>
      </c>
      <c r="CO158" s="296">
        <v>20</v>
      </c>
      <c r="CP158" s="296" t="s">
        <v>1511</v>
      </c>
      <c r="CQ158" s="296" t="s">
        <v>1131</v>
      </c>
      <c r="CR158" s="296" t="s">
        <v>644</v>
      </c>
      <c r="CS158" s="296" t="s">
        <v>760</v>
      </c>
      <c r="CT158" s="296" t="s">
        <v>546</v>
      </c>
      <c r="CU158" s="297">
        <v>47118</v>
      </c>
      <c r="CV158" s="296">
        <v>0</v>
      </c>
      <c r="CW158" s="296">
        <v>0</v>
      </c>
      <c r="CX158" s="296">
        <v>0</v>
      </c>
      <c r="CY158" s="296">
        <v>0</v>
      </c>
      <c r="CZ158" s="296">
        <v>0</v>
      </c>
      <c r="DA158" s="296">
        <v>0</v>
      </c>
      <c r="DB158" s="296">
        <v>0</v>
      </c>
      <c r="DC158" s="296">
        <v>0</v>
      </c>
      <c r="DD158" s="296">
        <v>0</v>
      </c>
      <c r="DE158" s="296">
        <v>0</v>
      </c>
      <c r="DF158" s="296">
        <v>0</v>
      </c>
      <c r="DG158" s="296">
        <v>0</v>
      </c>
      <c r="DH158" s="296">
        <v>0</v>
      </c>
      <c r="DI158" s="296">
        <v>0</v>
      </c>
      <c r="DJ158" s="296">
        <v>0</v>
      </c>
      <c r="DK158" s="296">
        <v>0</v>
      </c>
      <c r="DL158" s="296">
        <v>0</v>
      </c>
      <c r="DM158" s="296">
        <v>0</v>
      </c>
      <c r="DN158" s="296">
        <v>0</v>
      </c>
      <c r="DO158" s="296">
        <v>0</v>
      </c>
      <c r="DP158" s="296">
        <v>0</v>
      </c>
      <c r="DQ158" s="296">
        <v>0</v>
      </c>
      <c r="DR158" s="296">
        <v>0</v>
      </c>
      <c r="DS158" s="296">
        <v>0</v>
      </c>
      <c r="DT158" s="296">
        <v>0</v>
      </c>
      <c r="DU158" s="296">
        <v>0</v>
      </c>
      <c r="DV158" s="301" t="s">
        <v>548</v>
      </c>
    </row>
    <row r="159" spans="1:126" ht="24.95" customHeight="1" thickBot="1" x14ac:dyDescent="0.3">
      <c r="A159" s="29" t="str">
        <f t="shared" si="265"/>
        <v>158º</v>
      </c>
      <c r="B159" s="69" t="str">
        <f t="shared" si="267"/>
        <v>Felipinho</v>
      </c>
      <c r="C159" s="269" t="str">
        <f t="shared" si="268"/>
        <v>BRA</v>
      </c>
      <c r="D159" s="99" t="str">
        <f t="shared" si="269"/>
        <v>Pé Direito</v>
      </c>
      <c r="E159" s="28" t="str">
        <f t="shared" si="270"/>
        <v>Chapada</v>
      </c>
      <c r="F159" s="169">
        <f t="shared" si="271"/>
        <v>23</v>
      </c>
      <c r="G159" s="2" t="str">
        <f t="shared" si="272"/>
        <v>0 €</v>
      </c>
      <c r="H159" s="154">
        <f t="shared" si="273"/>
        <v>1.82</v>
      </c>
      <c r="I159" s="64">
        <f t="shared" si="274"/>
        <v>47118</v>
      </c>
      <c r="J159" s="304" t="str">
        <f t="shared" si="275"/>
        <v>900 € p/m</v>
      </c>
      <c r="K159" s="96">
        <f t="shared" si="266"/>
        <v>3.5222222222222221</v>
      </c>
      <c r="L159" s="146">
        <f t="shared" si="276"/>
        <v>0</v>
      </c>
      <c r="M159" s="6">
        <f t="shared" si="277"/>
        <v>0</v>
      </c>
      <c r="N159" s="5">
        <f t="shared" si="278"/>
        <v>5400</v>
      </c>
      <c r="O159" s="21">
        <f t="shared" si="279"/>
        <v>0</v>
      </c>
      <c r="P159" s="2">
        <f t="shared" si="280"/>
        <v>0</v>
      </c>
      <c r="Q159" s="2">
        <f t="shared" si="281"/>
        <v>0</v>
      </c>
      <c r="R159" s="5">
        <f t="shared" si="282"/>
        <v>0</v>
      </c>
      <c r="S159" s="2">
        <f t="shared" si="283"/>
        <v>0</v>
      </c>
      <c r="T159" s="2">
        <f t="shared" si="284"/>
        <v>0</v>
      </c>
      <c r="U159" s="102">
        <f t="shared" si="285"/>
        <v>0</v>
      </c>
      <c r="V159" s="102">
        <f t="shared" si="286"/>
        <v>0</v>
      </c>
      <c r="W159" s="6">
        <f t="shared" si="287"/>
        <v>0</v>
      </c>
      <c r="X159" s="5">
        <f t="shared" si="288"/>
        <v>0</v>
      </c>
      <c r="Y159" s="6">
        <f t="shared" si="289"/>
        <v>0</v>
      </c>
      <c r="Z159" s="5" t="e">
        <f t="shared" si="290"/>
        <v>#DIV/0!</v>
      </c>
      <c r="AA159" s="21">
        <f t="shared" si="291"/>
        <v>0</v>
      </c>
      <c r="AB159" s="6">
        <f t="shared" si="292"/>
        <v>0</v>
      </c>
      <c r="AC159" s="5" t="e">
        <f t="shared" si="293"/>
        <v>#DIV/0!</v>
      </c>
      <c r="AD159" s="6">
        <f t="shared" si="294"/>
        <v>0</v>
      </c>
      <c r="AE159" s="5">
        <f t="shared" si="295"/>
        <v>0</v>
      </c>
      <c r="AF159" s="21">
        <f t="shared" si="296"/>
        <v>0</v>
      </c>
      <c r="AG159" s="6">
        <f t="shared" si="297"/>
        <v>0</v>
      </c>
      <c r="AH159" s="5">
        <f t="shared" si="298"/>
        <v>0</v>
      </c>
      <c r="AI159" s="21">
        <f t="shared" si="299"/>
        <v>0</v>
      </c>
      <c r="AJ159" s="6">
        <f t="shared" si="300"/>
        <v>0</v>
      </c>
      <c r="AK159" s="5">
        <f t="shared" si="301"/>
        <v>0</v>
      </c>
      <c r="AL159" s="21">
        <f t="shared" si="302"/>
        <v>0</v>
      </c>
      <c r="AM159" s="21">
        <f t="shared" si="303"/>
        <v>0</v>
      </c>
      <c r="AN159" s="6">
        <f t="shared" si="304"/>
        <v>0</v>
      </c>
      <c r="AO159" s="5">
        <f t="shared" si="305"/>
        <v>0</v>
      </c>
      <c r="AP159" s="6">
        <f t="shared" si="306"/>
        <v>0</v>
      </c>
      <c r="AQ159" s="5">
        <f t="shared" si="307"/>
        <v>0</v>
      </c>
      <c r="AR159" s="2">
        <f t="shared" si="308"/>
        <v>0</v>
      </c>
      <c r="AS159" s="5">
        <f t="shared" si="309"/>
        <v>0</v>
      </c>
      <c r="AT159" s="21">
        <f t="shared" si="310"/>
        <v>0</v>
      </c>
      <c r="AU159" s="20">
        <f t="shared" si="311"/>
        <v>0</v>
      </c>
      <c r="AV159" s="20">
        <f t="shared" si="312"/>
        <v>1</v>
      </c>
      <c r="AW159" s="199">
        <f t="shared" si="313"/>
        <v>0</v>
      </c>
      <c r="AX159" s="24">
        <f t="shared" si="314"/>
        <v>0</v>
      </c>
      <c r="AY159" s="5">
        <f t="shared" si="315"/>
        <v>0</v>
      </c>
      <c r="AZ159" s="5">
        <f t="shared" si="316"/>
        <v>0</v>
      </c>
      <c r="BA159" s="5">
        <f t="shared" si="317"/>
        <v>0</v>
      </c>
      <c r="BB159" s="5">
        <f t="shared" si="318"/>
        <v>0</v>
      </c>
      <c r="BC159" s="5">
        <f t="shared" si="319"/>
        <v>0</v>
      </c>
      <c r="BD159" s="5">
        <f t="shared" si="320"/>
        <v>0</v>
      </c>
      <c r="BE159" s="199">
        <f t="shared" si="321"/>
        <v>0</v>
      </c>
      <c r="BF159" s="21">
        <f t="shared" si="322"/>
        <v>0</v>
      </c>
      <c r="BG159" s="6">
        <f t="shared" si="323"/>
        <v>0</v>
      </c>
      <c r="BH159" s="5" t="e">
        <f t="shared" si="324"/>
        <v>#DIV/0!</v>
      </c>
      <c r="BI159" s="6">
        <f t="shared" si="325"/>
        <v>0</v>
      </c>
      <c r="BJ159" s="5" t="e">
        <f t="shared" si="326"/>
        <v>#DIV/0!</v>
      </c>
      <c r="BK159" s="20">
        <f t="shared" si="327"/>
        <v>-9.9999999999999998E-13</v>
      </c>
      <c r="BL159" s="20">
        <f t="shared" si="328"/>
        <v>0</v>
      </c>
      <c r="BM159" s="6">
        <f t="shared" si="329"/>
        <v>0</v>
      </c>
      <c r="BN159" s="5">
        <f t="shared" si="330"/>
        <v>0</v>
      </c>
      <c r="BO159" s="333">
        <f t="shared" si="331"/>
        <v>0</v>
      </c>
      <c r="BP159" s="334">
        <f t="shared" si="332"/>
        <v>0</v>
      </c>
      <c r="BQ159" s="6">
        <f t="shared" si="333"/>
        <v>0</v>
      </c>
      <c r="BR159" s="5">
        <f t="shared" si="334"/>
        <v>0</v>
      </c>
      <c r="BS159" s="6">
        <f t="shared" si="335"/>
        <v>0</v>
      </c>
      <c r="BT159" s="5">
        <f t="shared" si="336"/>
        <v>0</v>
      </c>
      <c r="BU159" s="181">
        <f t="shared" si="337"/>
        <v>0</v>
      </c>
      <c r="BV159" s="154">
        <f t="shared" si="338"/>
        <v>0</v>
      </c>
      <c r="BW159" s="181">
        <f t="shared" si="339"/>
        <v>0</v>
      </c>
      <c r="BX159" s="180">
        <f t="shared" si="340"/>
        <v>0</v>
      </c>
      <c r="BY159" s="181">
        <f t="shared" si="341"/>
        <v>0</v>
      </c>
      <c r="BZ159" s="154">
        <f t="shared" si="342"/>
        <v>0</v>
      </c>
      <c r="CA159" s="182">
        <f t="shared" si="343"/>
        <v>0</v>
      </c>
      <c r="CB159" s="2">
        <f t="shared" si="344"/>
        <v>0</v>
      </c>
      <c r="CC159" s="2">
        <f t="shared" si="345"/>
        <v>0</v>
      </c>
      <c r="CD159" s="2">
        <f t="shared" si="346"/>
        <v>0</v>
      </c>
      <c r="CE159" s="2">
        <f t="shared" si="347"/>
        <v>0</v>
      </c>
      <c r="CF159" s="6">
        <f t="shared" si="348"/>
        <v>0</v>
      </c>
      <c r="CG159" s="6">
        <f t="shared" si="349"/>
        <v>0</v>
      </c>
      <c r="CH159" s="6">
        <f t="shared" si="350"/>
        <v>0</v>
      </c>
      <c r="CI159" s="20">
        <f t="shared" si="351"/>
        <v>0</v>
      </c>
      <c r="CJ159" s="133">
        <f t="shared" si="352"/>
        <v>2521</v>
      </c>
      <c r="CK159" s="5">
        <f t="shared" si="353"/>
        <v>0</v>
      </c>
      <c r="CL159" s="302"/>
      <c r="CM159" s="298" t="s">
        <v>13</v>
      </c>
      <c r="CN159" s="298" t="s">
        <v>1512</v>
      </c>
      <c r="CO159" s="298">
        <v>23</v>
      </c>
      <c r="CP159" s="298" t="s">
        <v>1513</v>
      </c>
      <c r="CQ159" s="298" t="s">
        <v>1131</v>
      </c>
      <c r="CR159" s="298" t="s">
        <v>644</v>
      </c>
      <c r="CS159" s="298" t="s">
        <v>1363</v>
      </c>
      <c r="CT159" s="298" t="s">
        <v>546</v>
      </c>
      <c r="CU159" s="299">
        <v>47118</v>
      </c>
      <c r="CV159" s="298">
        <v>0</v>
      </c>
      <c r="CW159" s="298">
        <v>0</v>
      </c>
      <c r="CX159" s="298">
        <v>0</v>
      </c>
      <c r="CY159" s="298">
        <v>0</v>
      </c>
      <c r="CZ159" s="298">
        <v>0</v>
      </c>
      <c r="DA159" s="298">
        <v>0</v>
      </c>
      <c r="DB159" s="298">
        <v>0</v>
      </c>
      <c r="DC159" s="298">
        <v>0</v>
      </c>
      <c r="DD159" s="298">
        <v>0</v>
      </c>
      <c r="DE159" s="298">
        <v>0</v>
      </c>
      <c r="DF159" s="298">
        <v>0</v>
      </c>
      <c r="DG159" s="298">
        <v>0</v>
      </c>
      <c r="DH159" s="298">
        <v>0</v>
      </c>
      <c r="DI159" s="298">
        <v>0</v>
      </c>
      <c r="DJ159" s="298">
        <v>0</v>
      </c>
      <c r="DK159" s="298">
        <v>0</v>
      </c>
      <c r="DL159" s="298">
        <v>0</v>
      </c>
      <c r="DM159" s="298">
        <v>0</v>
      </c>
      <c r="DN159" s="298">
        <v>0</v>
      </c>
      <c r="DO159" s="298">
        <v>0</v>
      </c>
      <c r="DP159" s="298">
        <v>0</v>
      </c>
      <c r="DQ159" s="298">
        <v>0</v>
      </c>
      <c r="DR159" s="298">
        <v>0</v>
      </c>
      <c r="DS159" s="298">
        <v>0</v>
      </c>
      <c r="DT159" s="298">
        <v>0</v>
      </c>
      <c r="DU159" s="298">
        <v>0</v>
      </c>
      <c r="DV159" s="303" t="s">
        <v>548</v>
      </c>
    </row>
    <row r="160" spans="1:126" ht="24.95" customHeight="1" thickBot="1" x14ac:dyDescent="0.3">
      <c r="A160" s="29" t="str">
        <f t="shared" si="265"/>
        <v>159º</v>
      </c>
      <c r="B160" s="69" t="str">
        <f t="shared" si="267"/>
        <v>Ronaldo</v>
      </c>
      <c r="C160" s="269" t="str">
        <f t="shared" si="268"/>
        <v>BRA</v>
      </c>
      <c r="D160" s="99" t="str">
        <f t="shared" si="269"/>
        <v>Pé Direito</v>
      </c>
      <c r="E160" s="28" t="str">
        <f t="shared" si="270"/>
        <v>Dom Bosco</v>
      </c>
      <c r="F160" s="169">
        <f t="shared" si="271"/>
        <v>21</v>
      </c>
      <c r="G160" s="2" t="str">
        <f t="shared" si="272"/>
        <v>0 €</v>
      </c>
      <c r="H160" s="154">
        <f t="shared" si="273"/>
        <v>1.9</v>
      </c>
      <c r="I160" s="64">
        <f t="shared" si="274"/>
        <v>47118</v>
      </c>
      <c r="J160" s="304" t="str">
        <f t="shared" si="275"/>
        <v>900 € p/m</v>
      </c>
      <c r="K160" s="96">
        <f t="shared" si="266"/>
        <v>3.5222222222222221</v>
      </c>
      <c r="L160" s="146">
        <f t="shared" si="276"/>
        <v>13.122222222222222</v>
      </c>
      <c r="M160" s="6">
        <f t="shared" si="277"/>
        <v>1</v>
      </c>
      <c r="N160" s="5">
        <f t="shared" si="278"/>
        <v>1181</v>
      </c>
      <c r="O160" s="21">
        <f t="shared" si="279"/>
        <v>7.620660457239628E-2</v>
      </c>
      <c r="P160" s="2">
        <f t="shared" si="280"/>
        <v>442</v>
      </c>
      <c r="Q160" s="2">
        <f t="shared" si="281"/>
        <v>240</v>
      </c>
      <c r="R160" s="5">
        <f t="shared" si="282"/>
        <v>18.289585097375106</v>
      </c>
      <c r="S160" s="2">
        <f t="shared" si="283"/>
        <v>202</v>
      </c>
      <c r="T160" s="2">
        <f t="shared" si="284"/>
        <v>38</v>
      </c>
      <c r="U160" s="102">
        <f t="shared" si="285"/>
        <v>0.45701357466063347</v>
      </c>
      <c r="V160" s="102">
        <f t="shared" si="286"/>
        <v>0.54298642533936647</v>
      </c>
      <c r="W160" s="6">
        <f t="shared" si="287"/>
        <v>442</v>
      </c>
      <c r="X160" s="5">
        <f t="shared" si="288"/>
        <v>33.683319220999152</v>
      </c>
      <c r="Y160" s="6">
        <f t="shared" si="289"/>
        <v>0</v>
      </c>
      <c r="Z160" s="5">
        <f t="shared" si="290"/>
        <v>0</v>
      </c>
      <c r="AA160" s="21">
        <f t="shared" si="291"/>
        <v>0</v>
      </c>
      <c r="AB160" s="6">
        <f t="shared" si="292"/>
        <v>0</v>
      </c>
      <c r="AC160" s="5">
        <f t="shared" si="293"/>
        <v>0</v>
      </c>
      <c r="AD160" s="6">
        <f t="shared" si="294"/>
        <v>8</v>
      </c>
      <c r="AE160" s="5">
        <f t="shared" si="295"/>
        <v>0.60965283657917024</v>
      </c>
      <c r="AF160" s="21">
        <f t="shared" si="296"/>
        <v>0.23529411764705882</v>
      </c>
      <c r="AG160" s="6">
        <f t="shared" si="297"/>
        <v>7</v>
      </c>
      <c r="AH160" s="5">
        <f t="shared" si="298"/>
        <v>0.53344623200677399</v>
      </c>
      <c r="AI160" s="21">
        <f t="shared" si="299"/>
        <v>0.20588235294117646</v>
      </c>
      <c r="AJ160" s="6">
        <f t="shared" si="300"/>
        <v>19</v>
      </c>
      <c r="AK160" s="5">
        <f t="shared" si="301"/>
        <v>1.0388425925925926</v>
      </c>
      <c r="AL160" s="21">
        <f t="shared" si="302"/>
        <v>0.55882352941176472</v>
      </c>
      <c r="AM160" s="21">
        <f t="shared" si="303"/>
        <v>0.45723962743437768</v>
      </c>
      <c r="AN160" s="6">
        <f t="shared" si="304"/>
        <v>6</v>
      </c>
      <c r="AO160" s="5">
        <f t="shared" si="305"/>
        <v>0.45723962743437768</v>
      </c>
      <c r="AP160" s="6">
        <f t="shared" si="306"/>
        <v>34</v>
      </c>
      <c r="AQ160" s="5">
        <f t="shared" si="307"/>
        <v>2.5910245554614733</v>
      </c>
      <c r="AR160" s="2">
        <f t="shared" si="308"/>
        <v>61</v>
      </c>
      <c r="AS160" s="5">
        <f t="shared" si="309"/>
        <v>4.6486028789161731</v>
      </c>
      <c r="AT160" s="21">
        <f t="shared" si="310"/>
        <v>0.55737704918032782</v>
      </c>
      <c r="AU160" s="20">
        <f t="shared" si="311"/>
        <v>0.50943396226415094</v>
      </c>
      <c r="AV160" s="20">
        <f t="shared" si="312"/>
        <v>0.44262295081967207</v>
      </c>
      <c r="AW160" s="199">
        <f t="shared" si="313"/>
        <v>0.82786885245901642</v>
      </c>
      <c r="AX160" s="24">
        <f t="shared" si="314"/>
        <v>43.74074074074074</v>
      </c>
      <c r="AY160" s="5">
        <f t="shared" si="315"/>
        <v>2.2592592592592591</v>
      </c>
      <c r="AZ160" s="5">
        <f t="shared" si="316"/>
        <v>1.962962962962963</v>
      </c>
      <c r="BA160" s="5">
        <f t="shared" si="317"/>
        <v>2.0499999999999998</v>
      </c>
      <c r="BB160" s="5">
        <f t="shared" si="318"/>
        <v>0.15622353937341235</v>
      </c>
      <c r="BC160" s="5">
        <f t="shared" si="319"/>
        <v>1.2599999999999998</v>
      </c>
      <c r="BD160" s="5">
        <f t="shared" si="320"/>
        <v>9.6020321761219288E-2</v>
      </c>
      <c r="BE160" s="199">
        <f t="shared" si="321"/>
        <v>0.34166666666666662</v>
      </c>
      <c r="BF160" s="21">
        <f t="shared" si="322"/>
        <v>7.0567986230636828E-2</v>
      </c>
      <c r="BG160" s="6">
        <f t="shared" si="323"/>
        <v>2</v>
      </c>
      <c r="BH160" s="5">
        <f t="shared" si="324"/>
        <v>0.15241320914479256</v>
      </c>
      <c r="BI160" s="6">
        <f t="shared" si="325"/>
        <v>1</v>
      </c>
      <c r="BJ160" s="5">
        <f t="shared" si="326"/>
        <v>7.620660457239628E-2</v>
      </c>
      <c r="BK160" s="20">
        <f t="shared" si="327"/>
        <v>0.5</v>
      </c>
      <c r="BL160" s="20">
        <f t="shared" si="328"/>
        <v>1.8206338503034391E-2</v>
      </c>
      <c r="BM160" s="6">
        <f t="shared" si="329"/>
        <v>27</v>
      </c>
      <c r="BN160" s="5">
        <f t="shared" si="330"/>
        <v>2.0575783234546994</v>
      </c>
      <c r="BO160" s="333">
        <f t="shared" si="331"/>
        <v>0</v>
      </c>
      <c r="BP160" s="334">
        <f t="shared" si="332"/>
        <v>0</v>
      </c>
      <c r="BQ160" s="6">
        <f t="shared" si="333"/>
        <v>19.683333333333334</v>
      </c>
      <c r="BR160" s="5">
        <f t="shared" si="334"/>
        <v>1.5</v>
      </c>
      <c r="BS160" s="6">
        <f t="shared" si="335"/>
        <v>83.982222222222219</v>
      </c>
      <c r="BT160" s="5">
        <f t="shared" si="336"/>
        <v>6.4</v>
      </c>
      <c r="BU160" s="181">
        <f t="shared" si="337"/>
        <v>2</v>
      </c>
      <c r="BV160" s="154">
        <f t="shared" si="338"/>
        <v>0.15241320914479256</v>
      </c>
      <c r="BW160" s="181">
        <f t="shared" si="339"/>
        <v>1</v>
      </c>
      <c r="BX160" s="180">
        <f t="shared" si="340"/>
        <v>7.620660457239628E-2</v>
      </c>
      <c r="BY160" s="181">
        <f t="shared" si="341"/>
        <v>1</v>
      </c>
      <c r="BZ160" s="154">
        <f t="shared" si="342"/>
        <v>7.620660457239628E-2</v>
      </c>
      <c r="CA160" s="182">
        <f t="shared" si="343"/>
        <v>0.5</v>
      </c>
      <c r="CB160" s="2">
        <f t="shared" si="344"/>
        <v>0</v>
      </c>
      <c r="CC160" s="2">
        <f t="shared" si="345"/>
        <v>0</v>
      </c>
      <c r="CD160" s="2">
        <f t="shared" si="346"/>
        <v>0</v>
      </c>
      <c r="CE160" s="2">
        <f t="shared" si="347"/>
        <v>6</v>
      </c>
      <c r="CF160" s="6">
        <f t="shared" si="348"/>
        <v>0</v>
      </c>
      <c r="CG160" s="6">
        <f t="shared" si="349"/>
        <v>527.51199999999994</v>
      </c>
      <c r="CH160" s="6">
        <f t="shared" si="350"/>
        <v>276</v>
      </c>
      <c r="CI160" s="20">
        <f t="shared" si="351"/>
        <v>0.52321084638832871</v>
      </c>
      <c r="CJ160" s="133">
        <f t="shared" si="352"/>
        <v>2521</v>
      </c>
      <c r="CK160" s="5">
        <f t="shared" si="353"/>
        <v>6.36</v>
      </c>
      <c r="CL160" s="300" t="s">
        <v>19</v>
      </c>
      <c r="CM160" s="296" t="s">
        <v>13</v>
      </c>
      <c r="CN160" s="296" t="s">
        <v>1514</v>
      </c>
      <c r="CO160" s="296">
        <v>21</v>
      </c>
      <c r="CP160" s="296" t="s">
        <v>1515</v>
      </c>
      <c r="CQ160" s="296" t="s">
        <v>1131</v>
      </c>
      <c r="CR160" s="296" t="s">
        <v>644</v>
      </c>
      <c r="CS160" s="296" t="s">
        <v>1363</v>
      </c>
      <c r="CT160" s="296" t="s">
        <v>682</v>
      </c>
      <c r="CU160" s="297">
        <v>47118</v>
      </c>
      <c r="CV160" s="296">
        <v>1</v>
      </c>
      <c r="CW160" s="296">
        <v>1181</v>
      </c>
      <c r="CX160" s="296">
        <v>27</v>
      </c>
      <c r="CY160" s="296">
        <v>8</v>
      </c>
      <c r="CZ160" s="296">
        <v>7</v>
      </c>
      <c r="DA160" s="296">
        <v>19</v>
      </c>
      <c r="DB160" s="296">
        <v>0</v>
      </c>
      <c r="DC160" s="296">
        <v>1.5</v>
      </c>
      <c r="DD160" s="296">
        <v>6.4</v>
      </c>
      <c r="DE160" s="296">
        <v>6</v>
      </c>
      <c r="DF160" s="296">
        <v>0</v>
      </c>
      <c r="DG160" s="296">
        <v>0</v>
      </c>
      <c r="DH160" s="296">
        <v>0</v>
      </c>
      <c r="DI160" s="296">
        <v>6</v>
      </c>
      <c r="DJ160" s="296">
        <v>0</v>
      </c>
      <c r="DK160" s="296">
        <v>0</v>
      </c>
      <c r="DL160" s="296">
        <v>442</v>
      </c>
      <c r="DM160" s="296">
        <v>240</v>
      </c>
      <c r="DN160" s="296" t="s">
        <v>1516</v>
      </c>
      <c r="DO160" s="296">
        <v>0</v>
      </c>
      <c r="DP160" s="296">
        <v>0</v>
      </c>
      <c r="DQ160" s="296">
        <v>2</v>
      </c>
      <c r="DR160" s="296">
        <v>1</v>
      </c>
      <c r="DS160" s="296">
        <v>0</v>
      </c>
      <c r="DT160" s="296">
        <v>2</v>
      </c>
      <c r="DU160" s="296">
        <v>1</v>
      </c>
      <c r="DV160" s="301">
        <v>6.36</v>
      </c>
    </row>
    <row r="161" spans="1:126" ht="24.95" customHeight="1" thickBot="1" x14ac:dyDescent="0.3">
      <c r="A161" s="29" t="str">
        <f t="shared" si="265"/>
        <v>160º</v>
      </c>
      <c r="B161" s="69" t="str">
        <f t="shared" si="267"/>
        <v>Vantuir</v>
      </c>
      <c r="C161" s="269" t="str">
        <f t="shared" si="268"/>
        <v>BRA</v>
      </c>
      <c r="D161" s="99" t="str">
        <f t="shared" si="269"/>
        <v>Pé Direito</v>
      </c>
      <c r="E161" s="28" t="str">
        <f t="shared" si="270"/>
        <v>Democrata GV</v>
      </c>
      <c r="F161" s="169">
        <f t="shared" si="271"/>
        <v>20</v>
      </c>
      <c r="G161" s="2" t="str">
        <f t="shared" si="272"/>
        <v>0 €</v>
      </c>
      <c r="H161" s="154">
        <f t="shared" si="273"/>
        <v>1.94</v>
      </c>
      <c r="I161" s="64">
        <f t="shared" si="274"/>
        <v>47118</v>
      </c>
      <c r="J161" s="304" t="str">
        <f t="shared" si="275"/>
        <v>900 € p/m</v>
      </c>
      <c r="K161" s="96">
        <f t="shared" si="266"/>
        <v>3.5222222222222221</v>
      </c>
      <c r="L161" s="146">
        <f t="shared" si="276"/>
        <v>1.4</v>
      </c>
      <c r="M161" s="6">
        <f t="shared" si="277"/>
        <v>0</v>
      </c>
      <c r="N161" s="5">
        <f t="shared" si="278"/>
        <v>5400</v>
      </c>
      <c r="O161" s="21">
        <f t="shared" si="279"/>
        <v>0</v>
      </c>
      <c r="P161" s="2">
        <f t="shared" si="280"/>
        <v>80</v>
      </c>
      <c r="Q161" s="2">
        <f t="shared" si="281"/>
        <v>48</v>
      </c>
      <c r="R161" s="5">
        <f t="shared" si="282"/>
        <v>34.285714285714285</v>
      </c>
      <c r="S161" s="2">
        <f t="shared" si="283"/>
        <v>32</v>
      </c>
      <c r="T161" s="2">
        <f t="shared" si="284"/>
        <v>16</v>
      </c>
      <c r="U161" s="102">
        <f t="shared" si="285"/>
        <v>0.4</v>
      </c>
      <c r="V161" s="102">
        <f t="shared" si="286"/>
        <v>0.6</v>
      </c>
      <c r="W161" s="6">
        <f t="shared" si="287"/>
        <v>80</v>
      </c>
      <c r="X161" s="5">
        <f t="shared" si="288"/>
        <v>57.142857142857146</v>
      </c>
      <c r="Y161" s="6">
        <f t="shared" si="289"/>
        <v>0</v>
      </c>
      <c r="Z161" s="5">
        <f t="shared" si="290"/>
        <v>0</v>
      </c>
      <c r="AA161" s="21">
        <f t="shared" si="291"/>
        <v>0</v>
      </c>
      <c r="AB161" s="6">
        <f t="shared" si="292"/>
        <v>0</v>
      </c>
      <c r="AC161" s="5">
        <f t="shared" si="293"/>
        <v>0</v>
      </c>
      <c r="AD161" s="6">
        <f t="shared" si="294"/>
        <v>0</v>
      </c>
      <c r="AE161" s="5">
        <f t="shared" si="295"/>
        <v>0</v>
      </c>
      <c r="AF161" s="21">
        <f t="shared" si="296"/>
        <v>0</v>
      </c>
      <c r="AG161" s="6">
        <f t="shared" si="297"/>
        <v>0</v>
      </c>
      <c r="AH161" s="5">
        <f t="shared" si="298"/>
        <v>0</v>
      </c>
      <c r="AI161" s="21">
        <f t="shared" si="299"/>
        <v>0</v>
      </c>
      <c r="AJ161" s="6">
        <f t="shared" si="300"/>
        <v>0</v>
      </c>
      <c r="AK161" s="5">
        <f t="shared" si="301"/>
        <v>0</v>
      </c>
      <c r="AL161" s="21">
        <f t="shared" si="302"/>
        <v>0</v>
      </c>
      <c r="AM161" s="21">
        <f t="shared" si="303"/>
        <v>1.4285714285714286</v>
      </c>
      <c r="AN161" s="6">
        <f t="shared" si="304"/>
        <v>2</v>
      </c>
      <c r="AO161" s="5">
        <f t="shared" si="305"/>
        <v>1.4285714285714286</v>
      </c>
      <c r="AP161" s="6">
        <f t="shared" si="306"/>
        <v>0</v>
      </c>
      <c r="AQ161" s="5">
        <f t="shared" si="307"/>
        <v>0</v>
      </c>
      <c r="AR161" s="2">
        <f t="shared" si="308"/>
        <v>4</v>
      </c>
      <c r="AS161" s="5">
        <f t="shared" si="309"/>
        <v>2.8571428571428572</v>
      </c>
      <c r="AT161" s="21">
        <f t="shared" si="310"/>
        <v>0</v>
      </c>
      <c r="AU161" s="20">
        <f t="shared" si="311"/>
        <v>0</v>
      </c>
      <c r="AV161" s="20">
        <f t="shared" si="312"/>
        <v>1</v>
      </c>
      <c r="AW161" s="199">
        <f t="shared" si="313"/>
        <v>0</v>
      </c>
      <c r="AX161" s="24">
        <f t="shared" si="314"/>
        <v>31.5</v>
      </c>
      <c r="AY161" s="5">
        <f t="shared" si="315"/>
        <v>1</v>
      </c>
      <c r="AZ161" s="5">
        <f t="shared" si="316"/>
        <v>1</v>
      </c>
      <c r="BA161" s="5">
        <f t="shared" si="317"/>
        <v>0</v>
      </c>
      <c r="BB161" s="5">
        <f t="shared" si="318"/>
        <v>0</v>
      </c>
      <c r="BC161" s="5">
        <f t="shared" si="319"/>
        <v>0</v>
      </c>
      <c r="BD161" s="5">
        <f t="shared" si="320"/>
        <v>0</v>
      </c>
      <c r="BE161" s="199">
        <f t="shared" si="321"/>
        <v>0</v>
      </c>
      <c r="BF161" s="21">
        <f t="shared" si="322"/>
        <v>0</v>
      </c>
      <c r="BG161" s="6">
        <f t="shared" si="323"/>
        <v>0</v>
      </c>
      <c r="BH161" s="5">
        <f t="shared" si="324"/>
        <v>0</v>
      </c>
      <c r="BI161" s="6">
        <f t="shared" si="325"/>
        <v>0</v>
      </c>
      <c r="BJ161" s="5">
        <f t="shared" si="326"/>
        <v>0</v>
      </c>
      <c r="BK161" s="20">
        <f t="shared" si="327"/>
        <v>-9.9999999999999998E-13</v>
      </c>
      <c r="BL161" s="20">
        <f t="shared" si="328"/>
        <v>2.6972353337828725E-3</v>
      </c>
      <c r="BM161" s="6">
        <f t="shared" si="329"/>
        <v>4</v>
      </c>
      <c r="BN161" s="5">
        <f t="shared" si="330"/>
        <v>2.8571428571428572</v>
      </c>
      <c r="BO161" s="333">
        <f t="shared" si="331"/>
        <v>0</v>
      </c>
      <c r="BP161" s="334">
        <f t="shared" si="332"/>
        <v>0</v>
      </c>
      <c r="BQ161" s="6">
        <f t="shared" si="333"/>
        <v>0</v>
      </c>
      <c r="BR161" s="5">
        <f t="shared" si="334"/>
        <v>0</v>
      </c>
      <c r="BS161" s="6">
        <f t="shared" si="335"/>
        <v>0</v>
      </c>
      <c r="BT161" s="5">
        <f t="shared" si="336"/>
        <v>0</v>
      </c>
      <c r="BU161" s="181">
        <f t="shared" si="337"/>
        <v>0</v>
      </c>
      <c r="BV161" s="154">
        <f t="shared" si="338"/>
        <v>0</v>
      </c>
      <c r="BW161" s="181">
        <f t="shared" si="339"/>
        <v>0</v>
      </c>
      <c r="BX161" s="180">
        <f t="shared" si="340"/>
        <v>0</v>
      </c>
      <c r="BY161" s="181">
        <f t="shared" si="341"/>
        <v>0</v>
      </c>
      <c r="BZ161" s="154">
        <f t="shared" si="342"/>
        <v>0</v>
      </c>
      <c r="CA161" s="182">
        <f t="shared" si="343"/>
        <v>0</v>
      </c>
      <c r="CB161" s="2">
        <f t="shared" si="344"/>
        <v>0</v>
      </c>
      <c r="CC161" s="2">
        <f t="shared" si="345"/>
        <v>0</v>
      </c>
      <c r="CD161" s="2">
        <f t="shared" si="346"/>
        <v>0</v>
      </c>
      <c r="CE161" s="2">
        <f t="shared" si="347"/>
        <v>1</v>
      </c>
      <c r="CF161" s="6">
        <f t="shared" si="348"/>
        <v>0</v>
      </c>
      <c r="CG161" s="6">
        <f t="shared" si="349"/>
        <v>88</v>
      </c>
      <c r="CH161" s="6">
        <f t="shared" si="350"/>
        <v>48</v>
      </c>
      <c r="CI161" s="20">
        <f t="shared" si="351"/>
        <v>0.54545454545454541</v>
      </c>
      <c r="CJ161" s="133">
        <f t="shared" si="352"/>
        <v>2521</v>
      </c>
      <c r="CK161" s="5">
        <f t="shared" si="353"/>
        <v>8.3000000000000007</v>
      </c>
      <c r="CL161" s="302"/>
      <c r="CM161" s="298" t="s">
        <v>13</v>
      </c>
      <c r="CN161" s="298" t="s">
        <v>1517</v>
      </c>
      <c r="CO161" s="298">
        <v>20</v>
      </c>
      <c r="CP161" s="298" t="s">
        <v>1518</v>
      </c>
      <c r="CQ161" s="298" t="s">
        <v>1131</v>
      </c>
      <c r="CR161" s="298" t="s">
        <v>644</v>
      </c>
      <c r="CS161" s="298" t="s">
        <v>1363</v>
      </c>
      <c r="CT161" s="298" t="s">
        <v>910</v>
      </c>
      <c r="CU161" s="299">
        <v>47118</v>
      </c>
      <c r="CV161" s="298">
        <v>0</v>
      </c>
      <c r="CW161" s="298">
        <v>126</v>
      </c>
      <c r="CX161" s="298">
        <v>4</v>
      </c>
      <c r="CY161" s="298">
        <v>0</v>
      </c>
      <c r="CZ161" s="298">
        <v>0</v>
      </c>
      <c r="DA161" s="298">
        <v>0</v>
      </c>
      <c r="DB161" s="298">
        <v>0</v>
      </c>
      <c r="DC161" s="298">
        <v>0</v>
      </c>
      <c r="DD161" s="298">
        <v>0</v>
      </c>
      <c r="DE161" s="298">
        <v>2</v>
      </c>
      <c r="DF161" s="298">
        <v>0</v>
      </c>
      <c r="DG161" s="298">
        <v>0</v>
      </c>
      <c r="DH161" s="298">
        <v>0</v>
      </c>
      <c r="DI161" s="298">
        <v>1</v>
      </c>
      <c r="DJ161" s="298">
        <v>0</v>
      </c>
      <c r="DK161" s="298">
        <v>0</v>
      </c>
      <c r="DL161" s="298">
        <v>80</v>
      </c>
      <c r="DM161" s="298">
        <v>48</v>
      </c>
      <c r="DN161" s="298">
        <v>0</v>
      </c>
      <c r="DO161" s="298">
        <v>0</v>
      </c>
      <c r="DP161" s="298">
        <v>0</v>
      </c>
      <c r="DQ161" s="298">
        <v>0</v>
      </c>
      <c r="DR161" s="298">
        <v>0</v>
      </c>
      <c r="DS161" s="298">
        <v>0</v>
      </c>
      <c r="DT161" s="298">
        <v>0</v>
      </c>
      <c r="DU161" s="298">
        <v>0</v>
      </c>
      <c r="DV161" s="303">
        <v>8.3000000000000007</v>
      </c>
    </row>
    <row r="162" spans="1:126" ht="24.95" customHeight="1" thickBot="1" x14ac:dyDescent="0.3">
      <c r="A162" s="29" t="str">
        <f t="shared" si="265"/>
        <v>161º</v>
      </c>
      <c r="B162" s="69" t="str">
        <f t="shared" si="267"/>
        <v>Pedro</v>
      </c>
      <c r="C162" s="269" t="str">
        <f t="shared" si="268"/>
        <v>BRA</v>
      </c>
      <c r="D162" s="99" t="str">
        <f t="shared" si="269"/>
        <v>Pé Direito</v>
      </c>
      <c r="E162" s="28" t="str">
        <f t="shared" si="270"/>
        <v>Tiradentes (CE)</v>
      </c>
      <c r="F162" s="169">
        <f t="shared" si="271"/>
        <v>25</v>
      </c>
      <c r="G162" s="2" t="str">
        <f t="shared" si="272"/>
        <v>0 €</v>
      </c>
      <c r="H162" s="154">
        <f t="shared" si="273"/>
        <v>1.91</v>
      </c>
      <c r="I162" s="64">
        <f t="shared" si="274"/>
        <v>47118</v>
      </c>
      <c r="J162" s="304" t="str">
        <f t="shared" si="275"/>
        <v>500 € p/m</v>
      </c>
      <c r="K162" s="96">
        <f t="shared" si="266"/>
        <v>3.5222222222222221</v>
      </c>
      <c r="L162" s="146">
        <f t="shared" si="276"/>
        <v>1</v>
      </c>
      <c r="M162" s="6">
        <f t="shared" si="277"/>
        <v>0</v>
      </c>
      <c r="N162" s="5">
        <f t="shared" si="278"/>
        <v>5400</v>
      </c>
      <c r="O162" s="21">
        <f t="shared" si="279"/>
        <v>0</v>
      </c>
      <c r="P162" s="2">
        <f t="shared" si="280"/>
        <v>20</v>
      </c>
      <c r="Q162" s="2">
        <f t="shared" si="281"/>
        <v>11</v>
      </c>
      <c r="R162" s="5">
        <f t="shared" si="282"/>
        <v>11</v>
      </c>
      <c r="S162" s="2">
        <f t="shared" si="283"/>
        <v>9</v>
      </c>
      <c r="T162" s="2">
        <f t="shared" si="284"/>
        <v>2</v>
      </c>
      <c r="U162" s="102">
        <f t="shared" si="285"/>
        <v>0.45</v>
      </c>
      <c r="V162" s="102">
        <f t="shared" si="286"/>
        <v>0.55000000000000004</v>
      </c>
      <c r="W162" s="6">
        <f t="shared" si="287"/>
        <v>20</v>
      </c>
      <c r="X162" s="5">
        <f t="shared" si="288"/>
        <v>20</v>
      </c>
      <c r="Y162" s="6">
        <f t="shared" si="289"/>
        <v>0</v>
      </c>
      <c r="Z162" s="5">
        <f t="shared" si="290"/>
        <v>0</v>
      </c>
      <c r="AA162" s="21">
        <f t="shared" si="291"/>
        <v>0</v>
      </c>
      <c r="AB162" s="6">
        <f t="shared" si="292"/>
        <v>0</v>
      </c>
      <c r="AC162" s="5">
        <f t="shared" si="293"/>
        <v>0</v>
      </c>
      <c r="AD162" s="6">
        <f t="shared" si="294"/>
        <v>0</v>
      </c>
      <c r="AE162" s="5">
        <f t="shared" si="295"/>
        <v>0</v>
      </c>
      <c r="AF162" s="21">
        <f t="shared" si="296"/>
        <v>0</v>
      </c>
      <c r="AG162" s="6">
        <f t="shared" si="297"/>
        <v>0</v>
      </c>
      <c r="AH162" s="5">
        <f t="shared" si="298"/>
        <v>0</v>
      </c>
      <c r="AI162" s="21">
        <f t="shared" si="299"/>
        <v>0</v>
      </c>
      <c r="AJ162" s="6">
        <f t="shared" si="300"/>
        <v>0</v>
      </c>
      <c r="AK162" s="5">
        <f t="shared" si="301"/>
        <v>0</v>
      </c>
      <c r="AL162" s="21">
        <f t="shared" si="302"/>
        <v>0</v>
      </c>
      <c r="AM162" s="21">
        <f t="shared" si="303"/>
        <v>0</v>
      </c>
      <c r="AN162" s="6">
        <f t="shared" si="304"/>
        <v>0</v>
      </c>
      <c r="AO162" s="5">
        <f t="shared" si="305"/>
        <v>0</v>
      </c>
      <c r="AP162" s="6">
        <f t="shared" si="306"/>
        <v>0</v>
      </c>
      <c r="AQ162" s="5">
        <f t="shared" si="307"/>
        <v>0</v>
      </c>
      <c r="AR162" s="2">
        <f t="shared" si="308"/>
        <v>3</v>
      </c>
      <c r="AS162" s="5">
        <f t="shared" si="309"/>
        <v>3</v>
      </c>
      <c r="AT162" s="21">
        <f t="shared" si="310"/>
        <v>0</v>
      </c>
      <c r="AU162" s="20">
        <f t="shared" si="311"/>
        <v>0</v>
      </c>
      <c r="AV162" s="20">
        <f t="shared" si="312"/>
        <v>1</v>
      </c>
      <c r="AW162" s="199">
        <f t="shared" si="313"/>
        <v>0</v>
      </c>
      <c r="AX162" s="24">
        <f t="shared" si="314"/>
        <v>30</v>
      </c>
      <c r="AY162" s="5">
        <f t="shared" si="315"/>
        <v>1</v>
      </c>
      <c r="AZ162" s="5">
        <f t="shared" si="316"/>
        <v>1</v>
      </c>
      <c r="BA162" s="5">
        <f t="shared" si="317"/>
        <v>0</v>
      </c>
      <c r="BB162" s="5">
        <f t="shared" si="318"/>
        <v>0</v>
      </c>
      <c r="BC162" s="5">
        <f t="shared" si="319"/>
        <v>0</v>
      </c>
      <c r="BD162" s="5">
        <f t="shared" si="320"/>
        <v>0</v>
      </c>
      <c r="BE162" s="199">
        <f t="shared" si="321"/>
        <v>0</v>
      </c>
      <c r="BF162" s="21">
        <f t="shared" si="322"/>
        <v>0</v>
      </c>
      <c r="BG162" s="6">
        <f t="shared" si="323"/>
        <v>0</v>
      </c>
      <c r="BH162" s="5">
        <f t="shared" si="324"/>
        <v>0</v>
      </c>
      <c r="BI162" s="6">
        <f t="shared" si="325"/>
        <v>0</v>
      </c>
      <c r="BJ162" s="5">
        <f t="shared" si="326"/>
        <v>0</v>
      </c>
      <c r="BK162" s="20">
        <f t="shared" si="327"/>
        <v>-9.9999999999999998E-13</v>
      </c>
      <c r="BL162" s="20">
        <f t="shared" si="328"/>
        <v>2.0229265003371545E-3</v>
      </c>
      <c r="BM162" s="6">
        <f t="shared" si="329"/>
        <v>3</v>
      </c>
      <c r="BN162" s="5">
        <f t="shared" si="330"/>
        <v>3</v>
      </c>
      <c r="BO162" s="333">
        <f t="shared" si="331"/>
        <v>0</v>
      </c>
      <c r="BP162" s="334">
        <f t="shared" si="332"/>
        <v>0</v>
      </c>
      <c r="BQ162" s="6">
        <f t="shared" si="333"/>
        <v>0</v>
      </c>
      <c r="BR162" s="5">
        <f t="shared" si="334"/>
        <v>0</v>
      </c>
      <c r="BS162" s="6">
        <f t="shared" si="335"/>
        <v>0</v>
      </c>
      <c r="BT162" s="5">
        <f t="shared" si="336"/>
        <v>0</v>
      </c>
      <c r="BU162" s="181">
        <f t="shared" si="337"/>
        <v>0</v>
      </c>
      <c r="BV162" s="154">
        <f t="shared" si="338"/>
        <v>0</v>
      </c>
      <c r="BW162" s="181">
        <f t="shared" si="339"/>
        <v>0</v>
      </c>
      <c r="BX162" s="180">
        <f t="shared" si="340"/>
        <v>0</v>
      </c>
      <c r="BY162" s="181">
        <f t="shared" si="341"/>
        <v>0</v>
      </c>
      <c r="BZ162" s="154">
        <f t="shared" si="342"/>
        <v>0</v>
      </c>
      <c r="CA162" s="182">
        <f t="shared" si="343"/>
        <v>0</v>
      </c>
      <c r="CB162" s="2">
        <f t="shared" si="344"/>
        <v>0</v>
      </c>
      <c r="CC162" s="2">
        <f t="shared" si="345"/>
        <v>0</v>
      </c>
      <c r="CD162" s="2">
        <f t="shared" si="346"/>
        <v>0</v>
      </c>
      <c r="CE162" s="2">
        <f t="shared" si="347"/>
        <v>1</v>
      </c>
      <c r="CF162" s="6">
        <f t="shared" si="348"/>
        <v>0</v>
      </c>
      <c r="CG162" s="6">
        <f t="shared" si="349"/>
        <v>23</v>
      </c>
      <c r="CH162" s="6">
        <f t="shared" si="350"/>
        <v>11</v>
      </c>
      <c r="CI162" s="20">
        <f t="shared" si="351"/>
        <v>0.47826086956521741</v>
      </c>
      <c r="CJ162" s="133">
        <f t="shared" si="352"/>
        <v>2521</v>
      </c>
      <c r="CK162" s="5">
        <f t="shared" si="353"/>
        <v>5.7</v>
      </c>
      <c r="CL162" s="300" t="s">
        <v>640</v>
      </c>
      <c r="CM162" s="296" t="s">
        <v>13</v>
      </c>
      <c r="CN162" s="296" t="s">
        <v>1396</v>
      </c>
      <c r="CO162" s="296">
        <v>25</v>
      </c>
      <c r="CP162" s="296" t="s">
        <v>1344</v>
      </c>
      <c r="CQ162" s="296" t="s">
        <v>1131</v>
      </c>
      <c r="CR162" s="296" t="s">
        <v>644</v>
      </c>
      <c r="CS162" s="296" t="s">
        <v>760</v>
      </c>
      <c r="CT162" s="296" t="s">
        <v>595</v>
      </c>
      <c r="CU162" s="297">
        <v>47118</v>
      </c>
      <c r="CV162" s="296">
        <v>0</v>
      </c>
      <c r="CW162" s="296">
        <v>90</v>
      </c>
      <c r="CX162" s="296">
        <v>3</v>
      </c>
      <c r="CY162" s="296">
        <v>0</v>
      </c>
      <c r="CZ162" s="296">
        <v>0</v>
      </c>
      <c r="DA162" s="296">
        <v>0</v>
      </c>
      <c r="DB162" s="296">
        <v>0</v>
      </c>
      <c r="DC162" s="296">
        <v>0</v>
      </c>
      <c r="DD162" s="296">
        <v>0</v>
      </c>
      <c r="DE162" s="296">
        <v>0</v>
      </c>
      <c r="DF162" s="296">
        <v>0</v>
      </c>
      <c r="DG162" s="296">
        <v>0</v>
      </c>
      <c r="DH162" s="296">
        <v>0</v>
      </c>
      <c r="DI162" s="296">
        <v>1</v>
      </c>
      <c r="DJ162" s="296">
        <v>0</v>
      </c>
      <c r="DK162" s="296">
        <v>0</v>
      </c>
      <c r="DL162" s="296">
        <v>20</v>
      </c>
      <c r="DM162" s="296">
        <v>11</v>
      </c>
      <c r="DN162" s="296">
        <v>0</v>
      </c>
      <c r="DO162" s="296">
        <v>0</v>
      </c>
      <c r="DP162" s="296">
        <v>0</v>
      </c>
      <c r="DQ162" s="296">
        <v>0</v>
      </c>
      <c r="DR162" s="296">
        <v>0</v>
      </c>
      <c r="DS162" s="296">
        <v>0</v>
      </c>
      <c r="DT162" s="296">
        <v>0</v>
      </c>
      <c r="DU162" s="296">
        <v>0</v>
      </c>
      <c r="DV162" s="301">
        <v>5.7</v>
      </c>
    </row>
    <row r="163" spans="1:126" ht="24.95" customHeight="1" thickBot="1" x14ac:dyDescent="0.3">
      <c r="A163" s="29" t="str">
        <f t="shared" si="265"/>
        <v>162º</v>
      </c>
      <c r="B163" s="69" t="str">
        <f t="shared" si="267"/>
        <v>Hélder Padilha Gomes</v>
      </c>
      <c r="C163" s="269" t="str">
        <f t="shared" si="268"/>
        <v>BRA</v>
      </c>
      <c r="D163" s="99" t="str">
        <f t="shared" si="269"/>
        <v>Pé Direito</v>
      </c>
      <c r="E163" s="28" t="str">
        <f t="shared" si="270"/>
        <v>Estanciano</v>
      </c>
      <c r="F163" s="169">
        <f t="shared" si="271"/>
        <v>25</v>
      </c>
      <c r="G163" s="2" t="str">
        <f t="shared" si="272"/>
        <v>0 €</v>
      </c>
      <c r="H163" s="154">
        <f t="shared" si="273"/>
        <v>1.88</v>
      </c>
      <c r="I163" s="64">
        <f t="shared" si="274"/>
        <v>47118</v>
      </c>
      <c r="J163" s="304" t="str">
        <f t="shared" si="275"/>
        <v>500 € p/m</v>
      </c>
      <c r="K163" s="96">
        <f t="shared" si="266"/>
        <v>3.5222222222222221</v>
      </c>
      <c r="L163" s="146">
        <f t="shared" si="276"/>
        <v>18.022222222222222</v>
      </c>
      <c r="M163" s="6">
        <f t="shared" si="277"/>
        <v>0</v>
      </c>
      <c r="N163" s="5">
        <f t="shared" si="278"/>
        <v>5400</v>
      </c>
      <c r="O163" s="21">
        <f t="shared" si="279"/>
        <v>0</v>
      </c>
      <c r="P163" s="2">
        <f t="shared" si="280"/>
        <v>466</v>
      </c>
      <c r="Q163" s="2">
        <f t="shared" si="281"/>
        <v>323</v>
      </c>
      <c r="R163" s="5">
        <f t="shared" si="282"/>
        <v>17.922318125770655</v>
      </c>
      <c r="S163" s="2">
        <f t="shared" si="283"/>
        <v>143</v>
      </c>
      <c r="T163" s="2">
        <f t="shared" si="284"/>
        <v>180</v>
      </c>
      <c r="U163" s="102">
        <f t="shared" si="285"/>
        <v>0.30686695278969955</v>
      </c>
      <c r="V163" s="102">
        <f t="shared" si="286"/>
        <v>0.69313304721030045</v>
      </c>
      <c r="W163" s="6">
        <f t="shared" si="287"/>
        <v>466</v>
      </c>
      <c r="X163" s="5">
        <f t="shared" si="288"/>
        <v>25.856966707768187</v>
      </c>
      <c r="Y163" s="6">
        <f t="shared" si="289"/>
        <v>0</v>
      </c>
      <c r="Z163" s="5">
        <f t="shared" si="290"/>
        <v>0</v>
      </c>
      <c r="AA163" s="21">
        <f t="shared" si="291"/>
        <v>0</v>
      </c>
      <c r="AB163" s="6">
        <f t="shared" si="292"/>
        <v>1</v>
      </c>
      <c r="AC163" s="5">
        <f t="shared" si="293"/>
        <v>5.5487053020961775E-2</v>
      </c>
      <c r="AD163" s="6">
        <f t="shared" si="294"/>
        <v>18</v>
      </c>
      <c r="AE163" s="5">
        <f t="shared" si="295"/>
        <v>0.998766954377312</v>
      </c>
      <c r="AF163" s="21">
        <f t="shared" si="296"/>
        <v>0.21428571428571427</v>
      </c>
      <c r="AG163" s="6">
        <f t="shared" si="297"/>
        <v>12</v>
      </c>
      <c r="AH163" s="5">
        <f t="shared" si="298"/>
        <v>0.66584463625154133</v>
      </c>
      <c r="AI163" s="21">
        <f t="shared" si="299"/>
        <v>0.14285714285714285</v>
      </c>
      <c r="AJ163" s="6">
        <f t="shared" si="300"/>
        <v>54</v>
      </c>
      <c r="AK163" s="5">
        <f t="shared" si="301"/>
        <v>3.0130030959752321</v>
      </c>
      <c r="AL163" s="21">
        <f t="shared" si="302"/>
        <v>0.6428571428571429</v>
      </c>
      <c r="AM163" s="21">
        <f t="shared" si="303"/>
        <v>0.11097410604192355</v>
      </c>
      <c r="AN163" s="6">
        <f t="shared" si="304"/>
        <v>2</v>
      </c>
      <c r="AO163" s="5">
        <f t="shared" si="305"/>
        <v>0.11097410604192355</v>
      </c>
      <c r="AP163" s="6">
        <f t="shared" si="306"/>
        <v>84</v>
      </c>
      <c r="AQ163" s="5">
        <f t="shared" si="307"/>
        <v>4.6609124537607896</v>
      </c>
      <c r="AR163" s="2">
        <f t="shared" si="308"/>
        <v>128</v>
      </c>
      <c r="AS163" s="5">
        <f t="shared" si="309"/>
        <v>7.1023427866831073</v>
      </c>
      <c r="AT163" s="21">
        <f t="shared" si="310"/>
        <v>0.65625</v>
      </c>
      <c r="AU163" s="20">
        <f t="shared" si="311"/>
        <v>0.6</v>
      </c>
      <c r="AV163" s="20">
        <f t="shared" si="312"/>
        <v>0.34375</v>
      </c>
      <c r="AW163" s="199">
        <f t="shared" si="313"/>
        <v>0.9609375</v>
      </c>
      <c r="AX163" s="24">
        <f t="shared" si="314"/>
        <v>36.863636363636367</v>
      </c>
      <c r="AY163" s="5">
        <f t="shared" si="315"/>
        <v>2.9090909090909092</v>
      </c>
      <c r="AZ163" s="5">
        <f t="shared" si="316"/>
        <v>2.5</v>
      </c>
      <c r="BA163" s="5">
        <f t="shared" si="317"/>
        <v>-0.12</v>
      </c>
      <c r="BB163" s="5">
        <f t="shared" si="318"/>
        <v>-6.6584463625154128E-3</v>
      </c>
      <c r="BC163" s="5">
        <f t="shared" si="319"/>
        <v>-0.12</v>
      </c>
      <c r="BD163" s="5">
        <f t="shared" si="320"/>
        <v>-6.6584463625154128E-3</v>
      </c>
      <c r="BE163" s="199">
        <f t="shared" si="321"/>
        <v>-0.06</v>
      </c>
      <c r="BF163" s="21">
        <f t="shared" si="322"/>
        <v>-2.7347310847766633E-3</v>
      </c>
      <c r="BG163" s="6">
        <f t="shared" si="323"/>
        <v>4</v>
      </c>
      <c r="BH163" s="5">
        <f t="shared" si="324"/>
        <v>0.2219482120838471</v>
      </c>
      <c r="BI163" s="6">
        <f t="shared" si="325"/>
        <v>0</v>
      </c>
      <c r="BJ163" s="5">
        <f t="shared" si="326"/>
        <v>0</v>
      </c>
      <c r="BK163" s="20">
        <f t="shared" si="327"/>
        <v>0</v>
      </c>
      <c r="BL163" s="20">
        <f t="shared" si="328"/>
        <v>2.9669588671611596E-2</v>
      </c>
      <c r="BM163" s="6">
        <f t="shared" si="329"/>
        <v>44</v>
      </c>
      <c r="BN163" s="5">
        <f t="shared" si="330"/>
        <v>2.4414303329223181</v>
      </c>
      <c r="BO163" s="333">
        <f t="shared" si="331"/>
        <v>1</v>
      </c>
      <c r="BP163" s="334">
        <f t="shared" si="332"/>
        <v>5.5487053020961775E-2</v>
      </c>
      <c r="BQ163" s="6">
        <f t="shared" si="333"/>
        <v>28.835555555555558</v>
      </c>
      <c r="BR163" s="5">
        <f t="shared" si="334"/>
        <v>1.6</v>
      </c>
      <c r="BS163" s="6">
        <f t="shared" si="335"/>
        <v>164.0022222222222</v>
      </c>
      <c r="BT163" s="5">
        <f t="shared" si="336"/>
        <v>9.1</v>
      </c>
      <c r="BU163" s="181">
        <f t="shared" si="337"/>
        <v>8</v>
      </c>
      <c r="BV163" s="154">
        <f t="shared" si="338"/>
        <v>0.4438964241676942</v>
      </c>
      <c r="BW163" s="181">
        <f t="shared" si="339"/>
        <v>0</v>
      </c>
      <c r="BX163" s="180">
        <f t="shared" si="340"/>
        <v>0</v>
      </c>
      <c r="BY163" s="181">
        <f t="shared" si="341"/>
        <v>7</v>
      </c>
      <c r="BZ163" s="154">
        <f t="shared" si="342"/>
        <v>0.38840937114673241</v>
      </c>
      <c r="CA163" s="182">
        <f t="shared" si="343"/>
        <v>0</v>
      </c>
      <c r="CB163" s="2">
        <f t="shared" si="344"/>
        <v>3</v>
      </c>
      <c r="CC163" s="2">
        <f t="shared" si="345"/>
        <v>0</v>
      </c>
      <c r="CD163" s="2">
        <f t="shared" si="346"/>
        <v>3</v>
      </c>
      <c r="CE163" s="2">
        <f t="shared" si="347"/>
        <v>10</v>
      </c>
      <c r="CF163" s="6">
        <f t="shared" si="348"/>
        <v>3</v>
      </c>
      <c r="CG163" s="6">
        <f t="shared" si="349"/>
        <v>623.60299999999995</v>
      </c>
      <c r="CH163" s="6">
        <f t="shared" si="350"/>
        <v>407</v>
      </c>
      <c r="CI163" s="20">
        <f t="shared" si="351"/>
        <v>0.65265882300117228</v>
      </c>
      <c r="CJ163" s="133">
        <f t="shared" si="352"/>
        <v>2521</v>
      </c>
      <c r="CK163" s="5">
        <f t="shared" si="353"/>
        <v>5.97</v>
      </c>
      <c r="CL163" s="302"/>
      <c r="CM163" s="298" t="s">
        <v>13</v>
      </c>
      <c r="CN163" s="298" t="s">
        <v>1401</v>
      </c>
      <c r="CO163" s="298">
        <v>25</v>
      </c>
      <c r="CP163" s="298" t="s">
        <v>1519</v>
      </c>
      <c r="CQ163" s="298" t="s">
        <v>1131</v>
      </c>
      <c r="CR163" s="298" t="s">
        <v>644</v>
      </c>
      <c r="CS163" s="298" t="s">
        <v>760</v>
      </c>
      <c r="CT163" s="298" t="s">
        <v>552</v>
      </c>
      <c r="CU163" s="299">
        <v>47118</v>
      </c>
      <c r="CV163" s="298">
        <v>0</v>
      </c>
      <c r="CW163" s="298">
        <v>1622</v>
      </c>
      <c r="CX163" s="298">
        <v>44</v>
      </c>
      <c r="CY163" s="298">
        <v>18</v>
      </c>
      <c r="CZ163" s="298">
        <v>12</v>
      </c>
      <c r="DA163" s="298">
        <v>54</v>
      </c>
      <c r="DB163" s="298">
        <v>0</v>
      </c>
      <c r="DC163" s="298">
        <v>1.6</v>
      </c>
      <c r="DD163" s="298">
        <v>9.1</v>
      </c>
      <c r="DE163" s="298">
        <v>2</v>
      </c>
      <c r="DF163" s="298">
        <v>3</v>
      </c>
      <c r="DG163" s="298">
        <v>0</v>
      </c>
      <c r="DH163" s="298">
        <v>3</v>
      </c>
      <c r="DI163" s="298">
        <v>10</v>
      </c>
      <c r="DJ163" s="298">
        <v>0</v>
      </c>
      <c r="DK163" s="298">
        <v>1</v>
      </c>
      <c r="DL163" s="298">
        <v>466</v>
      </c>
      <c r="DM163" s="298">
        <v>323</v>
      </c>
      <c r="DN163" s="298" t="s">
        <v>1520</v>
      </c>
      <c r="DO163" s="298">
        <v>0</v>
      </c>
      <c r="DP163" s="298">
        <v>1</v>
      </c>
      <c r="DQ163" s="298">
        <v>4</v>
      </c>
      <c r="DR163" s="298">
        <v>0</v>
      </c>
      <c r="DS163" s="298">
        <v>0</v>
      </c>
      <c r="DT163" s="298">
        <v>4</v>
      </c>
      <c r="DU163" s="298">
        <v>0</v>
      </c>
      <c r="DV163" s="303">
        <v>5.97</v>
      </c>
    </row>
    <row r="164" spans="1:126" ht="24.95" customHeight="1" thickBot="1" x14ac:dyDescent="0.3">
      <c r="A164" s="29" t="str">
        <f t="shared" si="265"/>
        <v>163º</v>
      </c>
      <c r="B164" s="69" t="str">
        <f t="shared" si="267"/>
        <v>Eduardo Garcia Serrão</v>
      </c>
      <c r="C164" s="269" t="str">
        <f t="shared" si="268"/>
        <v>BRA</v>
      </c>
      <c r="D164" s="99" t="str">
        <f t="shared" si="269"/>
        <v>Pé Direito</v>
      </c>
      <c r="E164" s="28" t="str">
        <f t="shared" si="270"/>
        <v>Plácido de Castro</v>
      </c>
      <c r="F164" s="169">
        <f t="shared" si="271"/>
        <v>24</v>
      </c>
      <c r="G164" s="2" t="str">
        <f t="shared" si="272"/>
        <v>0 €</v>
      </c>
      <c r="H164" s="154">
        <f t="shared" si="273"/>
        <v>1.94</v>
      </c>
      <c r="I164" s="64">
        <f t="shared" si="274"/>
        <v>47118</v>
      </c>
      <c r="J164" s="304" t="str">
        <f t="shared" si="275"/>
        <v>500 € p/m</v>
      </c>
      <c r="K164" s="96">
        <f t="shared" si="266"/>
        <v>3.5222222222222221</v>
      </c>
      <c r="L164" s="146">
        <f t="shared" si="276"/>
        <v>22</v>
      </c>
      <c r="M164" s="6">
        <f t="shared" si="277"/>
        <v>0</v>
      </c>
      <c r="N164" s="5">
        <f t="shared" si="278"/>
        <v>5400</v>
      </c>
      <c r="O164" s="21">
        <f t="shared" si="279"/>
        <v>0</v>
      </c>
      <c r="P164" s="2">
        <f t="shared" si="280"/>
        <v>584</v>
      </c>
      <c r="Q164" s="2">
        <f t="shared" si="281"/>
        <v>361</v>
      </c>
      <c r="R164" s="5">
        <f t="shared" si="282"/>
        <v>16.40909090909091</v>
      </c>
      <c r="S164" s="2">
        <f t="shared" si="283"/>
        <v>223</v>
      </c>
      <c r="T164" s="2">
        <f t="shared" si="284"/>
        <v>138</v>
      </c>
      <c r="U164" s="102">
        <f t="shared" si="285"/>
        <v>0.38184931506849318</v>
      </c>
      <c r="V164" s="102">
        <f t="shared" si="286"/>
        <v>0.61815068493150682</v>
      </c>
      <c r="W164" s="6">
        <f t="shared" si="287"/>
        <v>584</v>
      </c>
      <c r="X164" s="5">
        <f t="shared" si="288"/>
        <v>26.545454545454547</v>
      </c>
      <c r="Y164" s="6">
        <f t="shared" si="289"/>
        <v>0</v>
      </c>
      <c r="Z164" s="5">
        <f t="shared" si="290"/>
        <v>0</v>
      </c>
      <c r="AA164" s="21">
        <f t="shared" si="291"/>
        <v>0</v>
      </c>
      <c r="AB164" s="6">
        <f t="shared" si="292"/>
        <v>0</v>
      </c>
      <c r="AC164" s="5">
        <f t="shared" si="293"/>
        <v>0</v>
      </c>
      <c r="AD164" s="6">
        <f t="shared" si="294"/>
        <v>36</v>
      </c>
      <c r="AE164" s="5">
        <f t="shared" si="295"/>
        <v>1.6363636363636365</v>
      </c>
      <c r="AF164" s="21">
        <f t="shared" si="296"/>
        <v>0.31858407079646017</v>
      </c>
      <c r="AG164" s="6">
        <f t="shared" si="297"/>
        <v>19</v>
      </c>
      <c r="AH164" s="5">
        <f t="shared" si="298"/>
        <v>0.86363636363636365</v>
      </c>
      <c r="AI164" s="21">
        <f t="shared" si="299"/>
        <v>0.16814159292035399</v>
      </c>
      <c r="AJ164" s="6">
        <f t="shared" si="300"/>
        <v>58</v>
      </c>
      <c r="AK164" s="5">
        <f t="shared" si="301"/>
        <v>3.5346260387811634</v>
      </c>
      <c r="AL164" s="21">
        <f t="shared" si="302"/>
        <v>0.51327433628318586</v>
      </c>
      <c r="AM164" s="21">
        <f t="shared" si="303"/>
        <v>0</v>
      </c>
      <c r="AN164" s="6">
        <f t="shared" si="304"/>
        <v>0</v>
      </c>
      <c r="AO164" s="5">
        <f t="shared" si="305"/>
        <v>0</v>
      </c>
      <c r="AP164" s="6">
        <f t="shared" si="306"/>
        <v>113</v>
      </c>
      <c r="AQ164" s="5">
        <f t="shared" si="307"/>
        <v>5.1363636363636367</v>
      </c>
      <c r="AR164" s="2">
        <f t="shared" si="308"/>
        <v>184</v>
      </c>
      <c r="AS164" s="5">
        <f t="shared" si="309"/>
        <v>8.3636363636363633</v>
      </c>
      <c r="AT164" s="21">
        <f t="shared" si="310"/>
        <v>0.61413043478260865</v>
      </c>
      <c r="AU164" s="20">
        <f t="shared" si="311"/>
        <v>0.52702702702702697</v>
      </c>
      <c r="AV164" s="20">
        <f t="shared" si="312"/>
        <v>0.3858695652173913</v>
      </c>
      <c r="AW164" s="199">
        <f t="shared" si="313"/>
        <v>0.875</v>
      </c>
      <c r="AX164" s="24">
        <f t="shared" si="314"/>
        <v>27.887323943661972</v>
      </c>
      <c r="AY164" s="5">
        <f t="shared" si="315"/>
        <v>2.591549295774648</v>
      </c>
      <c r="AZ164" s="5">
        <f t="shared" si="316"/>
        <v>2.084507042253521</v>
      </c>
      <c r="BA164" s="5">
        <f t="shared" si="317"/>
        <v>-11.87</v>
      </c>
      <c r="BB164" s="5">
        <f t="shared" si="318"/>
        <v>-0.53954545454545455</v>
      </c>
      <c r="BC164" s="5">
        <f t="shared" si="319"/>
        <v>-12.66</v>
      </c>
      <c r="BD164" s="5">
        <f t="shared" si="320"/>
        <v>-0.57545454545454544</v>
      </c>
      <c r="BE164" s="199">
        <f t="shared" si="321"/>
        <v>-0.53954545454545455</v>
      </c>
      <c r="BF164" s="21">
        <f t="shared" si="322"/>
        <v>-0.20074412311855233</v>
      </c>
      <c r="BG164" s="6">
        <f t="shared" si="323"/>
        <v>6</v>
      </c>
      <c r="BH164" s="5">
        <f t="shared" si="324"/>
        <v>0.27272727272727271</v>
      </c>
      <c r="BI164" s="6">
        <f t="shared" si="325"/>
        <v>1</v>
      </c>
      <c r="BJ164" s="5">
        <f t="shared" si="326"/>
        <v>4.5454545454545456E-2</v>
      </c>
      <c r="BK164" s="20">
        <f t="shared" si="327"/>
        <v>0.16666666666666666</v>
      </c>
      <c r="BL164" s="20">
        <f t="shared" si="328"/>
        <v>4.7875927174645991E-2</v>
      </c>
      <c r="BM164" s="6">
        <f t="shared" si="329"/>
        <v>71</v>
      </c>
      <c r="BN164" s="5">
        <f t="shared" si="330"/>
        <v>3.2272727272727271</v>
      </c>
      <c r="BO164" s="333">
        <f t="shared" si="331"/>
        <v>0</v>
      </c>
      <c r="BP164" s="334">
        <f t="shared" si="332"/>
        <v>0</v>
      </c>
      <c r="BQ164" s="6">
        <f t="shared" si="333"/>
        <v>37.4</v>
      </c>
      <c r="BR164" s="5">
        <f t="shared" si="334"/>
        <v>1.7</v>
      </c>
      <c r="BS164" s="6">
        <f t="shared" si="335"/>
        <v>222.2</v>
      </c>
      <c r="BT164" s="5">
        <f t="shared" si="336"/>
        <v>10.1</v>
      </c>
      <c r="BU164" s="181">
        <f t="shared" si="337"/>
        <v>7</v>
      </c>
      <c r="BV164" s="154">
        <f t="shared" si="338"/>
        <v>0.31818181818181818</v>
      </c>
      <c r="BW164" s="181">
        <f t="shared" si="339"/>
        <v>1</v>
      </c>
      <c r="BX164" s="180">
        <f t="shared" si="340"/>
        <v>4.5454545454545456E-2</v>
      </c>
      <c r="BY164" s="181">
        <f t="shared" si="341"/>
        <v>6</v>
      </c>
      <c r="BZ164" s="154">
        <f t="shared" si="342"/>
        <v>0.27272727272727271</v>
      </c>
      <c r="CA164" s="182">
        <f t="shared" si="343"/>
        <v>0.14285714285714285</v>
      </c>
      <c r="CB164" s="2">
        <f t="shared" si="344"/>
        <v>1</v>
      </c>
      <c r="CC164" s="2">
        <f t="shared" si="345"/>
        <v>0</v>
      </c>
      <c r="CD164" s="2">
        <f t="shared" si="346"/>
        <v>1</v>
      </c>
      <c r="CE164" s="2">
        <f t="shared" si="347"/>
        <v>9</v>
      </c>
      <c r="CF164" s="6">
        <f t="shared" si="348"/>
        <v>1</v>
      </c>
      <c r="CG164" s="6">
        <f t="shared" si="349"/>
        <v>794.43299999999999</v>
      </c>
      <c r="CH164" s="6">
        <f t="shared" si="350"/>
        <v>476</v>
      </c>
      <c r="CI164" s="20">
        <f t="shared" si="351"/>
        <v>0.59916947055321212</v>
      </c>
      <c r="CJ164" s="133">
        <f t="shared" si="352"/>
        <v>2521</v>
      </c>
      <c r="CK164" s="5">
        <f t="shared" si="353"/>
        <v>5.57</v>
      </c>
      <c r="CL164" s="300"/>
      <c r="CM164" s="296" t="s">
        <v>13</v>
      </c>
      <c r="CN164" s="296" t="s">
        <v>1479</v>
      </c>
      <c r="CO164" s="296">
        <v>24</v>
      </c>
      <c r="CP164" s="296" t="s">
        <v>1521</v>
      </c>
      <c r="CQ164" s="296" t="s">
        <v>1131</v>
      </c>
      <c r="CR164" s="296" t="s">
        <v>644</v>
      </c>
      <c r="CS164" s="296" t="s">
        <v>760</v>
      </c>
      <c r="CT164" s="296" t="s">
        <v>910</v>
      </c>
      <c r="CU164" s="297">
        <v>47118</v>
      </c>
      <c r="CV164" s="296">
        <v>0</v>
      </c>
      <c r="CW164" s="296">
        <v>1980</v>
      </c>
      <c r="CX164" s="296">
        <v>71</v>
      </c>
      <c r="CY164" s="296">
        <v>36</v>
      </c>
      <c r="CZ164" s="296">
        <v>19</v>
      </c>
      <c r="DA164" s="296">
        <v>58</v>
      </c>
      <c r="DB164" s="296">
        <v>0</v>
      </c>
      <c r="DC164" s="296">
        <v>1.7</v>
      </c>
      <c r="DD164" s="296">
        <v>10.1</v>
      </c>
      <c r="DE164" s="296">
        <v>0</v>
      </c>
      <c r="DF164" s="296">
        <v>1</v>
      </c>
      <c r="DG164" s="296">
        <v>0</v>
      </c>
      <c r="DH164" s="296">
        <v>1</v>
      </c>
      <c r="DI164" s="296">
        <v>9</v>
      </c>
      <c r="DJ164" s="296">
        <v>0</v>
      </c>
      <c r="DK164" s="296">
        <v>0</v>
      </c>
      <c r="DL164" s="296">
        <v>584</v>
      </c>
      <c r="DM164" s="296">
        <v>361</v>
      </c>
      <c r="DN164" s="296" t="s">
        <v>1522</v>
      </c>
      <c r="DO164" s="296">
        <v>0</v>
      </c>
      <c r="DP164" s="296">
        <v>0</v>
      </c>
      <c r="DQ164" s="296">
        <v>6</v>
      </c>
      <c r="DR164" s="296">
        <v>1</v>
      </c>
      <c r="DS164" s="296">
        <v>0</v>
      </c>
      <c r="DT164" s="296">
        <v>6</v>
      </c>
      <c r="DU164" s="296">
        <v>1</v>
      </c>
      <c r="DV164" s="301">
        <v>5.57</v>
      </c>
    </row>
    <row r="165" spans="1:126" ht="24.95" customHeight="1" thickBot="1" x14ac:dyDescent="0.3">
      <c r="A165" s="29" t="str">
        <f t="shared" si="265"/>
        <v>164º</v>
      </c>
      <c r="B165" s="69" t="str">
        <f t="shared" si="267"/>
        <v>Victor Hugo</v>
      </c>
      <c r="C165" s="269" t="str">
        <f t="shared" si="268"/>
        <v>BRA</v>
      </c>
      <c r="D165" s="99" t="str">
        <f t="shared" si="269"/>
        <v>Pé Direito</v>
      </c>
      <c r="E165" s="28" t="str">
        <f t="shared" si="270"/>
        <v>Atlético de Cajazeiras</v>
      </c>
      <c r="F165" s="169">
        <f t="shared" si="271"/>
        <v>20</v>
      </c>
      <c r="G165" s="2" t="str">
        <f t="shared" si="272"/>
        <v>0 €</v>
      </c>
      <c r="H165" s="154">
        <f t="shared" si="273"/>
        <v>1.9</v>
      </c>
      <c r="I165" s="64">
        <f t="shared" si="274"/>
        <v>47118</v>
      </c>
      <c r="J165" s="304" t="str">
        <f t="shared" si="275"/>
        <v>500 € p/m</v>
      </c>
      <c r="K165" s="96">
        <f t="shared" si="266"/>
        <v>3.5222222222222221</v>
      </c>
      <c r="L165" s="146">
        <f t="shared" si="276"/>
        <v>2</v>
      </c>
      <c r="M165" s="6">
        <f t="shared" si="277"/>
        <v>0</v>
      </c>
      <c r="N165" s="5">
        <f t="shared" si="278"/>
        <v>5400</v>
      </c>
      <c r="O165" s="21">
        <f t="shared" si="279"/>
        <v>0</v>
      </c>
      <c r="P165" s="2">
        <f t="shared" si="280"/>
        <v>50</v>
      </c>
      <c r="Q165" s="2">
        <f t="shared" si="281"/>
        <v>27</v>
      </c>
      <c r="R165" s="5">
        <f t="shared" si="282"/>
        <v>13.5</v>
      </c>
      <c r="S165" s="2">
        <f t="shared" si="283"/>
        <v>23</v>
      </c>
      <c r="T165" s="2">
        <f t="shared" si="284"/>
        <v>4</v>
      </c>
      <c r="U165" s="102">
        <f t="shared" si="285"/>
        <v>0.46</v>
      </c>
      <c r="V165" s="102">
        <f t="shared" si="286"/>
        <v>0.54</v>
      </c>
      <c r="W165" s="6">
        <f t="shared" si="287"/>
        <v>50</v>
      </c>
      <c r="X165" s="5">
        <f t="shared" si="288"/>
        <v>25</v>
      </c>
      <c r="Y165" s="6">
        <f t="shared" si="289"/>
        <v>0</v>
      </c>
      <c r="Z165" s="5">
        <f t="shared" si="290"/>
        <v>0</v>
      </c>
      <c r="AA165" s="21">
        <f t="shared" si="291"/>
        <v>0</v>
      </c>
      <c r="AB165" s="6">
        <f t="shared" si="292"/>
        <v>0</v>
      </c>
      <c r="AC165" s="5">
        <f t="shared" si="293"/>
        <v>0</v>
      </c>
      <c r="AD165" s="6">
        <f t="shared" si="294"/>
        <v>1</v>
      </c>
      <c r="AE165" s="5">
        <f t="shared" si="295"/>
        <v>0.5</v>
      </c>
      <c r="AF165" s="21">
        <f t="shared" si="296"/>
        <v>0.5</v>
      </c>
      <c r="AG165" s="6">
        <f t="shared" si="297"/>
        <v>0</v>
      </c>
      <c r="AH165" s="5">
        <f t="shared" si="298"/>
        <v>0</v>
      </c>
      <c r="AI165" s="21">
        <f t="shared" si="299"/>
        <v>0</v>
      </c>
      <c r="AJ165" s="6">
        <f t="shared" si="300"/>
        <v>1</v>
      </c>
      <c r="AK165" s="5">
        <f t="shared" si="301"/>
        <v>7.407407407407407E-2</v>
      </c>
      <c r="AL165" s="21">
        <f t="shared" si="302"/>
        <v>0.5</v>
      </c>
      <c r="AM165" s="21">
        <f t="shared" si="303"/>
        <v>0</v>
      </c>
      <c r="AN165" s="6">
        <f t="shared" si="304"/>
        <v>0</v>
      </c>
      <c r="AO165" s="5">
        <f t="shared" si="305"/>
        <v>0</v>
      </c>
      <c r="AP165" s="6">
        <f t="shared" si="306"/>
        <v>2</v>
      </c>
      <c r="AQ165" s="5">
        <f t="shared" si="307"/>
        <v>1</v>
      </c>
      <c r="AR165" s="2">
        <f t="shared" si="308"/>
        <v>4</v>
      </c>
      <c r="AS165" s="5">
        <f t="shared" si="309"/>
        <v>2</v>
      </c>
      <c r="AT165" s="21">
        <f t="shared" si="310"/>
        <v>0.5</v>
      </c>
      <c r="AU165" s="20">
        <f t="shared" si="311"/>
        <v>0.33333333333333331</v>
      </c>
      <c r="AV165" s="20">
        <f t="shared" si="312"/>
        <v>0.5</v>
      </c>
      <c r="AW165" s="199">
        <f t="shared" si="313"/>
        <v>0.625</v>
      </c>
      <c r="AX165" s="24">
        <f t="shared" si="314"/>
        <v>90</v>
      </c>
      <c r="AY165" s="5">
        <f t="shared" si="315"/>
        <v>2</v>
      </c>
      <c r="AZ165" s="5">
        <f t="shared" si="316"/>
        <v>1.5</v>
      </c>
      <c r="BA165" s="5">
        <f t="shared" si="317"/>
        <v>0.12</v>
      </c>
      <c r="BB165" s="5">
        <f t="shared" si="318"/>
        <v>0.06</v>
      </c>
      <c r="BC165" s="5">
        <f t="shared" si="319"/>
        <v>0.12</v>
      </c>
      <c r="BD165" s="5">
        <f t="shared" si="320"/>
        <v>0.06</v>
      </c>
      <c r="BE165" s="199">
        <f t="shared" si="321"/>
        <v>0.06</v>
      </c>
      <c r="BF165" s="21">
        <f t="shared" si="322"/>
        <v>5.6603773584905655E-2</v>
      </c>
      <c r="BG165" s="6">
        <f t="shared" si="323"/>
        <v>0</v>
      </c>
      <c r="BH165" s="5">
        <f t="shared" si="324"/>
        <v>0</v>
      </c>
      <c r="BI165" s="6">
        <f t="shared" si="325"/>
        <v>0</v>
      </c>
      <c r="BJ165" s="5">
        <f t="shared" si="326"/>
        <v>0</v>
      </c>
      <c r="BK165" s="20">
        <f t="shared" si="327"/>
        <v>-9.9999999999999998E-13</v>
      </c>
      <c r="BL165" s="20">
        <f t="shared" si="328"/>
        <v>1.3486176668914363E-3</v>
      </c>
      <c r="BM165" s="6">
        <f t="shared" si="329"/>
        <v>2</v>
      </c>
      <c r="BN165" s="5">
        <f t="shared" si="330"/>
        <v>1</v>
      </c>
      <c r="BO165" s="333">
        <f t="shared" si="331"/>
        <v>0</v>
      </c>
      <c r="BP165" s="334">
        <f t="shared" si="332"/>
        <v>0</v>
      </c>
      <c r="BQ165" s="6">
        <f t="shared" si="333"/>
        <v>4</v>
      </c>
      <c r="BR165" s="5">
        <f t="shared" si="334"/>
        <v>2</v>
      </c>
      <c r="BS165" s="6">
        <f t="shared" si="335"/>
        <v>8</v>
      </c>
      <c r="BT165" s="5">
        <f t="shared" si="336"/>
        <v>4</v>
      </c>
      <c r="BU165" s="181">
        <f t="shared" si="337"/>
        <v>0</v>
      </c>
      <c r="BV165" s="154">
        <f t="shared" si="338"/>
        <v>0</v>
      </c>
      <c r="BW165" s="181">
        <f t="shared" si="339"/>
        <v>0</v>
      </c>
      <c r="BX165" s="180">
        <f t="shared" si="340"/>
        <v>0</v>
      </c>
      <c r="BY165" s="181">
        <f t="shared" si="341"/>
        <v>0</v>
      </c>
      <c r="BZ165" s="154">
        <f t="shared" si="342"/>
        <v>0</v>
      </c>
      <c r="CA165" s="182">
        <f t="shared" si="343"/>
        <v>0</v>
      </c>
      <c r="CB165" s="2">
        <f t="shared" si="344"/>
        <v>0</v>
      </c>
      <c r="CC165" s="2">
        <f t="shared" si="345"/>
        <v>0</v>
      </c>
      <c r="CD165" s="2">
        <f t="shared" si="346"/>
        <v>0</v>
      </c>
      <c r="CE165" s="2">
        <f t="shared" si="347"/>
        <v>1</v>
      </c>
      <c r="CF165" s="6">
        <f t="shared" si="348"/>
        <v>0</v>
      </c>
      <c r="CG165" s="6">
        <f t="shared" si="349"/>
        <v>59.32</v>
      </c>
      <c r="CH165" s="6">
        <f t="shared" si="350"/>
        <v>29</v>
      </c>
      <c r="CI165" s="20">
        <f t="shared" si="351"/>
        <v>0.48887390424814564</v>
      </c>
      <c r="CJ165" s="133">
        <f t="shared" si="352"/>
        <v>2521</v>
      </c>
      <c r="CK165" s="5">
        <f t="shared" si="353"/>
        <v>6.35</v>
      </c>
      <c r="CL165" s="302" t="s">
        <v>19</v>
      </c>
      <c r="CM165" s="298" t="s">
        <v>13</v>
      </c>
      <c r="CN165" s="298" t="s">
        <v>1523</v>
      </c>
      <c r="CO165" s="298">
        <v>20</v>
      </c>
      <c r="CP165" s="298" t="s">
        <v>1051</v>
      </c>
      <c r="CQ165" s="298" t="s">
        <v>1131</v>
      </c>
      <c r="CR165" s="298" t="s">
        <v>644</v>
      </c>
      <c r="CS165" s="298" t="s">
        <v>760</v>
      </c>
      <c r="CT165" s="298" t="s">
        <v>682</v>
      </c>
      <c r="CU165" s="299">
        <v>47118</v>
      </c>
      <c r="CV165" s="298">
        <v>0</v>
      </c>
      <c r="CW165" s="298">
        <v>180</v>
      </c>
      <c r="CX165" s="298">
        <v>2</v>
      </c>
      <c r="CY165" s="298">
        <v>1</v>
      </c>
      <c r="CZ165" s="298">
        <v>0</v>
      </c>
      <c r="DA165" s="298">
        <v>1</v>
      </c>
      <c r="DB165" s="298">
        <v>0</v>
      </c>
      <c r="DC165" s="298">
        <v>2</v>
      </c>
      <c r="DD165" s="298">
        <v>4</v>
      </c>
      <c r="DE165" s="298">
        <v>0</v>
      </c>
      <c r="DF165" s="298">
        <v>0</v>
      </c>
      <c r="DG165" s="298">
        <v>0</v>
      </c>
      <c r="DH165" s="298">
        <v>0</v>
      </c>
      <c r="DI165" s="298">
        <v>1</v>
      </c>
      <c r="DJ165" s="298">
        <v>0</v>
      </c>
      <c r="DK165" s="298">
        <v>0</v>
      </c>
      <c r="DL165" s="298">
        <v>50</v>
      </c>
      <c r="DM165" s="298">
        <v>27</v>
      </c>
      <c r="DN165" s="298" t="s">
        <v>1524</v>
      </c>
      <c r="DO165" s="298">
        <v>0</v>
      </c>
      <c r="DP165" s="298">
        <v>0</v>
      </c>
      <c r="DQ165" s="298">
        <v>0</v>
      </c>
      <c r="DR165" s="298">
        <v>0</v>
      </c>
      <c r="DS165" s="298">
        <v>0</v>
      </c>
      <c r="DT165" s="298">
        <v>0</v>
      </c>
      <c r="DU165" s="298">
        <v>0</v>
      </c>
      <c r="DV165" s="303">
        <v>6.35</v>
      </c>
    </row>
    <row r="166" spans="1:126" ht="24.95" customHeight="1" thickBot="1" x14ac:dyDescent="0.3">
      <c r="A166" s="29" t="str">
        <f t="shared" si="265"/>
        <v>165º</v>
      </c>
      <c r="B166" s="69" t="str">
        <f t="shared" si="267"/>
        <v>Cláudio</v>
      </c>
      <c r="C166" s="269" t="str">
        <f t="shared" si="268"/>
        <v>BRA</v>
      </c>
      <c r="D166" s="99" t="str">
        <f t="shared" si="269"/>
        <v>Pé Direito</v>
      </c>
      <c r="E166" s="28" t="str">
        <f t="shared" si="270"/>
        <v>PSTC</v>
      </c>
      <c r="F166" s="169">
        <f t="shared" si="271"/>
        <v>21</v>
      </c>
      <c r="G166" s="2" t="str">
        <f t="shared" si="272"/>
        <v>0 €</v>
      </c>
      <c r="H166" s="154">
        <f t="shared" si="273"/>
        <v>1.86</v>
      </c>
      <c r="I166" s="64">
        <f t="shared" si="274"/>
        <v>47118</v>
      </c>
      <c r="J166" s="304" t="str">
        <f t="shared" si="275"/>
        <v>525 € p/m</v>
      </c>
      <c r="K166" s="96">
        <f t="shared" si="266"/>
        <v>3.5222222222222221</v>
      </c>
      <c r="L166" s="146">
        <f t="shared" si="276"/>
        <v>2.7666666666666666</v>
      </c>
      <c r="M166" s="6">
        <f t="shared" si="277"/>
        <v>0</v>
      </c>
      <c r="N166" s="5">
        <f t="shared" si="278"/>
        <v>5400</v>
      </c>
      <c r="O166" s="21">
        <f t="shared" si="279"/>
        <v>0</v>
      </c>
      <c r="P166" s="2">
        <f t="shared" si="280"/>
        <v>140</v>
      </c>
      <c r="Q166" s="2">
        <f t="shared" si="281"/>
        <v>79</v>
      </c>
      <c r="R166" s="5">
        <f t="shared" si="282"/>
        <v>28.554216867469879</v>
      </c>
      <c r="S166" s="2">
        <f t="shared" si="283"/>
        <v>61</v>
      </c>
      <c r="T166" s="2">
        <f t="shared" si="284"/>
        <v>18</v>
      </c>
      <c r="U166" s="102">
        <f t="shared" si="285"/>
        <v>0.43571428571428572</v>
      </c>
      <c r="V166" s="102">
        <f t="shared" si="286"/>
        <v>0.56428571428571428</v>
      </c>
      <c r="W166" s="6">
        <f t="shared" si="287"/>
        <v>140</v>
      </c>
      <c r="X166" s="5">
        <f t="shared" si="288"/>
        <v>50.602409638554221</v>
      </c>
      <c r="Y166" s="6">
        <f t="shared" si="289"/>
        <v>0</v>
      </c>
      <c r="Z166" s="5">
        <f t="shared" si="290"/>
        <v>0</v>
      </c>
      <c r="AA166" s="21">
        <f t="shared" si="291"/>
        <v>0</v>
      </c>
      <c r="AB166" s="6">
        <f t="shared" si="292"/>
        <v>0</v>
      </c>
      <c r="AC166" s="5">
        <f t="shared" si="293"/>
        <v>0</v>
      </c>
      <c r="AD166" s="6">
        <f t="shared" si="294"/>
        <v>0</v>
      </c>
      <c r="AE166" s="5">
        <f t="shared" si="295"/>
        <v>0</v>
      </c>
      <c r="AF166" s="21">
        <f t="shared" si="296"/>
        <v>0</v>
      </c>
      <c r="AG166" s="6">
        <f t="shared" si="297"/>
        <v>0</v>
      </c>
      <c r="AH166" s="5">
        <f t="shared" si="298"/>
        <v>0</v>
      </c>
      <c r="AI166" s="21">
        <f t="shared" si="299"/>
        <v>0</v>
      </c>
      <c r="AJ166" s="6">
        <f t="shared" si="300"/>
        <v>0</v>
      </c>
      <c r="AK166" s="5">
        <f t="shared" si="301"/>
        <v>0</v>
      </c>
      <c r="AL166" s="21">
        <f t="shared" si="302"/>
        <v>0</v>
      </c>
      <c r="AM166" s="21">
        <f t="shared" si="303"/>
        <v>0</v>
      </c>
      <c r="AN166" s="6">
        <f t="shared" si="304"/>
        <v>0</v>
      </c>
      <c r="AO166" s="5">
        <f t="shared" si="305"/>
        <v>0</v>
      </c>
      <c r="AP166" s="6">
        <f t="shared" si="306"/>
        <v>0</v>
      </c>
      <c r="AQ166" s="5">
        <f t="shared" si="307"/>
        <v>0</v>
      </c>
      <c r="AR166" s="2">
        <f t="shared" si="308"/>
        <v>10</v>
      </c>
      <c r="AS166" s="5">
        <f t="shared" si="309"/>
        <v>3.6144578313253013</v>
      </c>
      <c r="AT166" s="21">
        <f t="shared" si="310"/>
        <v>0</v>
      </c>
      <c r="AU166" s="20">
        <f t="shared" si="311"/>
        <v>0</v>
      </c>
      <c r="AV166" s="20">
        <f t="shared" si="312"/>
        <v>1</v>
      </c>
      <c r="AW166" s="199">
        <f t="shared" si="313"/>
        <v>0</v>
      </c>
      <c r="AX166" s="24">
        <f t="shared" si="314"/>
        <v>24.9</v>
      </c>
      <c r="AY166" s="5">
        <f t="shared" si="315"/>
        <v>1</v>
      </c>
      <c r="AZ166" s="5">
        <f t="shared" si="316"/>
        <v>1</v>
      </c>
      <c r="BA166" s="5">
        <f t="shared" si="317"/>
        <v>0</v>
      </c>
      <c r="BB166" s="5">
        <f t="shared" si="318"/>
        <v>0</v>
      </c>
      <c r="BC166" s="5">
        <f t="shared" si="319"/>
        <v>0</v>
      </c>
      <c r="BD166" s="5">
        <f t="shared" si="320"/>
        <v>0</v>
      </c>
      <c r="BE166" s="199">
        <f t="shared" si="321"/>
        <v>0</v>
      </c>
      <c r="BF166" s="21">
        <f t="shared" si="322"/>
        <v>0</v>
      </c>
      <c r="BG166" s="6">
        <f t="shared" si="323"/>
        <v>0</v>
      </c>
      <c r="BH166" s="5">
        <f t="shared" si="324"/>
        <v>0</v>
      </c>
      <c r="BI166" s="6">
        <f t="shared" si="325"/>
        <v>0</v>
      </c>
      <c r="BJ166" s="5">
        <f t="shared" si="326"/>
        <v>0</v>
      </c>
      <c r="BK166" s="20">
        <f t="shared" si="327"/>
        <v>-9.9999999999999998E-13</v>
      </c>
      <c r="BL166" s="20">
        <f t="shared" si="328"/>
        <v>6.7430883344571811E-3</v>
      </c>
      <c r="BM166" s="6">
        <f t="shared" si="329"/>
        <v>10</v>
      </c>
      <c r="BN166" s="5">
        <f t="shared" si="330"/>
        <v>3.6144578313253013</v>
      </c>
      <c r="BO166" s="333">
        <f t="shared" si="331"/>
        <v>0</v>
      </c>
      <c r="BP166" s="334">
        <f t="shared" si="332"/>
        <v>0</v>
      </c>
      <c r="BQ166" s="6">
        <f t="shared" si="333"/>
        <v>0</v>
      </c>
      <c r="BR166" s="5">
        <f t="shared" si="334"/>
        <v>0</v>
      </c>
      <c r="BS166" s="6">
        <f t="shared" si="335"/>
        <v>0</v>
      </c>
      <c r="BT166" s="5">
        <f t="shared" si="336"/>
        <v>0</v>
      </c>
      <c r="BU166" s="181">
        <f t="shared" si="337"/>
        <v>0</v>
      </c>
      <c r="BV166" s="154">
        <f t="shared" si="338"/>
        <v>0</v>
      </c>
      <c r="BW166" s="181">
        <f t="shared" si="339"/>
        <v>0</v>
      </c>
      <c r="BX166" s="180">
        <f t="shared" si="340"/>
        <v>0</v>
      </c>
      <c r="BY166" s="181">
        <f t="shared" si="341"/>
        <v>0</v>
      </c>
      <c r="BZ166" s="154">
        <f t="shared" si="342"/>
        <v>0</v>
      </c>
      <c r="CA166" s="182">
        <f t="shared" si="343"/>
        <v>0</v>
      </c>
      <c r="CB166" s="2">
        <f t="shared" si="344"/>
        <v>0</v>
      </c>
      <c r="CC166" s="2">
        <f t="shared" si="345"/>
        <v>0</v>
      </c>
      <c r="CD166" s="2">
        <f t="shared" si="346"/>
        <v>0</v>
      </c>
      <c r="CE166" s="2">
        <f t="shared" si="347"/>
        <v>3</v>
      </c>
      <c r="CF166" s="6">
        <f t="shared" si="348"/>
        <v>0</v>
      </c>
      <c r="CG166" s="6">
        <f t="shared" si="349"/>
        <v>150</v>
      </c>
      <c r="CH166" s="6">
        <f t="shared" si="350"/>
        <v>79</v>
      </c>
      <c r="CI166" s="20">
        <f t="shared" si="351"/>
        <v>0.52666666666666662</v>
      </c>
      <c r="CJ166" s="133">
        <f t="shared" si="352"/>
        <v>2521</v>
      </c>
      <c r="CK166" s="5">
        <f t="shared" si="353"/>
        <v>6.6</v>
      </c>
      <c r="CL166" s="300" t="s">
        <v>19</v>
      </c>
      <c r="CM166" s="296" t="s">
        <v>13</v>
      </c>
      <c r="CN166" s="296" t="s">
        <v>1463</v>
      </c>
      <c r="CO166" s="296">
        <v>21</v>
      </c>
      <c r="CP166" s="296" t="s">
        <v>1525</v>
      </c>
      <c r="CQ166" s="296" t="s">
        <v>1131</v>
      </c>
      <c r="CR166" s="296" t="s">
        <v>644</v>
      </c>
      <c r="CS166" s="296" t="s">
        <v>1322</v>
      </c>
      <c r="CT166" s="296" t="s">
        <v>575</v>
      </c>
      <c r="CU166" s="297">
        <v>47118</v>
      </c>
      <c r="CV166" s="296">
        <v>0</v>
      </c>
      <c r="CW166" s="296">
        <v>249</v>
      </c>
      <c r="CX166" s="296">
        <v>10</v>
      </c>
      <c r="CY166" s="296">
        <v>0</v>
      </c>
      <c r="CZ166" s="296">
        <v>0</v>
      </c>
      <c r="DA166" s="296">
        <v>0</v>
      </c>
      <c r="DB166" s="296">
        <v>0</v>
      </c>
      <c r="DC166" s="296">
        <v>0</v>
      </c>
      <c r="DD166" s="296">
        <v>0</v>
      </c>
      <c r="DE166" s="296">
        <v>0</v>
      </c>
      <c r="DF166" s="296">
        <v>0</v>
      </c>
      <c r="DG166" s="296">
        <v>0</v>
      </c>
      <c r="DH166" s="296">
        <v>0</v>
      </c>
      <c r="DI166" s="296">
        <v>3</v>
      </c>
      <c r="DJ166" s="296">
        <v>0</v>
      </c>
      <c r="DK166" s="296">
        <v>0</v>
      </c>
      <c r="DL166" s="296">
        <v>140</v>
      </c>
      <c r="DM166" s="296">
        <v>79</v>
      </c>
      <c r="DN166" s="296">
        <v>0</v>
      </c>
      <c r="DO166" s="296">
        <v>0</v>
      </c>
      <c r="DP166" s="296">
        <v>0</v>
      </c>
      <c r="DQ166" s="296">
        <v>0</v>
      </c>
      <c r="DR166" s="296">
        <v>0</v>
      </c>
      <c r="DS166" s="296">
        <v>0</v>
      </c>
      <c r="DT166" s="296">
        <v>0</v>
      </c>
      <c r="DU166" s="296">
        <v>0</v>
      </c>
      <c r="DV166" s="301">
        <v>6.6</v>
      </c>
    </row>
    <row r="167" spans="1:126" ht="24.95" customHeight="1" thickBot="1" x14ac:dyDescent="0.3">
      <c r="A167" s="29" t="str">
        <f t="shared" si="265"/>
        <v>166º</v>
      </c>
      <c r="B167" s="69" t="str">
        <f t="shared" si="267"/>
        <v>Kaká</v>
      </c>
      <c r="C167" s="269" t="str">
        <f t="shared" si="268"/>
        <v>BRA</v>
      </c>
      <c r="D167" s="99" t="str">
        <f t="shared" si="269"/>
        <v>Pé Direito</v>
      </c>
      <c r="E167" s="28" t="str">
        <f t="shared" si="270"/>
        <v>São-Joseense</v>
      </c>
      <c r="F167" s="169">
        <f t="shared" si="271"/>
        <v>23</v>
      </c>
      <c r="G167" s="2" t="str">
        <f t="shared" si="272"/>
        <v>0 €</v>
      </c>
      <c r="H167" s="154">
        <f t="shared" si="273"/>
        <v>1.89</v>
      </c>
      <c r="I167" s="64">
        <f t="shared" si="274"/>
        <v>47118</v>
      </c>
      <c r="J167" s="304" t="str">
        <f t="shared" si="275"/>
        <v>1m € p/m</v>
      </c>
      <c r="K167" s="96">
        <f t="shared" si="266"/>
        <v>3.5222222222222221</v>
      </c>
      <c r="L167" s="146">
        <f t="shared" si="276"/>
        <v>16</v>
      </c>
      <c r="M167" s="6">
        <f t="shared" si="277"/>
        <v>0</v>
      </c>
      <c r="N167" s="5">
        <f t="shared" si="278"/>
        <v>5400</v>
      </c>
      <c r="O167" s="21">
        <f t="shared" si="279"/>
        <v>0</v>
      </c>
      <c r="P167" s="2">
        <f t="shared" si="280"/>
        <v>320</v>
      </c>
      <c r="Q167" s="2">
        <f t="shared" si="281"/>
        <v>181</v>
      </c>
      <c r="R167" s="5">
        <f t="shared" si="282"/>
        <v>11.3125</v>
      </c>
      <c r="S167" s="2">
        <f t="shared" si="283"/>
        <v>139</v>
      </c>
      <c r="T167" s="2">
        <f t="shared" si="284"/>
        <v>42</v>
      </c>
      <c r="U167" s="102">
        <f t="shared" si="285"/>
        <v>0.43437500000000001</v>
      </c>
      <c r="V167" s="102">
        <f t="shared" si="286"/>
        <v>0.56562500000000004</v>
      </c>
      <c r="W167" s="6">
        <f t="shared" si="287"/>
        <v>320</v>
      </c>
      <c r="X167" s="5">
        <f t="shared" si="288"/>
        <v>20</v>
      </c>
      <c r="Y167" s="6">
        <f t="shared" si="289"/>
        <v>0</v>
      </c>
      <c r="Z167" s="5">
        <f t="shared" si="290"/>
        <v>0</v>
      </c>
      <c r="AA167" s="21">
        <f t="shared" si="291"/>
        <v>0</v>
      </c>
      <c r="AB167" s="6">
        <f t="shared" si="292"/>
        <v>0</v>
      </c>
      <c r="AC167" s="5">
        <f t="shared" si="293"/>
        <v>0</v>
      </c>
      <c r="AD167" s="6">
        <f t="shared" si="294"/>
        <v>0</v>
      </c>
      <c r="AE167" s="5">
        <f t="shared" si="295"/>
        <v>0</v>
      </c>
      <c r="AF167" s="21">
        <f t="shared" si="296"/>
        <v>0</v>
      </c>
      <c r="AG167" s="6">
        <f t="shared" si="297"/>
        <v>0</v>
      </c>
      <c r="AH167" s="5">
        <f t="shared" si="298"/>
        <v>0</v>
      </c>
      <c r="AI167" s="21">
        <f t="shared" si="299"/>
        <v>0</v>
      </c>
      <c r="AJ167" s="6">
        <f t="shared" si="300"/>
        <v>0</v>
      </c>
      <c r="AK167" s="5">
        <f t="shared" si="301"/>
        <v>0</v>
      </c>
      <c r="AL167" s="21">
        <f t="shared" si="302"/>
        <v>0</v>
      </c>
      <c r="AM167" s="21">
        <f t="shared" si="303"/>
        <v>0.3125</v>
      </c>
      <c r="AN167" s="6">
        <f t="shared" si="304"/>
        <v>5</v>
      </c>
      <c r="AO167" s="5">
        <f t="shared" si="305"/>
        <v>0.3125</v>
      </c>
      <c r="AP167" s="6">
        <f t="shared" si="306"/>
        <v>0</v>
      </c>
      <c r="AQ167" s="5">
        <f t="shared" si="307"/>
        <v>0</v>
      </c>
      <c r="AR167" s="2">
        <f t="shared" si="308"/>
        <v>22</v>
      </c>
      <c r="AS167" s="5">
        <f t="shared" si="309"/>
        <v>1.375</v>
      </c>
      <c r="AT167" s="21">
        <f t="shared" si="310"/>
        <v>0</v>
      </c>
      <c r="AU167" s="20">
        <f t="shared" si="311"/>
        <v>0</v>
      </c>
      <c r="AV167" s="20">
        <f t="shared" si="312"/>
        <v>1</v>
      </c>
      <c r="AW167" s="199">
        <f t="shared" si="313"/>
        <v>0</v>
      </c>
      <c r="AX167" s="24">
        <f t="shared" si="314"/>
        <v>65.454545454545453</v>
      </c>
      <c r="AY167" s="5">
        <f t="shared" si="315"/>
        <v>1</v>
      </c>
      <c r="AZ167" s="5">
        <f t="shared" si="316"/>
        <v>1</v>
      </c>
      <c r="BA167" s="5">
        <f t="shared" si="317"/>
        <v>0</v>
      </c>
      <c r="BB167" s="5">
        <f t="shared" si="318"/>
        <v>0</v>
      </c>
      <c r="BC167" s="5">
        <f t="shared" si="319"/>
        <v>0</v>
      </c>
      <c r="BD167" s="5">
        <f t="shared" si="320"/>
        <v>0</v>
      </c>
      <c r="BE167" s="199">
        <f t="shared" si="321"/>
        <v>0</v>
      </c>
      <c r="BF167" s="21">
        <f t="shared" si="322"/>
        <v>0</v>
      </c>
      <c r="BG167" s="6">
        <f t="shared" si="323"/>
        <v>0</v>
      </c>
      <c r="BH167" s="5">
        <f t="shared" si="324"/>
        <v>0</v>
      </c>
      <c r="BI167" s="6">
        <f t="shared" si="325"/>
        <v>0</v>
      </c>
      <c r="BJ167" s="5">
        <f t="shared" si="326"/>
        <v>0</v>
      </c>
      <c r="BK167" s="20">
        <f t="shared" si="327"/>
        <v>-9.9999999999999998E-13</v>
      </c>
      <c r="BL167" s="20">
        <f t="shared" si="328"/>
        <v>1.4834794335805798E-2</v>
      </c>
      <c r="BM167" s="6">
        <f t="shared" si="329"/>
        <v>22</v>
      </c>
      <c r="BN167" s="5">
        <f t="shared" si="330"/>
        <v>1.375</v>
      </c>
      <c r="BO167" s="333">
        <f t="shared" si="331"/>
        <v>0</v>
      </c>
      <c r="BP167" s="334">
        <f t="shared" si="332"/>
        <v>0</v>
      </c>
      <c r="BQ167" s="6">
        <f t="shared" si="333"/>
        <v>0</v>
      </c>
      <c r="BR167" s="5">
        <f t="shared" si="334"/>
        <v>0</v>
      </c>
      <c r="BS167" s="6">
        <f t="shared" si="335"/>
        <v>0</v>
      </c>
      <c r="BT167" s="5">
        <f t="shared" si="336"/>
        <v>0</v>
      </c>
      <c r="BU167" s="181">
        <f t="shared" si="337"/>
        <v>0</v>
      </c>
      <c r="BV167" s="154">
        <f t="shared" si="338"/>
        <v>0</v>
      </c>
      <c r="BW167" s="181">
        <f t="shared" si="339"/>
        <v>0</v>
      </c>
      <c r="BX167" s="180">
        <f t="shared" si="340"/>
        <v>0</v>
      </c>
      <c r="BY167" s="181">
        <f t="shared" si="341"/>
        <v>0</v>
      </c>
      <c r="BZ167" s="154">
        <f t="shared" si="342"/>
        <v>0</v>
      </c>
      <c r="CA167" s="182">
        <f t="shared" si="343"/>
        <v>0</v>
      </c>
      <c r="CB167" s="2">
        <f t="shared" si="344"/>
        <v>0</v>
      </c>
      <c r="CC167" s="2">
        <f t="shared" si="345"/>
        <v>0</v>
      </c>
      <c r="CD167" s="2">
        <f t="shared" si="346"/>
        <v>0</v>
      </c>
      <c r="CE167" s="2">
        <f t="shared" si="347"/>
        <v>12</v>
      </c>
      <c r="CF167" s="6">
        <f t="shared" si="348"/>
        <v>0</v>
      </c>
      <c r="CG167" s="6">
        <f t="shared" si="349"/>
        <v>352</v>
      </c>
      <c r="CH167" s="6">
        <f t="shared" si="350"/>
        <v>181</v>
      </c>
      <c r="CI167" s="20">
        <f t="shared" si="351"/>
        <v>0.51420454545454541</v>
      </c>
      <c r="CJ167" s="133">
        <f t="shared" si="352"/>
        <v>2521</v>
      </c>
      <c r="CK167" s="5">
        <f t="shared" si="353"/>
        <v>6.78</v>
      </c>
      <c r="CL167" s="302"/>
      <c r="CM167" s="298" t="s">
        <v>13</v>
      </c>
      <c r="CN167" s="298" t="s">
        <v>1496</v>
      </c>
      <c r="CO167" s="298">
        <v>23</v>
      </c>
      <c r="CP167" s="298" t="s">
        <v>1526</v>
      </c>
      <c r="CQ167" s="298" t="s">
        <v>1131</v>
      </c>
      <c r="CR167" s="298" t="s">
        <v>644</v>
      </c>
      <c r="CS167" s="298" t="s">
        <v>1326</v>
      </c>
      <c r="CT167" s="298" t="s">
        <v>593</v>
      </c>
      <c r="CU167" s="299">
        <v>47118</v>
      </c>
      <c r="CV167" s="298">
        <v>0</v>
      </c>
      <c r="CW167" s="298">
        <v>1440</v>
      </c>
      <c r="CX167" s="298">
        <v>22</v>
      </c>
      <c r="CY167" s="298">
        <v>0</v>
      </c>
      <c r="CZ167" s="298">
        <v>0</v>
      </c>
      <c r="DA167" s="298">
        <v>0</v>
      </c>
      <c r="DB167" s="298">
        <v>0</v>
      </c>
      <c r="DC167" s="298">
        <v>0</v>
      </c>
      <c r="DD167" s="298">
        <v>0</v>
      </c>
      <c r="DE167" s="298">
        <v>5</v>
      </c>
      <c r="DF167" s="298">
        <v>0</v>
      </c>
      <c r="DG167" s="298">
        <v>0</v>
      </c>
      <c r="DH167" s="298">
        <v>0</v>
      </c>
      <c r="DI167" s="298">
        <v>12</v>
      </c>
      <c r="DJ167" s="298">
        <v>0</v>
      </c>
      <c r="DK167" s="298">
        <v>0</v>
      </c>
      <c r="DL167" s="298">
        <v>320</v>
      </c>
      <c r="DM167" s="298">
        <v>181</v>
      </c>
      <c r="DN167" s="298">
        <v>0</v>
      </c>
      <c r="DO167" s="298">
        <v>0</v>
      </c>
      <c r="DP167" s="298">
        <v>0</v>
      </c>
      <c r="DQ167" s="298">
        <v>0</v>
      </c>
      <c r="DR167" s="298">
        <v>0</v>
      </c>
      <c r="DS167" s="298">
        <v>0</v>
      </c>
      <c r="DT167" s="298">
        <v>0</v>
      </c>
      <c r="DU167" s="298">
        <v>0</v>
      </c>
      <c r="DV167" s="303">
        <v>6.78</v>
      </c>
    </row>
    <row r="168" spans="1:126" ht="24.95" customHeight="1" thickBot="1" x14ac:dyDescent="0.3">
      <c r="A168" s="29" t="str">
        <f t="shared" si="265"/>
        <v>167º</v>
      </c>
      <c r="B168" s="69" t="str">
        <f t="shared" si="267"/>
        <v>Fábio</v>
      </c>
      <c r="C168" s="269" t="str">
        <f t="shared" si="268"/>
        <v>BRA</v>
      </c>
      <c r="D168" s="99" t="str">
        <f t="shared" si="269"/>
        <v>Pé Direito</v>
      </c>
      <c r="E168" s="28" t="str">
        <f t="shared" si="270"/>
        <v>Cabofriense</v>
      </c>
      <c r="F168" s="169">
        <f t="shared" si="271"/>
        <v>21</v>
      </c>
      <c r="G168" s="2" t="str">
        <f t="shared" si="272"/>
        <v>0 €</v>
      </c>
      <c r="H168" s="154">
        <f t="shared" si="273"/>
        <v>1.82</v>
      </c>
      <c r="I168" s="64">
        <f t="shared" si="274"/>
        <v>47118</v>
      </c>
      <c r="J168" s="304" t="str">
        <f t="shared" si="275"/>
        <v>525 € p/m</v>
      </c>
      <c r="K168" s="96">
        <f t="shared" si="266"/>
        <v>3.5222222222222221</v>
      </c>
      <c r="L168" s="146">
        <f t="shared" si="276"/>
        <v>1.9555555555555555</v>
      </c>
      <c r="M168" s="6">
        <f t="shared" si="277"/>
        <v>0</v>
      </c>
      <c r="N168" s="5">
        <f t="shared" si="278"/>
        <v>5400</v>
      </c>
      <c r="O168" s="21">
        <f t="shared" si="279"/>
        <v>0</v>
      </c>
      <c r="P168" s="2">
        <f t="shared" si="280"/>
        <v>140</v>
      </c>
      <c r="Q168" s="2">
        <f t="shared" si="281"/>
        <v>74</v>
      </c>
      <c r="R168" s="5">
        <f t="shared" si="282"/>
        <v>37.840909090909093</v>
      </c>
      <c r="S168" s="2">
        <f t="shared" si="283"/>
        <v>66</v>
      </c>
      <c r="T168" s="2">
        <f t="shared" si="284"/>
        <v>8</v>
      </c>
      <c r="U168" s="102">
        <f t="shared" si="285"/>
        <v>0.47142857142857142</v>
      </c>
      <c r="V168" s="102">
        <f t="shared" si="286"/>
        <v>0.52857142857142858</v>
      </c>
      <c r="W168" s="6">
        <f t="shared" si="287"/>
        <v>140</v>
      </c>
      <c r="X168" s="5">
        <f t="shared" si="288"/>
        <v>71.590909090909093</v>
      </c>
      <c r="Y168" s="6">
        <f t="shared" si="289"/>
        <v>0</v>
      </c>
      <c r="Z168" s="5">
        <f t="shared" si="290"/>
        <v>0</v>
      </c>
      <c r="AA168" s="21">
        <f t="shared" si="291"/>
        <v>0</v>
      </c>
      <c r="AB168" s="6">
        <f t="shared" si="292"/>
        <v>0</v>
      </c>
      <c r="AC168" s="5">
        <f t="shared" si="293"/>
        <v>0</v>
      </c>
      <c r="AD168" s="6">
        <f t="shared" si="294"/>
        <v>0</v>
      </c>
      <c r="AE168" s="5">
        <f t="shared" si="295"/>
        <v>0</v>
      </c>
      <c r="AF168" s="21">
        <f t="shared" si="296"/>
        <v>0</v>
      </c>
      <c r="AG168" s="6">
        <f t="shared" si="297"/>
        <v>0</v>
      </c>
      <c r="AH168" s="5">
        <f t="shared" si="298"/>
        <v>0</v>
      </c>
      <c r="AI168" s="21">
        <f t="shared" si="299"/>
        <v>0</v>
      </c>
      <c r="AJ168" s="6">
        <f t="shared" si="300"/>
        <v>0</v>
      </c>
      <c r="AK168" s="5">
        <f t="shared" si="301"/>
        <v>0</v>
      </c>
      <c r="AL168" s="21">
        <f t="shared" si="302"/>
        <v>0</v>
      </c>
      <c r="AM168" s="21">
        <f t="shared" si="303"/>
        <v>0.51136363636363635</v>
      </c>
      <c r="AN168" s="6">
        <f t="shared" si="304"/>
        <v>1</v>
      </c>
      <c r="AO168" s="5">
        <f t="shared" si="305"/>
        <v>0.51136363636363635</v>
      </c>
      <c r="AP168" s="6">
        <f t="shared" si="306"/>
        <v>0</v>
      </c>
      <c r="AQ168" s="5">
        <f t="shared" si="307"/>
        <v>0</v>
      </c>
      <c r="AR168" s="2">
        <f t="shared" si="308"/>
        <v>10</v>
      </c>
      <c r="AS168" s="5">
        <f t="shared" si="309"/>
        <v>5.1136363636363642</v>
      </c>
      <c r="AT168" s="21">
        <f t="shared" si="310"/>
        <v>0</v>
      </c>
      <c r="AU168" s="20">
        <f t="shared" si="311"/>
        <v>0</v>
      </c>
      <c r="AV168" s="20">
        <f t="shared" si="312"/>
        <v>1</v>
      </c>
      <c r="AW168" s="199">
        <f t="shared" si="313"/>
        <v>0</v>
      </c>
      <c r="AX168" s="24">
        <f t="shared" si="314"/>
        <v>17.600000000000001</v>
      </c>
      <c r="AY168" s="5">
        <f t="shared" si="315"/>
        <v>1</v>
      </c>
      <c r="AZ168" s="5">
        <f t="shared" si="316"/>
        <v>1</v>
      </c>
      <c r="BA168" s="5">
        <f t="shared" si="317"/>
        <v>0</v>
      </c>
      <c r="BB168" s="5">
        <f t="shared" si="318"/>
        <v>0</v>
      </c>
      <c r="BC168" s="5">
        <f t="shared" si="319"/>
        <v>0</v>
      </c>
      <c r="BD168" s="5">
        <f t="shared" si="320"/>
        <v>0</v>
      </c>
      <c r="BE168" s="199">
        <f t="shared" si="321"/>
        <v>0</v>
      </c>
      <c r="BF168" s="21">
        <f t="shared" si="322"/>
        <v>0</v>
      </c>
      <c r="BG168" s="6">
        <f t="shared" si="323"/>
        <v>0</v>
      </c>
      <c r="BH168" s="5">
        <f t="shared" si="324"/>
        <v>0</v>
      </c>
      <c r="BI168" s="6">
        <f t="shared" si="325"/>
        <v>0</v>
      </c>
      <c r="BJ168" s="5">
        <f t="shared" si="326"/>
        <v>0</v>
      </c>
      <c r="BK168" s="20">
        <f t="shared" si="327"/>
        <v>-9.9999999999999998E-13</v>
      </c>
      <c r="BL168" s="20">
        <f t="shared" si="328"/>
        <v>6.7430883344571811E-3</v>
      </c>
      <c r="BM168" s="6">
        <f t="shared" si="329"/>
        <v>10</v>
      </c>
      <c r="BN168" s="5">
        <f t="shared" si="330"/>
        <v>5.1136363636363642</v>
      </c>
      <c r="BO168" s="333">
        <f t="shared" si="331"/>
        <v>0</v>
      </c>
      <c r="BP168" s="334">
        <f t="shared" si="332"/>
        <v>0</v>
      </c>
      <c r="BQ168" s="6">
        <f t="shared" si="333"/>
        <v>0</v>
      </c>
      <c r="BR168" s="5">
        <f t="shared" si="334"/>
        <v>0</v>
      </c>
      <c r="BS168" s="6">
        <f t="shared" si="335"/>
        <v>0</v>
      </c>
      <c r="BT168" s="5">
        <f t="shared" si="336"/>
        <v>0</v>
      </c>
      <c r="BU168" s="181">
        <f t="shared" si="337"/>
        <v>0</v>
      </c>
      <c r="BV168" s="154">
        <f t="shared" si="338"/>
        <v>0</v>
      </c>
      <c r="BW168" s="181">
        <f t="shared" si="339"/>
        <v>0</v>
      </c>
      <c r="BX168" s="180">
        <f t="shared" si="340"/>
        <v>0</v>
      </c>
      <c r="BY168" s="181">
        <f t="shared" si="341"/>
        <v>0</v>
      </c>
      <c r="BZ168" s="154">
        <f t="shared" si="342"/>
        <v>0</v>
      </c>
      <c r="CA168" s="182">
        <f t="shared" si="343"/>
        <v>0</v>
      </c>
      <c r="CB168" s="2">
        <f t="shared" si="344"/>
        <v>0</v>
      </c>
      <c r="CC168" s="2">
        <f t="shared" si="345"/>
        <v>0</v>
      </c>
      <c r="CD168" s="2">
        <f t="shared" si="346"/>
        <v>0</v>
      </c>
      <c r="CE168" s="2">
        <f t="shared" si="347"/>
        <v>0</v>
      </c>
      <c r="CF168" s="6">
        <f t="shared" si="348"/>
        <v>0</v>
      </c>
      <c r="CG168" s="6">
        <f t="shared" si="349"/>
        <v>152</v>
      </c>
      <c r="CH168" s="6">
        <f t="shared" si="350"/>
        <v>74</v>
      </c>
      <c r="CI168" s="20">
        <f t="shared" si="351"/>
        <v>0.48684210526315791</v>
      </c>
      <c r="CJ168" s="133">
        <f t="shared" si="352"/>
        <v>2521</v>
      </c>
      <c r="CK168" s="5">
        <f t="shared" si="353"/>
        <v>5.27</v>
      </c>
      <c r="CL168" s="300"/>
      <c r="CM168" s="296" t="s">
        <v>13</v>
      </c>
      <c r="CN168" s="296" t="s">
        <v>1418</v>
      </c>
      <c r="CO168" s="296">
        <v>21</v>
      </c>
      <c r="CP168" s="296" t="s">
        <v>1527</v>
      </c>
      <c r="CQ168" s="296" t="s">
        <v>1131</v>
      </c>
      <c r="CR168" s="296" t="s">
        <v>644</v>
      </c>
      <c r="CS168" s="296" t="s">
        <v>1322</v>
      </c>
      <c r="CT168" s="296" t="s">
        <v>546</v>
      </c>
      <c r="CU168" s="297">
        <v>47118</v>
      </c>
      <c r="CV168" s="296">
        <v>0</v>
      </c>
      <c r="CW168" s="296">
        <v>176</v>
      </c>
      <c r="CX168" s="296">
        <v>10</v>
      </c>
      <c r="CY168" s="296">
        <v>0</v>
      </c>
      <c r="CZ168" s="296">
        <v>0</v>
      </c>
      <c r="DA168" s="296">
        <v>0</v>
      </c>
      <c r="DB168" s="296">
        <v>0</v>
      </c>
      <c r="DC168" s="296">
        <v>0</v>
      </c>
      <c r="DD168" s="296">
        <v>0</v>
      </c>
      <c r="DE168" s="296">
        <v>1</v>
      </c>
      <c r="DF168" s="296">
        <v>0</v>
      </c>
      <c r="DG168" s="296">
        <v>0</v>
      </c>
      <c r="DH168" s="296">
        <v>0</v>
      </c>
      <c r="DI168" s="296">
        <v>0</v>
      </c>
      <c r="DJ168" s="296">
        <v>0</v>
      </c>
      <c r="DK168" s="296">
        <v>0</v>
      </c>
      <c r="DL168" s="296">
        <v>140</v>
      </c>
      <c r="DM168" s="296">
        <v>74</v>
      </c>
      <c r="DN168" s="296">
        <v>0</v>
      </c>
      <c r="DO168" s="296">
        <v>0</v>
      </c>
      <c r="DP168" s="296">
        <v>0</v>
      </c>
      <c r="DQ168" s="296">
        <v>0</v>
      </c>
      <c r="DR168" s="296">
        <v>0</v>
      </c>
      <c r="DS168" s="296">
        <v>0</v>
      </c>
      <c r="DT168" s="296">
        <v>0</v>
      </c>
      <c r="DU168" s="296">
        <v>0</v>
      </c>
      <c r="DV168" s="301">
        <v>5.27</v>
      </c>
    </row>
    <row r="169" spans="1:126" ht="24.95" customHeight="1" thickBot="1" x14ac:dyDescent="0.3">
      <c r="A169" s="29" t="str">
        <f t="shared" si="265"/>
        <v>168º</v>
      </c>
      <c r="B169" s="69" t="str">
        <f t="shared" si="267"/>
        <v>Aleilson</v>
      </c>
      <c r="C169" s="269" t="str">
        <f t="shared" si="268"/>
        <v>BRA</v>
      </c>
      <c r="D169" s="99" t="str">
        <f t="shared" si="269"/>
        <v>Pé Direito</v>
      </c>
      <c r="E169" s="28" t="str">
        <f t="shared" si="270"/>
        <v>Nação Araquari</v>
      </c>
      <c r="F169" s="169">
        <f t="shared" si="271"/>
        <v>20</v>
      </c>
      <c r="G169" s="2" t="str">
        <f t="shared" si="272"/>
        <v>0 €</v>
      </c>
      <c r="H169" s="154">
        <f t="shared" si="273"/>
        <v>1.96</v>
      </c>
      <c r="I169" s="64">
        <f t="shared" si="274"/>
        <v>47118</v>
      </c>
      <c r="J169" s="304" t="str">
        <f t="shared" si="275"/>
        <v>525 € p/m</v>
      </c>
      <c r="K169" s="96">
        <f t="shared" si="266"/>
        <v>3.5222222222222221</v>
      </c>
      <c r="L169" s="146">
        <f t="shared" si="276"/>
        <v>0.45555555555555555</v>
      </c>
      <c r="M169" s="6">
        <f t="shared" si="277"/>
        <v>0</v>
      </c>
      <c r="N169" s="5">
        <f t="shared" si="278"/>
        <v>5400</v>
      </c>
      <c r="O169" s="21">
        <f t="shared" si="279"/>
        <v>0</v>
      </c>
      <c r="P169" s="2">
        <f t="shared" si="280"/>
        <v>43</v>
      </c>
      <c r="Q169" s="2">
        <f t="shared" si="281"/>
        <v>22</v>
      </c>
      <c r="R169" s="5">
        <f t="shared" si="282"/>
        <v>48.292682926829272</v>
      </c>
      <c r="S169" s="2">
        <f t="shared" si="283"/>
        <v>21</v>
      </c>
      <c r="T169" s="2">
        <f t="shared" si="284"/>
        <v>1</v>
      </c>
      <c r="U169" s="102">
        <f t="shared" si="285"/>
        <v>0.48837209302325579</v>
      </c>
      <c r="V169" s="102">
        <f t="shared" si="286"/>
        <v>0.51162790697674421</v>
      </c>
      <c r="W169" s="6">
        <f t="shared" si="287"/>
        <v>43</v>
      </c>
      <c r="X169" s="5">
        <f t="shared" si="288"/>
        <v>94.390243902439025</v>
      </c>
      <c r="Y169" s="6">
        <f t="shared" si="289"/>
        <v>0</v>
      </c>
      <c r="Z169" s="5">
        <f t="shared" si="290"/>
        <v>0</v>
      </c>
      <c r="AA169" s="21">
        <f t="shared" si="291"/>
        <v>0</v>
      </c>
      <c r="AB169" s="6">
        <f t="shared" si="292"/>
        <v>0</v>
      </c>
      <c r="AC169" s="5">
        <f t="shared" si="293"/>
        <v>0</v>
      </c>
      <c r="AD169" s="6">
        <f t="shared" si="294"/>
        <v>0</v>
      </c>
      <c r="AE169" s="5">
        <f t="shared" si="295"/>
        <v>0</v>
      </c>
      <c r="AF169" s="21">
        <f t="shared" si="296"/>
        <v>0</v>
      </c>
      <c r="AG169" s="6">
        <f t="shared" si="297"/>
        <v>0</v>
      </c>
      <c r="AH169" s="5">
        <f t="shared" si="298"/>
        <v>0</v>
      </c>
      <c r="AI169" s="21">
        <f t="shared" si="299"/>
        <v>0</v>
      </c>
      <c r="AJ169" s="6">
        <f t="shared" si="300"/>
        <v>1</v>
      </c>
      <c r="AK169" s="5">
        <f t="shared" si="301"/>
        <v>2.0707070707070705E-2</v>
      </c>
      <c r="AL169" s="21">
        <f t="shared" si="302"/>
        <v>1</v>
      </c>
      <c r="AM169" s="21">
        <f t="shared" si="303"/>
        <v>2.1951219512195124</v>
      </c>
      <c r="AN169" s="6">
        <f t="shared" si="304"/>
        <v>1</v>
      </c>
      <c r="AO169" s="5">
        <f t="shared" si="305"/>
        <v>2.1951219512195124</v>
      </c>
      <c r="AP169" s="6">
        <f t="shared" si="306"/>
        <v>1</v>
      </c>
      <c r="AQ169" s="5">
        <f t="shared" si="307"/>
        <v>2.1951219512195124</v>
      </c>
      <c r="AR169" s="2">
        <f t="shared" si="308"/>
        <v>4</v>
      </c>
      <c r="AS169" s="5">
        <f t="shared" si="309"/>
        <v>8.7804878048780495</v>
      </c>
      <c r="AT169" s="21">
        <f t="shared" si="310"/>
        <v>0.25</v>
      </c>
      <c r="AU169" s="20">
        <f t="shared" si="311"/>
        <v>0.25</v>
      </c>
      <c r="AV169" s="20">
        <f t="shared" si="312"/>
        <v>0.75</v>
      </c>
      <c r="AW169" s="199">
        <f t="shared" si="313"/>
        <v>0.375</v>
      </c>
      <c r="AX169" s="24">
        <f t="shared" si="314"/>
        <v>13.666666666666666</v>
      </c>
      <c r="AY169" s="5">
        <f t="shared" si="315"/>
        <v>1.3333333333333333</v>
      </c>
      <c r="AZ169" s="5">
        <f t="shared" si="316"/>
        <v>1.3333333333333333</v>
      </c>
      <c r="BA169" s="5">
        <f t="shared" si="317"/>
        <v>0.5</v>
      </c>
      <c r="BB169" s="5">
        <f t="shared" si="318"/>
        <v>1.0975609756097562</v>
      </c>
      <c r="BC169" s="5">
        <f t="shared" si="319"/>
        <v>0.5</v>
      </c>
      <c r="BD169" s="5">
        <f t="shared" si="320"/>
        <v>1.0975609756097562</v>
      </c>
      <c r="BE169" s="199">
        <f t="shared" si="321"/>
        <v>0.5</v>
      </c>
      <c r="BF169" s="21">
        <f t="shared" si="322"/>
        <v>0.14285714285714285</v>
      </c>
      <c r="BG169" s="6">
        <f t="shared" si="323"/>
        <v>0</v>
      </c>
      <c r="BH169" s="5">
        <f t="shared" si="324"/>
        <v>0</v>
      </c>
      <c r="BI169" s="6">
        <f t="shared" si="325"/>
        <v>0</v>
      </c>
      <c r="BJ169" s="5">
        <f t="shared" si="326"/>
        <v>0</v>
      </c>
      <c r="BK169" s="20">
        <f t="shared" si="327"/>
        <v>-9.9999999999999998E-13</v>
      </c>
      <c r="BL169" s="20">
        <f t="shared" si="328"/>
        <v>2.0229265003371545E-3</v>
      </c>
      <c r="BM169" s="6">
        <f t="shared" si="329"/>
        <v>3</v>
      </c>
      <c r="BN169" s="5">
        <f t="shared" si="330"/>
        <v>6.5853658536585371</v>
      </c>
      <c r="BO169" s="333">
        <f t="shared" si="331"/>
        <v>0</v>
      </c>
      <c r="BP169" s="334">
        <f t="shared" si="332"/>
        <v>0</v>
      </c>
      <c r="BQ169" s="6">
        <f t="shared" si="333"/>
        <v>0</v>
      </c>
      <c r="BR169" s="5">
        <f t="shared" si="334"/>
        <v>0</v>
      </c>
      <c r="BS169" s="6">
        <f t="shared" si="335"/>
        <v>0</v>
      </c>
      <c r="BT169" s="5">
        <f t="shared" si="336"/>
        <v>0</v>
      </c>
      <c r="BU169" s="181">
        <f t="shared" si="337"/>
        <v>0</v>
      </c>
      <c r="BV169" s="154">
        <f t="shared" si="338"/>
        <v>0</v>
      </c>
      <c r="BW169" s="181">
        <f t="shared" si="339"/>
        <v>0</v>
      </c>
      <c r="BX169" s="180">
        <f t="shared" si="340"/>
        <v>0</v>
      </c>
      <c r="BY169" s="181">
        <f t="shared" si="341"/>
        <v>0</v>
      </c>
      <c r="BZ169" s="154">
        <f t="shared" si="342"/>
        <v>0</v>
      </c>
      <c r="CA169" s="182">
        <f t="shared" si="343"/>
        <v>0</v>
      </c>
      <c r="CB169" s="2">
        <f t="shared" si="344"/>
        <v>0</v>
      </c>
      <c r="CC169" s="2">
        <f t="shared" si="345"/>
        <v>0</v>
      </c>
      <c r="CD169" s="2">
        <f t="shared" si="346"/>
        <v>0</v>
      </c>
      <c r="CE169" s="2">
        <f t="shared" si="347"/>
        <v>1</v>
      </c>
      <c r="CF169" s="6">
        <f t="shared" si="348"/>
        <v>0</v>
      </c>
      <c r="CG169" s="6">
        <f t="shared" si="349"/>
        <v>49</v>
      </c>
      <c r="CH169" s="6">
        <f t="shared" si="350"/>
        <v>23</v>
      </c>
      <c r="CI169" s="20">
        <f t="shared" si="351"/>
        <v>0.46938775510204084</v>
      </c>
      <c r="CJ169" s="133">
        <f t="shared" si="352"/>
        <v>2521</v>
      </c>
      <c r="CK169" s="5">
        <f t="shared" si="353"/>
        <v>5.3</v>
      </c>
      <c r="CL169" s="302" t="s">
        <v>1235</v>
      </c>
      <c r="CM169" s="298" t="s">
        <v>13</v>
      </c>
      <c r="CN169" s="298" t="s">
        <v>1528</v>
      </c>
      <c r="CO169" s="298">
        <v>20</v>
      </c>
      <c r="CP169" s="298" t="s">
        <v>1529</v>
      </c>
      <c r="CQ169" s="298" t="s">
        <v>1131</v>
      </c>
      <c r="CR169" s="298" t="s">
        <v>644</v>
      </c>
      <c r="CS169" s="298" t="s">
        <v>1322</v>
      </c>
      <c r="CT169" s="298" t="s">
        <v>833</v>
      </c>
      <c r="CU169" s="299">
        <v>47118</v>
      </c>
      <c r="CV169" s="298">
        <v>0</v>
      </c>
      <c r="CW169" s="298">
        <v>41</v>
      </c>
      <c r="CX169" s="298">
        <v>3</v>
      </c>
      <c r="CY169" s="298">
        <v>0</v>
      </c>
      <c r="CZ169" s="298">
        <v>0</v>
      </c>
      <c r="DA169" s="298">
        <v>1</v>
      </c>
      <c r="DB169" s="298">
        <v>0</v>
      </c>
      <c r="DC169" s="298">
        <v>0</v>
      </c>
      <c r="DD169" s="298">
        <v>0</v>
      </c>
      <c r="DE169" s="298">
        <v>1</v>
      </c>
      <c r="DF169" s="298">
        <v>0</v>
      </c>
      <c r="DG169" s="298">
        <v>0</v>
      </c>
      <c r="DH169" s="298">
        <v>0</v>
      </c>
      <c r="DI169" s="298">
        <v>1</v>
      </c>
      <c r="DJ169" s="298">
        <v>0</v>
      </c>
      <c r="DK169" s="298">
        <v>0</v>
      </c>
      <c r="DL169" s="298">
        <v>43</v>
      </c>
      <c r="DM169" s="298">
        <v>22</v>
      </c>
      <c r="DN169" s="298" t="s">
        <v>1008</v>
      </c>
      <c r="DO169" s="298">
        <v>0</v>
      </c>
      <c r="DP169" s="298">
        <v>0</v>
      </c>
      <c r="DQ169" s="298">
        <v>0</v>
      </c>
      <c r="DR169" s="298">
        <v>0</v>
      </c>
      <c r="DS169" s="298">
        <v>0</v>
      </c>
      <c r="DT169" s="298">
        <v>0</v>
      </c>
      <c r="DU169" s="298">
        <v>0</v>
      </c>
      <c r="DV169" s="303">
        <v>5.3</v>
      </c>
    </row>
    <row r="170" spans="1:126" ht="24.95" customHeight="1" thickBot="1" x14ac:dyDescent="0.3">
      <c r="A170" s="29" t="str">
        <f t="shared" si="265"/>
        <v>169º</v>
      </c>
      <c r="B170" s="69" t="str">
        <f t="shared" si="267"/>
        <v>Altair</v>
      </c>
      <c r="C170" s="269" t="str">
        <f t="shared" si="268"/>
        <v>BRA</v>
      </c>
      <c r="D170" s="99" t="str">
        <f t="shared" si="269"/>
        <v>Pé Direito</v>
      </c>
      <c r="E170" s="28" t="str">
        <f t="shared" si="270"/>
        <v>SAL</v>
      </c>
      <c r="F170" s="169">
        <f t="shared" si="271"/>
        <v>24</v>
      </c>
      <c r="G170" s="2" t="str">
        <f t="shared" si="272"/>
        <v>0 €</v>
      </c>
      <c r="H170" s="154">
        <f t="shared" si="273"/>
        <v>1.93</v>
      </c>
      <c r="I170" s="64">
        <f t="shared" si="274"/>
        <v>47118</v>
      </c>
      <c r="J170" s="304" t="str">
        <f t="shared" si="275"/>
        <v>550 € p/m</v>
      </c>
      <c r="K170" s="96">
        <f t="shared" si="266"/>
        <v>3.5222222222222221</v>
      </c>
      <c r="L170" s="146">
        <f t="shared" si="276"/>
        <v>23</v>
      </c>
      <c r="M170" s="6">
        <f t="shared" si="277"/>
        <v>3</v>
      </c>
      <c r="N170" s="5">
        <f t="shared" si="278"/>
        <v>690</v>
      </c>
      <c r="O170" s="21">
        <f t="shared" si="279"/>
        <v>0.13043478260869565</v>
      </c>
      <c r="P170" s="2">
        <f t="shared" si="280"/>
        <v>581</v>
      </c>
      <c r="Q170" s="2">
        <f t="shared" si="281"/>
        <v>399</v>
      </c>
      <c r="R170" s="5">
        <f t="shared" si="282"/>
        <v>17.347826086956523</v>
      </c>
      <c r="S170" s="2">
        <f t="shared" si="283"/>
        <v>182</v>
      </c>
      <c r="T170" s="2">
        <f t="shared" si="284"/>
        <v>217</v>
      </c>
      <c r="U170" s="102">
        <f t="shared" si="285"/>
        <v>0.31325301204819278</v>
      </c>
      <c r="V170" s="102">
        <f t="shared" si="286"/>
        <v>0.68674698795180722</v>
      </c>
      <c r="W170" s="6">
        <f t="shared" si="287"/>
        <v>581</v>
      </c>
      <c r="X170" s="5">
        <f t="shared" si="288"/>
        <v>25.260869565217391</v>
      </c>
      <c r="Y170" s="6">
        <f t="shared" si="289"/>
        <v>0</v>
      </c>
      <c r="Z170" s="5">
        <f t="shared" si="290"/>
        <v>0</v>
      </c>
      <c r="AA170" s="21">
        <f t="shared" si="291"/>
        <v>0</v>
      </c>
      <c r="AB170" s="6">
        <f t="shared" si="292"/>
        <v>2</v>
      </c>
      <c r="AC170" s="5">
        <f t="shared" si="293"/>
        <v>8.6956521739130432E-2</v>
      </c>
      <c r="AD170" s="6">
        <f t="shared" si="294"/>
        <v>23</v>
      </c>
      <c r="AE170" s="5">
        <f t="shared" si="295"/>
        <v>1</v>
      </c>
      <c r="AF170" s="21">
        <f t="shared" si="296"/>
        <v>0.26136363636363635</v>
      </c>
      <c r="AG170" s="6">
        <f t="shared" si="297"/>
        <v>12</v>
      </c>
      <c r="AH170" s="5">
        <f t="shared" si="298"/>
        <v>0.52173913043478259</v>
      </c>
      <c r="AI170" s="21">
        <f t="shared" si="299"/>
        <v>0.13636363636363635</v>
      </c>
      <c r="AJ170" s="6">
        <f t="shared" si="300"/>
        <v>53</v>
      </c>
      <c r="AK170" s="5">
        <f t="shared" si="301"/>
        <v>3.0551378446115285</v>
      </c>
      <c r="AL170" s="21">
        <f t="shared" si="302"/>
        <v>0.60227272727272729</v>
      </c>
      <c r="AM170" s="21">
        <f t="shared" si="303"/>
        <v>0.13043478260869565</v>
      </c>
      <c r="AN170" s="6">
        <f t="shared" si="304"/>
        <v>3</v>
      </c>
      <c r="AO170" s="5">
        <f t="shared" si="305"/>
        <v>0.13043478260869565</v>
      </c>
      <c r="AP170" s="6">
        <f t="shared" si="306"/>
        <v>88</v>
      </c>
      <c r="AQ170" s="5">
        <f t="shared" si="307"/>
        <v>3.8260869565217392</v>
      </c>
      <c r="AR170" s="2">
        <f t="shared" si="308"/>
        <v>137</v>
      </c>
      <c r="AS170" s="5">
        <f t="shared" si="309"/>
        <v>5.9565217391304346</v>
      </c>
      <c r="AT170" s="21">
        <f t="shared" si="310"/>
        <v>0.64233576642335766</v>
      </c>
      <c r="AU170" s="20">
        <f t="shared" si="311"/>
        <v>0.58771929824561409</v>
      </c>
      <c r="AV170" s="20">
        <f t="shared" si="312"/>
        <v>0.35766423357664234</v>
      </c>
      <c r="AW170" s="199">
        <f t="shared" si="313"/>
        <v>0.92335766423357668</v>
      </c>
      <c r="AX170" s="24">
        <f t="shared" si="314"/>
        <v>42.244897959183675</v>
      </c>
      <c r="AY170" s="5">
        <f t="shared" si="315"/>
        <v>2.795918367346939</v>
      </c>
      <c r="AZ170" s="5">
        <f t="shared" si="316"/>
        <v>2.3265306122448979</v>
      </c>
      <c r="BA170" s="5">
        <f t="shared" si="317"/>
        <v>-9.11</v>
      </c>
      <c r="BB170" s="5">
        <f t="shared" si="318"/>
        <v>-0.39608695652173909</v>
      </c>
      <c r="BC170" s="5">
        <f t="shared" si="319"/>
        <v>-10.69</v>
      </c>
      <c r="BD170" s="5">
        <f t="shared" si="320"/>
        <v>-0.46478260869565213</v>
      </c>
      <c r="BE170" s="199">
        <f t="shared" si="321"/>
        <v>-3.0366666666666666</v>
      </c>
      <c r="BF170" s="21">
        <f t="shared" si="322"/>
        <v>-0.22837803960892453</v>
      </c>
      <c r="BG170" s="6">
        <f t="shared" si="323"/>
        <v>6</v>
      </c>
      <c r="BH170" s="5">
        <f t="shared" si="324"/>
        <v>0.2608695652173913</v>
      </c>
      <c r="BI170" s="6">
        <f t="shared" si="325"/>
        <v>2</v>
      </c>
      <c r="BJ170" s="5">
        <f t="shared" si="326"/>
        <v>8.6956521739130432E-2</v>
      </c>
      <c r="BK170" s="20">
        <f t="shared" si="327"/>
        <v>0.33333333333333331</v>
      </c>
      <c r="BL170" s="20">
        <f t="shared" si="328"/>
        <v>3.3041132838840186E-2</v>
      </c>
      <c r="BM170" s="6">
        <f t="shared" si="329"/>
        <v>49</v>
      </c>
      <c r="BN170" s="5">
        <f t="shared" si="330"/>
        <v>2.1304347826086958</v>
      </c>
      <c r="BO170" s="333">
        <f t="shared" si="331"/>
        <v>2</v>
      </c>
      <c r="BP170" s="334">
        <f t="shared" si="332"/>
        <v>8.6956521739130432E-2</v>
      </c>
      <c r="BQ170" s="6">
        <f t="shared" si="333"/>
        <v>62.1</v>
      </c>
      <c r="BR170" s="5">
        <f t="shared" si="334"/>
        <v>2.7</v>
      </c>
      <c r="BS170" s="6">
        <f t="shared" si="335"/>
        <v>211.6</v>
      </c>
      <c r="BT170" s="5">
        <f t="shared" si="336"/>
        <v>9.1999999999999993</v>
      </c>
      <c r="BU170" s="181">
        <f t="shared" si="337"/>
        <v>9</v>
      </c>
      <c r="BV170" s="154">
        <f t="shared" si="338"/>
        <v>0.39130434782608697</v>
      </c>
      <c r="BW170" s="181">
        <f t="shared" si="339"/>
        <v>2</v>
      </c>
      <c r="BX170" s="180">
        <f t="shared" si="340"/>
        <v>8.6956521739130432E-2</v>
      </c>
      <c r="BY170" s="181">
        <f t="shared" si="341"/>
        <v>5</v>
      </c>
      <c r="BZ170" s="154">
        <f t="shared" si="342"/>
        <v>0.21739130434782608</v>
      </c>
      <c r="CA170" s="182">
        <f t="shared" si="343"/>
        <v>0.22222222222222221</v>
      </c>
      <c r="CB170" s="2">
        <f t="shared" si="344"/>
        <v>1</v>
      </c>
      <c r="CC170" s="2">
        <f t="shared" si="345"/>
        <v>0</v>
      </c>
      <c r="CD170" s="2">
        <f t="shared" si="346"/>
        <v>1</v>
      </c>
      <c r="CE170" s="2">
        <f t="shared" si="347"/>
        <v>8</v>
      </c>
      <c r="CF170" s="6">
        <f t="shared" si="348"/>
        <v>1</v>
      </c>
      <c r="CG170" s="6">
        <f t="shared" si="349"/>
        <v>754.23599999999999</v>
      </c>
      <c r="CH170" s="6">
        <f t="shared" si="350"/>
        <v>491</v>
      </c>
      <c r="CI170" s="20">
        <f t="shared" si="351"/>
        <v>0.65098987584787782</v>
      </c>
      <c r="CJ170" s="133">
        <f t="shared" si="352"/>
        <v>2521</v>
      </c>
      <c r="CK170" s="5">
        <f t="shared" si="353"/>
        <v>6.12</v>
      </c>
      <c r="CL170" s="300"/>
      <c r="CM170" s="296" t="s">
        <v>13</v>
      </c>
      <c r="CN170" s="296" t="s">
        <v>1530</v>
      </c>
      <c r="CO170" s="296">
        <v>24</v>
      </c>
      <c r="CP170" s="296" t="s">
        <v>1531</v>
      </c>
      <c r="CQ170" s="296" t="s">
        <v>1131</v>
      </c>
      <c r="CR170" s="296" t="s">
        <v>644</v>
      </c>
      <c r="CS170" s="296" t="s">
        <v>1375</v>
      </c>
      <c r="CT170" s="296" t="s">
        <v>1123</v>
      </c>
      <c r="CU170" s="297">
        <v>47118</v>
      </c>
      <c r="CV170" s="296">
        <v>3</v>
      </c>
      <c r="CW170" s="296">
        <v>2070</v>
      </c>
      <c r="CX170" s="296">
        <v>49</v>
      </c>
      <c r="CY170" s="296">
        <v>23</v>
      </c>
      <c r="CZ170" s="296">
        <v>12</v>
      </c>
      <c r="DA170" s="296">
        <v>53</v>
      </c>
      <c r="DB170" s="296">
        <v>0</v>
      </c>
      <c r="DC170" s="296">
        <v>2.7</v>
      </c>
      <c r="DD170" s="296">
        <v>9.1999999999999993</v>
      </c>
      <c r="DE170" s="296">
        <v>3</v>
      </c>
      <c r="DF170" s="296">
        <v>1</v>
      </c>
      <c r="DG170" s="296">
        <v>0</v>
      </c>
      <c r="DH170" s="296">
        <v>1</v>
      </c>
      <c r="DI170" s="296">
        <v>8</v>
      </c>
      <c r="DJ170" s="296">
        <v>0</v>
      </c>
      <c r="DK170" s="296">
        <v>2</v>
      </c>
      <c r="DL170" s="296">
        <v>581</v>
      </c>
      <c r="DM170" s="296">
        <v>399</v>
      </c>
      <c r="DN170" s="296" t="s">
        <v>1532</v>
      </c>
      <c r="DO170" s="296">
        <v>0</v>
      </c>
      <c r="DP170" s="296">
        <v>2</v>
      </c>
      <c r="DQ170" s="296">
        <v>6</v>
      </c>
      <c r="DR170" s="296">
        <v>2</v>
      </c>
      <c r="DS170" s="296">
        <v>0</v>
      </c>
      <c r="DT170" s="296">
        <v>6</v>
      </c>
      <c r="DU170" s="296">
        <v>2</v>
      </c>
      <c r="DV170" s="301">
        <v>6.12</v>
      </c>
    </row>
    <row r="171" spans="1:126" ht="24.95" customHeight="1" thickBot="1" x14ac:dyDescent="0.3">
      <c r="A171" s="29" t="str">
        <f t="shared" si="265"/>
        <v>170º</v>
      </c>
      <c r="B171" s="69" t="str">
        <f t="shared" si="267"/>
        <v>Aparecido</v>
      </c>
      <c r="C171" s="269" t="str">
        <f t="shared" si="268"/>
        <v>BRA</v>
      </c>
      <c r="D171" s="99" t="str">
        <f t="shared" si="269"/>
        <v>Pé Direito</v>
      </c>
      <c r="E171" s="28" t="str">
        <f t="shared" si="270"/>
        <v>Tiradentes (CE)</v>
      </c>
      <c r="F171" s="169">
        <f t="shared" si="271"/>
        <v>25</v>
      </c>
      <c r="G171" s="2" t="str">
        <f t="shared" si="272"/>
        <v>0 €</v>
      </c>
      <c r="H171" s="154">
        <f t="shared" si="273"/>
        <v>1.94</v>
      </c>
      <c r="I171" s="64">
        <f t="shared" si="274"/>
        <v>47118</v>
      </c>
      <c r="J171" s="304" t="str">
        <f t="shared" si="275"/>
        <v>500 € p/m</v>
      </c>
      <c r="K171" s="96">
        <f t="shared" si="266"/>
        <v>3.5222222222222221</v>
      </c>
      <c r="L171" s="146">
        <f t="shared" si="276"/>
        <v>1.4333333333333333</v>
      </c>
      <c r="M171" s="6">
        <f t="shared" si="277"/>
        <v>0</v>
      </c>
      <c r="N171" s="5">
        <f t="shared" si="278"/>
        <v>5400</v>
      </c>
      <c r="O171" s="21">
        <f t="shared" si="279"/>
        <v>0</v>
      </c>
      <c r="P171" s="2">
        <f t="shared" si="280"/>
        <v>60</v>
      </c>
      <c r="Q171" s="2">
        <f t="shared" si="281"/>
        <v>39</v>
      </c>
      <c r="R171" s="5">
        <f t="shared" si="282"/>
        <v>27.209302325581394</v>
      </c>
      <c r="S171" s="2">
        <f t="shared" si="283"/>
        <v>21</v>
      </c>
      <c r="T171" s="2">
        <f t="shared" si="284"/>
        <v>18</v>
      </c>
      <c r="U171" s="102">
        <f t="shared" si="285"/>
        <v>0.35</v>
      </c>
      <c r="V171" s="102">
        <f t="shared" si="286"/>
        <v>0.65</v>
      </c>
      <c r="W171" s="6">
        <f t="shared" si="287"/>
        <v>60</v>
      </c>
      <c r="X171" s="5">
        <f t="shared" si="288"/>
        <v>41.860465116279066</v>
      </c>
      <c r="Y171" s="6">
        <f t="shared" si="289"/>
        <v>0</v>
      </c>
      <c r="Z171" s="5">
        <f t="shared" si="290"/>
        <v>0</v>
      </c>
      <c r="AA171" s="21">
        <f t="shared" si="291"/>
        <v>0</v>
      </c>
      <c r="AB171" s="6">
        <f t="shared" si="292"/>
        <v>0</v>
      </c>
      <c r="AC171" s="5">
        <f t="shared" si="293"/>
        <v>0</v>
      </c>
      <c r="AD171" s="6">
        <f t="shared" si="294"/>
        <v>0</v>
      </c>
      <c r="AE171" s="5">
        <f t="shared" si="295"/>
        <v>0</v>
      </c>
      <c r="AF171" s="21">
        <f t="shared" si="296"/>
        <v>0</v>
      </c>
      <c r="AG171" s="6">
        <f t="shared" si="297"/>
        <v>0</v>
      </c>
      <c r="AH171" s="5">
        <f t="shared" si="298"/>
        <v>0</v>
      </c>
      <c r="AI171" s="21">
        <f t="shared" si="299"/>
        <v>0</v>
      </c>
      <c r="AJ171" s="6">
        <f t="shared" si="300"/>
        <v>0</v>
      </c>
      <c r="AK171" s="5">
        <f t="shared" si="301"/>
        <v>0</v>
      </c>
      <c r="AL171" s="21">
        <f t="shared" si="302"/>
        <v>0</v>
      </c>
      <c r="AM171" s="21">
        <f t="shared" si="303"/>
        <v>0</v>
      </c>
      <c r="AN171" s="6">
        <f t="shared" si="304"/>
        <v>0</v>
      </c>
      <c r="AO171" s="5">
        <f t="shared" si="305"/>
        <v>0</v>
      </c>
      <c r="AP171" s="6">
        <f t="shared" si="306"/>
        <v>0</v>
      </c>
      <c r="AQ171" s="5">
        <f t="shared" si="307"/>
        <v>0</v>
      </c>
      <c r="AR171" s="2">
        <f t="shared" si="308"/>
        <v>5</v>
      </c>
      <c r="AS171" s="5">
        <f t="shared" si="309"/>
        <v>3.4883720930232558</v>
      </c>
      <c r="AT171" s="21">
        <f t="shared" si="310"/>
        <v>0</v>
      </c>
      <c r="AU171" s="20">
        <f t="shared" si="311"/>
        <v>0</v>
      </c>
      <c r="AV171" s="20">
        <f t="shared" si="312"/>
        <v>1</v>
      </c>
      <c r="AW171" s="199">
        <f t="shared" si="313"/>
        <v>0</v>
      </c>
      <c r="AX171" s="24">
        <f t="shared" si="314"/>
        <v>25.8</v>
      </c>
      <c r="AY171" s="5">
        <f t="shared" si="315"/>
        <v>1</v>
      </c>
      <c r="AZ171" s="5">
        <f t="shared" si="316"/>
        <v>1</v>
      </c>
      <c r="BA171" s="5">
        <f t="shared" si="317"/>
        <v>0</v>
      </c>
      <c r="BB171" s="5">
        <f t="shared" si="318"/>
        <v>0</v>
      </c>
      <c r="BC171" s="5">
        <f t="shared" si="319"/>
        <v>0</v>
      </c>
      <c r="BD171" s="5">
        <f t="shared" si="320"/>
        <v>0</v>
      </c>
      <c r="BE171" s="199">
        <f t="shared" si="321"/>
        <v>0</v>
      </c>
      <c r="BF171" s="21">
        <f t="shared" si="322"/>
        <v>0</v>
      </c>
      <c r="BG171" s="6">
        <f t="shared" si="323"/>
        <v>0</v>
      </c>
      <c r="BH171" s="5">
        <f t="shared" si="324"/>
        <v>0</v>
      </c>
      <c r="BI171" s="6">
        <f t="shared" si="325"/>
        <v>0</v>
      </c>
      <c r="BJ171" s="5">
        <f t="shared" si="326"/>
        <v>0</v>
      </c>
      <c r="BK171" s="20">
        <f t="shared" si="327"/>
        <v>-9.9999999999999998E-13</v>
      </c>
      <c r="BL171" s="20">
        <f t="shared" si="328"/>
        <v>3.3715441672285905E-3</v>
      </c>
      <c r="BM171" s="6">
        <f t="shared" si="329"/>
        <v>5</v>
      </c>
      <c r="BN171" s="5">
        <f t="shared" si="330"/>
        <v>3.4883720930232558</v>
      </c>
      <c r="BO171" s="333">
        <f t="shared" si="331"/>
        <v>0</v>
      </c>
      <c r="BP171" s="334">
        <f t="shared" si="332"/>
        <v>0</v>
      </c>
      <c r="BQ171" s="6">
        <f t="shared" si="333"/>
        <v>0</v>
      </c>
      <c r="BR171" s="5">
        <f t="shared" si="334"/>
        <v>0</v>
      </c>
      <c r="BS171" s="6">
        <f t="shared" si="335"/>
        <v>0</v>
      </c>
      <c r="BT171" s="5">
        <f t="shared" si="336"/>
        <v>0</v>
      </c>
      <c r="BU171" s="181">
        <f t="shared" si="337"/>
        <v>0</v>
      </c>
      <c r="BV171" s="154">
        <f t="shared" si="338"/>
        <v>0</v>
      </c>
      <c r="BW171" s="181">
        <f t="shared" si="339"/>
        <v>0</v>
      </c>
      <c r="BX171" s="180">
        <f t="shared" si="340"/>
        <v>0</v>
      </c>
      <c r="BY171" s="181">
        <f t="shared" si="341"/>
        <v>0</v>
      </c>
      <c r="BZ171" s="154">
        <f t="shared" si="342"/>
        <v>0</v>
      </c>
      <c r="CA171" s="182">
        <f t="shared" si="343"/>
        <v>0</v>
      </c>
      <c r="CB171" s="2">
        <f t="shared" si="344"/>
        <v>0</v>
      </c>
      <c r="CC171" s="2">
        <f t="shared" si="345"/>
        <v>0</v>
      </c>
      <c r="CD171" s="2">
        <f t="shared" si="346"/>
        <v>0</v>
      </c>
      <c r="CE171" s="2">
        <f t="shared" si="347"/>
        <v>1</v>
      </c>
      <c r="CF171" s="6">
        <f t="shared" si="348"/>
        <v>0</v>
      </c>
      <c r="CG171" s="6">
        <f t="shared" si="349"/>
        <v>65</v>
      </c>
      <c r="CH171" s="6">
        <f t="shared" si="350"/>
        <v>39</v>
      </c>
      <c r="CI171" s="20">
        <f t="shared" si="351"/>
        <v>0.6</v>
      </c>
      <c r="CJ171" s="133">
        <f t="shared" si="352"/>
        <v>2521</v>
      </c>
      <c r="CK171" s="5">
        <f t="shared" si="353"/>
        <v>5.63</v>
      </c>
      <c r="CL171" s="302"/>
      <c r="CM171" s="298" t="s">
        <v>13</v>
      </c>
      <c r="CN171" s="298" t="s">
        <v>1396</v>
      </c>
      <c r="CO171" s="298">
        <v>25</v>
      </c>
      <c r="CP171" s="298" t="s">
        <v>1533</v>
      </c>
      <c r="CQ171" s="298" t="s">
        <v>1131</v>
      </c>
      <c r="CR171" s="298" t="s">
        <v>644</v>
      </c>
      <c r="CS171" s="298" t="s">
        <v>760</v>
      </c>
      <c r="CT171" s="298" t="s">
        <v>910</v>
      </c>
      <c r="CU171" s="299">
        <v>47118</v>
      </c>
      <c r="CV171" s="298">
        <v>0</v>
      </c>
      <c r="CW171" s="298">
        <v>129</v>
      </c>
      <c r="CX171" s="298">
        <v>5</v>
      </c>
      <c r="CY171" s="298">
        <v>0</v>
      </c>
      <c r="CZ171" s="298">
        <v>0</v>
      </c>
      <c r="DA171" s="298">
        <v>0</v>
      </c>
      <c r="DB171" s="298">
        <v>0</v>
      </c>
      <c r="DC171" s="298">
        <v>0</v>
      </c>
      <c r="DD171" s="298">
        <v>0</v>
      </c>
      <c r="DE171" s="298">
        <v>0</v>
      </c>
      <c r="DF171" s="298">
        <v>0</v>
      </c>
      <c r="DG171" s="298">
        <v>0</v>
      </c>
      <c r="DH171" s="298">
        <v>0</v>
      </c>
      <c r="DI171" s="298">
        <v>1</v>
      </c>
      <c r="DJ171" s="298">
        <v>0</v>
      </c>
      <c r="DK171" s="298">
        <v>0</v>
      </c>
      <c r="DL171" s="298">
        <v>60</v>
      </c>
      <c r="DM171" s="298">
        <v>39</v>
      </c>
      <c r="DN171" s="298">
        <v>0</v>
      </c>
      <c r="DO171" s="298">
        <v>0</v>
      </c>
      <c r="DP171" s="298">
        <v>0</v>
      </c>
      <c r="DQ171" s="298">
        <v>0</v>
      </c>
      <c r="DR171" s="298">
        <v>0</v>
      </c>
      <c r="DS171" s="298">
        <v>0</v>
      </c>
      <c r="DT171" s="298">
        <v>0</v>
      </c>
      <c r="DU171" s="298">
        <v>0</v>
      </c>
      <c r="DV171" s="303">
        <v>5.63</v>
      </c>
    </row>
    <row r="172" spans="1:126" ht="24.95" customHeight="1" thickBot="1" x14ac:dyDescent="0.3">
      <c r="A172" s="29" t="str">
        <f t="shared" si="265"/>
        <v>171º</v>
      </c>
      <c r="B172" s="69" t="str">
        <f t="shared" si="267"/>
        <v>Fábio</v>
      </c>
      <c r="C172" s="269" t="str">
        <f t="shared" si="268"/>
        <v>BRA</v>
      </c>
      <c r="D172" s="99" t="str">
        <f t="shared" si="269"/>
        <v>Pé Direito</v>
      </c>
      <c r="E172" s="28" t="str">
        <f t="shared" si="270"/>
        <v>Sertanense</v>
      </c>
      <c r="F172" s="169">
        <f t="shared" si="271"/>
        <v>17</v>
      </c>
      <c r="G172" s="2" t="str">
        <f t="shared" si="272"/>
        <v>0 €</v>
      </c>
      <c r="H172" s="154">
        <f t="shared" si="273"/>
        <v>1.85</v>
      </c>
      <c r="I172" s="64" t="str">
        <f t="shared" si="274"/>
        <v>N/A</v>
      </c>
      <c r="J172" s="304" t="str">
        <f t="shared" si="275"/>
        <v>N/D</v>
      </c>
      <c r="K172" s="96">
        <f t="shared" si="266"/>
        <v>3.5222222222222221</v>
      </c>
      <c r="L172" s="146">
        <f t="shared" si="276"/>
        <v>0</v>
      </c>
      <c r="M172" s="6">
        <f t="shared" si="277"/>
        <v>0</v>
      </c>
      <c r="N172" s="5">
        <f t="shared" si="278"/>
        <v>5400</v>
      </c>
      <c r="O172" s="21">
        <f t="shared" si="279"/>
        <v>0</v>
      </c>
      <c r="P172" s="2">
        <f t="shared" si="280"/>
        <v>0</v>
      </c>
      <c r="Q172" s="2">
        <f t="shared" si="281"/>
        <v>0</v>
      </c>
      <c r="R172" s="5">
        <f t="shared" si="282"/>
        <v>0</v>
      </c>
      <c r="S172" s="2">
        <f t="shared" si="283"/>
        <v>0</v>
      </c>
      <c r="T172" s="2">
        <f t="shared" si="284"/>
        <v>0</v>
      </c>
      <c r="U172" s="102">
        <f t="shared" si="285"/>
        <v>0</v>
      </c>
      <c r="V172" s="102">
        <f t="shared" si="286"/>
        <v>0</v>
      </c>
      <c r="W172" s="6">
        <f t="shared" si="287"/>
        <v>0</v>
      </c>
      <c r="X172" s="5">
        <f t="shared" si="288"/>
        <v>0</v>
      </c>
      <c r="Y172" s="6">
        <f t="shared" si="289"/>
        <v>0</v>
      </c>
      <c r="Z172" s="5" t="e">
        <f t="shared" si="290"/>
        <v>#DIV/0!</v>
      </c>
      <c r="AA172" s="21">
        <f t="shared" si="291"/>
        <v>0</v>
      </c>
      <c r="AB172" s="6">
        <f t="shared" si="292"/>
        <v>0</v>
      </c>
      <c r="AC172" s="5" t="e">
        <f t="shared" si="293"/>
        <v>#DIV/0!</v>
      </c>
      <c r="AD172" s="6">
        <f t="shared" si="294"/>
        <v>0</v>
      </c>
      <c r="AE172" s="5">
        <f t="shared" si="295"/>
        <v>0</v>
      </c>
      <c r="AF172" s="21">
        <f t="shared" si="296"/>
        <v>0</v>
      </c>
      <c r="AG172" s="6">
        <f t="shared" si="297"/>
        <v>0</v>
      </c>
      <c r="AH172" s="5">
        <f t="shared" si="298"/>
        <v>0</v>
      </c>
      <c r="AI172" s="21">
        <f t="shared" si="299"/>
        <v>0</v>
      </c>
      <c r="AJ172" s="6">
        <f t="shared" si="300"/>
        <v>0</v>
      </c>
      <c r="AK172" s="5">
        <f t="shared" si="301"/>
        <v>0</v>
      </c>
      <c r="AL172" s="21">
        <f t="shared" si="302"/>
        <v>0</v>
      </c>
      <c r="AM172" s="21">
        <f t="shared" si="303"/>
        <v>0</v>
      </c>
      <c r="AN172" s="6">
        <f t="shared" si="304"/>
        <v>0</v>
      </c>
      <c r="AO172" s="5">
        <f t="shared" si="305"/>
        <v>0</v>
      </c>
      <c r="AP172" s="6">
        <f t="shared" si="306"/>
        <v>0</v>
      </c>
      <c r="AQ172" s="5">
        <f t="shared" si="307"/>
        <v>0</v>
      </c>
      <c r="AR172" s="2">
        <f t="shared" si="308"/>
        <v>0</v>
      </c>
      <c r="AS172" s="5">
        <f t="shared" si="309"/>
        <v>0</v>
      </c>
      <c r="AT172" s="21">
        <f t="shared" si="310"/>
        <v>0</v>
      </c>
      <c r="AU172" s="20">
        <f t="shared" si="311"/>
        <v>0</v>
      </c>
      <c r="AV172" s="20">
        <f t="shared" si="312"/>
        <v>1</v>
      </c>
      <c r="AW172" s="199">
        <f t="shared" si="313"/>
        <v>0</v>
      </c>
      <c r="AX172" s="24">
        <f t="shared" si="314"/>
        <v>0</v>
      </c>
      <c r="AY172" s="5">
        <f t="shared" si="315"/>
        <v>0</v>
      </c>
      <c r="AZ172" s="5">
        <f t="shared" si="316"/>
        <v>0</v>
      </c>
      <c r="BA172" s="5">
        <f t="shared" si="317"/>
        <v>0</v>
      </c>
      <c r="BB172" s="5">
        <f t="shared" si="318"/>
        <v>0</v>
      </c>
      <c r="BC172" s="5">
        <f t="shared" si="319"/>
        <v>0</v>
      </c>
      <c r="BD172" s="5">
        <f t="shared" si="320"/>
        <v>0</v>
      </c>
      <c r="BE172" s="199">
        <f t="shared" si="321"/>
        <v>0</v>
      </c>
      <c r="BF172" s="21">
        <f t="shared" si="322"/>
        <v>0</v>
      </c>
      <c r="BG172" s="6">
        <f t="shared" si="323"/>
        <v>0</v>
      </c>
      <c r="BH172" s="5" t="e">
        <f t="shared" si="324"/>
        <v>#DIV/0!</v>
      </c>
      <c r="BI172" s="6">
        <f t="shared" si="325"/>
        <v>0</v>
      </c>
      <c r="BJ172" s="5" t="e">
        <f t="shared" si="326"/>
        <v>#DIV/0!</v>
      </c>
      <c r="BK172" s="20">
        <f t="shared" si="327"/>
        <v>-9.9999999999999998E-13</v>
      </c>
      <c r="BL172" s="20">
        <f t="shared" si="328"/>
        <v>0</v>
      </c>
      <c r="BM172" s="6">
        <f t="shared" si="329"/>
        <v>0</v>
      </c>
      <c r="BN172" s="5">
        <f t="shared" si="330"/>
        <v>0</v>
      </c>
      <c r="BO172" s="333">
        <f t="shared" si="331"/>
        <v>0</v>
      </c>
      <c r="BP172" s="334">
        <f t="shared" si="332"/>
        <v>0</v>
      </c>
      <c r="BQ172" s="6">
        <f t="shared" si="333"/>
        <v>0</v>
      </c>
      <c r="BR172" s="5">
        <f t="shared" si="334"/>
        <v>0</v>
      </c>
      <c r="BS172" s="6">
        <f t="shared" si="335"/>
        <v>0</v>
      </c>
      <c r="BT172" s="5">
        <f t="shared" si="336"/>
        <v>0</v>
      </c>
      <c r="BU172" s="181">
        <f t="shared" si="337"/>
        <v>0</v>
      </c>
      <c r="BV172" s="154">
        <f t="shared" si="338"/>
        <v>0</v>
      </c>
      <c r="BW172" s="181">
        <f t="shared" si="339"/>
        <v>0</v>
      </c>
      <c r="BX172" s="180">
        <f t="shared" si="340"/>
        <v>0</v>
      </c>
      <c r="BY172" s="181">
        <f t="shared" si="341"/>
        <v>0</v>
      </c>
      <c r="BZ172" s="154">
        <f t="shared" si="342"/>
        <v>0</v>
      </c>
      <c r="CA172" s="182">
        <f t="shared" si="343"/>
        <v>0</v>
      </c>
      <c r="CB172" s="2">
        <f t="shared" si="344"/>
        <v>0</v>
      </c>
      <c r="CC172" s="2">
        <f t="shared" si="345"/>
        <v>0</v>
      </c>
      <c r="CD172" s="2">
        <f t="shared" si="346"/>
        <v>0</v>
      </c>
      <c r="CE172" s="2">
        <f t="shared" si="347"/>
        <v>0</v>
      </c>
      <c r="CF172" s="6">
        <f t="shared" si="348"/>
        <v>0</v>
      </c>
      <c r="CG172" s="6">
        <f t="shared" si="349"/>
        <v>0</v>
      </c>
      <c r="CH172" s="6">
        <f t="shared" si="350"/>
        <v>0</v>
      </c>
      <c r="CI172" s="20">
        <f t="shared" si="351"/>
        <v>0</v>
      </c>
      <c r="CJ172" s="133">
        <f t="shared" si="352"/>
        <v>2521</v>
      </c>
      <c r="CK172" s="5">
        <f t="shared" si="353"/>
        <v>0</v>
      </c>
      <c r="CL172" s="300"/>
      <c r="CM172" s="296" t="s">
        <v>13</v>
      </c>
      <c r="CN172" s="296" t="s">
        <v>1534</v>
      </c>
      <c r="CO172" s="296">
        <v>17</v>
      </c>
      <c r="CP172" s="296" t="s">
        <v>1527</v>
      </c>
      <c r="CQ172" s="296" t="s">
        <v>1131</v>
      </c>
      <c r="CR172" s="296" t="s">
        <v>644</v>
      </c>
      <c r="CS172" s="296" t="s">
        <v>1385</v>
      </c>
      <c r="CT172" s="296" t="s">
        <v>587</v>
      </c>
      <c r="CU172" s="296" t="s">
        <v>1386</v>
      </c>
      <c r="CV172" s="296">
        <v>0</v>
      </c>
      <c r="CW172" s="296">
        <v>0</v>
      </c>
      <c r="CX172" s="296">
        <v>0</v>
      </c>
      <c r="CY172" s="296">
        <v>0</v>
      </c>
      <c r="CZ172" s="296">
        <v>0</v>
      </c>
      <c r="DA172" s="296">
        <v>0</v>
      </c>
      <c r="DB172" s="296">
        <v>0</v>
      </c>
      <c r="DC172" s="296">
        <v>0</v>
      </c>
      <c r="DD172" s="296">
        <v>0</v>
      </c>
      <c r="DE172" s="296">
        <v>0</v>
      </c>
      <c r="DF172" s="296">
        <v>0</v>
      </c>
      <c r="DG172" s="296">
        <v>0</v>
      </c>
      <c r="DH172" s="296">
        <v>0</v>
      </c>
      <c r="DI172" s="296">
        <v>0</v>
      </c>
      <c r="DJ172" s="296">
        <v>0</v>
      </c>
      <c r="DK172" s="296">
        <v>0</v>
      </c>
      <c r="DL172" s="296">
        <v>0</v>
      </c>
      <c r="DM172" s="296">
        <v>0</v>
      </c>
      <c r="DN172" s="296">
        <v>0</v>
      </c>
      <c r="DO172" s="296">
        <v>0</v>
      </c>
      <c r="DP172" s="296">
        <v>0</v>
      </c>
      <c r="DQ172" s="296">
        <v>0</v>
      </c>
      <c r="DR172" s="296">
        <v>0</v>
      </c>
      <c r="DS172" s="296">
        <v>0</v>
      </c>
      <c r="DT172" s="296">
        <v>0</v>
      </c>
      <c r="DU172" s="296">
        <v>0</v>
      </c>
      <c r="DV172" s="301" t="s">
        <v>548</v>
      </c>
    </row>
    <row r="173" spans="1:126" ht="24.95" customHeight="1" thickBot="1" x14ac:dyDescent="0.3">
      <c r="A173" s="29" t="str">
        <f t="shared" si="265"/>
        <v>172º</v>
      </c>
      <c r="B173" s="69" t="str">
        <f t="shared" si="267"/>
        <v>Paulo Roberto</v>
      </c>
      <c r="C173" s="269" t="str">
        <f t="shared" si="268"/>
        <v>BRA</v>
      </c>
      <c r="D173" s="99" t="str">
        <f t="shared" si="269"/>
        <v>Pé Direito</v>
      </c>
      <c r="E173" s="28" t="str">
        <f t="shared" si="270"/>
        <v>Benfica e Castelo Branco</v>
      </c>
      <c r="F173" s="169">
        <f t="shared" si="271"/>
        <v>17</v>
      </c>
      <c r="G173" s="2" t="str">
        <f t="shared" si="272"/>
        <v>0 €</v>
      </c>
      <c r="H173" s="154">
        <f t="shared" si="273"/>
        <v>1.94</v>
      </c>
      <c r="I173" s="64" t="str">
        <f t="shared" si="274"/>
        <v>N/A</v>
      </c>
      <c r="J173" s="304" t="str">
        <f t="shared" si="275"/>
        <v>N/D</v>
      </c>
      <c r="K173" s="96">
        <f t="shared" si="266"/>
        <v>3.5222222222222221</v>
      </c>
      <c r="L173" s="146">
        <f t="shared" si="276"/>
        <v>0</v>
      </c>
      <c r="M173" s="6">
        <f t="shared" si="277"/>
        <v>0</v>
      </c>
      <c r="N173" s="5">
        <f t="shared" si="278"/>
        <v>5400</v>
      </c>
      <c r="O173" s="21">
        <f t="shared" si="279"/>
        <v>0</v>
      </c>
      <c r="P173" s="2">
        <f t="shared" si="280"/>
        <v>0</v>
      </c>
      <c r="Q173" s="2">
        <f t="shared" si="281"/>
        <v>0</v>
      </c>
      <c r="R173" s="5">
        <f t="shared" si="282"/>
        <v>0</v>
      </c>
      <c r="S173" s="2">
        <f t="shared" si="283"/>
        <v>0</v>
      </c>
      <c r="T173" s="2">
        <f t="shared" si="284"/>
        <v>0</v>
      </c>
      <c r="U173" s="102">
        <f t="shared" si="285"/>
        <v>0</v>
      </c>
      <c r="V173" s="102">
        <f t="shared" si="286"/>
        <v>0</v>
      </c>
      <c r="W173" s="6">
        <f t="shared" si="287"/>
        <v>0</v>
      </c>
      <c r="X173" s="5">
        <f t="shared" si="288"/>
        <v>0</v>
      </c>
      <c r="Y173" s="6">
        <f t="shared" si="289"/>
        <v>0</v>
      </c>
      <c r="Z173" s="5" t="e">
        <f t="shared" si="290"/>
        <v>#DIV/0!</v>
      </c>
      <c r="AA173" s="21">
        <f t="shared" si="291"/>
        <v>0</v>
      </c>
      <c r="AB173" s="6">
        <f t="shared" si="292"/>
        <v>0</v>
      </c>
      <c r="AC173" s="5" t="e">
        <f t="shared" si="293"/>
        <v>#DIV/0!</v>
      </c>
      <c r="AD173" s="6">
        <f t="shared" si="294"/>
        <v>0</v>
      </c>
      <c r="AE173" s="5">
        <f t="shared" si="295"/>
        <v>0</v>
      </c>
      <c r="AF173" s="21">
        <f t="shared" si="296"/>
        <v>0</v>
      </c>
      <c r="AG173" s="6">
        <f t="shared" si="297"/>
        <v>0</v>
      </c>
      <c r="AH173" s="5">
        <f t="shared" si="298"/>
        <v>0</v>
      </c>
      <c r="AI173" s="21">
        <f t="shared" si="299"/>
        <v>0</v>
      </c>
      <c r="AJ173" s="6">
        <f t="shared" si="300"/>
        <v>0</v>
      </c>
      <c r="AK173" s="5">
        <f t="shared" si="301"/>
        <v>0</v>
      </c>
      <c r="AL173" s="21">
        <f t="shared" si="302"/>
        <v>0</v>
      </c>
      <c r="AM173" s="21">
        <f t="shared" si="303"/>
        <v>0</v>
      </c>
      <c r="AN173" s="6">
        <f t="shared" si="304"/>
        <v>0</v>
      </c>
      <c r="AO173" s="5">
        <f t="shared" si="305"/>
        <v>0</v>
      </c>
      <c r="AP173" s="6">
        <f t="shared" si="306"/>
        <v>0</v>
      </c>
      <c r="AQ173" s="5">
        <f t="shared" si="307"/>
        <v>0</v>
      </c>
      <c r="AR173" s="2">
        <f t="shared" si="308"/>
        <v>0</v>
      </c>
      <c r="AS173" s="5">
        <f t="shared" si="309"/>
        <v>0</v>
      </c>
      <c r="AT173" s="21">
        <f t="shared" si="310"/>
        <v>0</v>
      </c>
      <c r="AU173" s="20">
        <f t="shared" si="311"/>
        <v>0</v>
      </c>
      <c r="AV173" s="20">
        <f t="shared" si="312"/>
        <v>1</v>
      </c>
      <c r="AW173" s="199">
        <f t="shared" si="313"/>
        <v>0</v>
      </c>
      <c r="AX173" s="24">
        <f t="shared" si="314"/>
        <v>0</v>
      </c>
      <c r="AY173" s="5">
        <f t="shared" si="315"/>
        <v>0</v>
      </c>
      <c r="AZ173" s="5">
        <f t="shared" si="316"/>
        <v>0</v>
      </c>
      <c r="BA173" s="5">
        <f t="shared" si="317"/>
        <v>0</v>
      </c>
      <c r="BB173" s="5">
        <f t="shared" si="318"/>
        <v>0</v>
      </c>
      <c r="BC173" s="5">
        <f t="shared" si="319"/>
        <v>0</v>
      </c>
      <c r="BD173" s="5">
        <f t="shared" si="320"/>
        <v>0</v>
      </c>
      <c r="BE173" s="199">
        <f t="shared" si="321"/>
        <v>0</v>
      </c>
      <c r="BF173" s="21">
        <f t="shared" si="322"/>
        <v>0</v>
      </c>
      <c r="BG173" s="6">
        <f t="shared" si="323"/>
        <v>0</v>
      </c>
      <c r="BH173" s="5" t="e">
        <f t="shared" si="324"/>
        <v>#DIV/0!</v>
      </c>
      <c r="BI173" s="6">
        <f t="shared" si="325"/>
        <v>0</v>
      </c>
      <c r="BJ173" s="5" t="e">
        <f t="shared" si="326"/>
        <v>#DIV/0!</v>
      </c>
      <c r="BK173" s="20">
        <f t="shared" si="327"/>
        <v>-9.9999999999999998E-13</v>
      </c>
      <c r="BL173" s="20">
        <f t="shared" si="328"/>
        <v>0</v>
      </c>
      <c r="BM173" s="6">
        <f t="shared" si="329"/>
        <v>0</v>
      </c>
      <c r="BN173" s="5">
        <f t="shared" si="330"/>
        <v>0</v>
      </c>
      <c r="BO173" s="333">
        <f t="shared" si="331"/>
        <v>0</v>
      </c>
      <c r="BP173" s="334">
        <f t="shared" si="332"/>
        <v>0</v>
      </c>
      <c r="BQ173" s="6">
        <f t="shared" si="333"/>
        <v>0</v>
      </c>
      <c r="BR173" s="5">
        <f t="shared" si="334"/>
        <v>0</v>
      </c>
      <c r="BS173" s="6">
        <f t="shared" si="335"/>
        <v>0</v>
      </c>
      <c r="BT173" s="5">
        <f t="shared" si="336"/>
        <v>0</v>
      </c>
      <c r="BU173" s="181">
        <f t="shared" si="337"/>
        <v>0</v>
      </c>
      <c r="BV173" s="154">
        <f t="shared" si="338"/>
        <v>0</v>
      </c>
      <c r="BW173" s="181">
        <f t="shared" si="339"/>
        <v>0</v>
      </c>
      <c r="BX173" s="180">
        <f t="shared" si="340"/>
        <v>0</v>
      </c>
      <c r="BY173" s="181">
        <f t="shared" si="341"/>
        <v>0</v>
      </c>
      <c r="BZ173" s="154">
        <f t="shared" si="342"/>
        <v>0</v>
      </c>
      <c r="CA173" s="182">
        <f t="shared" si="343"/>
        <v>0</v>
      </c>
      <c r="CB173" s="2">
        <f t="shared" si="344"/>
        <v>0</v>
      </c>
      <c r="CC173" s="2">
        <f t="shared" si="345"/>
        <v>0</v>
      </c>
      <c r="CD173" s="2">
        <f t="shared" si="346"/>
        <v>0</v>
      </c>
      <c r="CE173" s="2">
        <f t="shared" si="347"/>
        <v>0</v>
      </c>
      <c r="CF173" s="6">
        <f t="shared" si="348"/>
        <v>0</v>
      </c>
      <c r="CG173" s="6">
        <f t="shared" si="349"/>
        <v>0</v>
      </c>
      <c r="CH173" s="6">
        <f t="shared" si="350"/>
        <v>0</v>
      </c>
      <c r="CI173" s="20">
        <f t="shared" si="351"/>
        <v>0</v>
      </c>
      <c r="CJ173" s="133">
        <f t="shared" si="352"/>
        <v>2521</v>
      </c>
      <c r="CK173" s="5">
        <f t="shared" si="353"/>
        <v>0</v>
      </c>
      <c r="CL173" s="302"/>
      <c r="CM173" s="298" t="s">
        <v>13</v>
      </c>
      <c r="CN173" s="298" t="s">
        <v>1535</v>
      </c>
      <c r="CO173" s="298">
        <v>17</v>
      </c>
      <c r="CP173" s="298" t="s">
        <v>1536</v>
      </c>
      <c r="CQ173" s="298" t="s">
        <v>1131</v>
      </c>
      <c r="CR173" s="298" t="s">
        <v>644</v>
      </c>
      <c r="CS173" s="298" t="s">
        <v>1385</v>
      </c>
      <c r="CT173" s="298" t="s">
        <v>910</v>
      </c>
      <c r="CU173" s="298" t="s">
        <v>1386</v>
      </c>
      <c r="CV173" s="298">
        <v>0</v>
      </c>
      <c r="CW173" s="298">
        <v>0</v>
      </c>
      <c r="CX173" s="298">
        <v>0</v>
      </c>
      <c r="CY173" s="298">
        <v>0</v>
      </c>
      <c r="CZ173" s="298">
        <v>0</v>
      </c>
      <c r="DA173" s="298">
        <v>0</v>
      </c>
      <c r="DB173" s="298">
        <v>0</v>
      </c>
      <c r="DC173" s="298">
        <v>0</v>
      </c>
      <c r="DD173" s="298">
        <v>0</v>
      </c>
      <c r="DE173" s="298">
        <v>0</v>
      </c>
      <c r="DF173" s="298">
        <v>0</v>
      </c>
      <c r="DG173" s="298">
        <v>0</v>
      </c>
      <c r="DH173" s="298">
        <v>0</v>
      </c>
      <c r="DI173" s="298">
        <v>0</v>
      </c>
      <c r="DJ173" s="298">
        <v>0</v>
      </c>
      <c r="DK173" s="298">
        <v>0</v>
      </c>
      <c r="DL173" s="298">
        <v>0</v>
      </c>
      <c r="DM173" s="298">
        <v>0</v>
      </c>
      <c r="DN173" s="298">
        <v>0</v>
      </c>
      <c r="DO173" s="298">
        <v>0</v>
      </c>
      <c r="DP173" s="298">
        <v>0</v>
      </c>
      <c r="DQ173" s="298">
        <v>0</v>
      </c>
      <c r="DR173" s="298">
        <v>0</v>
      </c>
      <c r="DS173" s="298">
        <v>0</v>
      </c>
      <c r="DT173" s="298">
        <v>0</v>
      </c>
      <c r="DU173" s="298">
        <v>0</v>
      </c>
      <c r="DV173" s="303" t="s">
        <v>548</v>
      </c>
    </row>
    <row r="174" spans="1:126" ht="24.95" customHeight="1" thickBot="1" x14ac:dyDescent="0.3">
      <c r="A174" s="29" t="str">
        <f t="shared" si="265"/>
        <v>173º</v>
      </c>
      <c r="B174" s="69" t="str">
        <f t="shared" si="267"/>
        <v>Luizinho</v>
      </c>
      <c r="C174" s="269" t="str">
        <f t="shared" si="268"/>
        <v>BRA</v>
      </c>
      <c r="D174" s="99" t="str">
        <f t="shared" si="269"/>
        <v>Pé Direito</v>
      </c>
      <c r="E174" s="28" t="str">
        <f t="shared" si="270"/>
        <v>SAN</v>
      </c>
      <c r="F174" s="169">
        <f t="shared" si="271"/>
        <v>17</v>
      </c>
      <c r="G174" s="2" t="str">
        <f t="shared" si="272"/>
        <v>150m € - 1,5M €</v>
      </c>
      <c r="H174" s="154">
        <f t="shared" si="273"/>
        <v>1.79</v>
      </c>
      <c r="I174" s="64">
        <f t="shared" si="274"/>
        <v>47483</v>
      </c>
      <c r="J174" s="304" t="str">
        <f t="shared" si="275"/>
        <v>825 € p/m</v>
      </c>
      <c r="K174" s="96">
        <f t="shared" si="266"/>
        <v>3.5222222222222221</v>
      </c>
      <c r="L174" s="146">
        <f t="shared" si="276"/>
        <v>0</v>
      </c>
      <c r="M174" s="6">
        <f t="shared" si="277"/>
        <v>0</v>
      </c>
      <c r="N174" s="5">
        <f t="shared" si="278"/>
        <v>5400</v>
      </c>
      <c r="O174" s="21">
        <f t="shared" si="279"/>
        <v>0</v>
      </c>
      <c r="P174" s="2">
        <f t="shared" si="280"/>
        <v>0</v>
      </c>
      <c r="Q174" s="2">
        <f t="shared" si="281"/>
        <v>0</v>
      </c>
      <c r="R174" s="5">
        <f t="shared" si="282"/>
        <v>0</v>
      </c>
      <c r="S174" s="2">
        <f t="shared" si="283"/>
        <v>0</v>
      </c>
      <c r="T174" s="2">
        <f t="shared" si="284"/>
        <v>0</v>
      </c>
      <c r="U174" s="102">
        <f t="shared" si="285"/>
        <v>0</v>
      </c>
      <c r="V174" s="102">
        <f t="shared" si="286"/>
        <v>0</v>
      </c>
      <c r="W174" s="6">
        <f t="shared" si="287"/>
        <v>0</v>
      </c>
      <c r="X174" s="5">
        <f t="shared" si="288"/>
        <v>0</v>
      </c>
      <c r="Y174" s="6">
        <f t="shared" si="289"/>
        <v>0</v>
      </c>
      <c r="Z174" s="5" t="e">
        <f t="shared" si="290"/>
        <v>#DIV/0!</v>
      </c>
      <c r="AA174" s="21">
        <f t="shared" si="291"/>
        <v>0</v>
      </c>
      <c r="AB174" s="6">
        <f t="shared" si="292"/>
        <v>0</v>
      </c>
      <c r="AC174" s="5" t="e">
        <f t="shared" si="293"/>
        <v>#DIV/0!</v>
      </c>
      <c r="AD174" s="6">
        <f t="shared" si="294"/>
        <v>0</v>
      </c>
      <c r="AE174" s="5">
        <f t="shared" si="295"/>
        <v>0</v>
      </c>
      <c r="AF174" s="21">
        <f t="shared" si="296"/>
        <v>0</v>
      </c>
      <c r="AG174" s="6">
        <f t="shared" si="297"/>
        <v>0</v>
      </c>
      <c r="AH174" s="5">
        <f t="shared" si="298"/>
        <v>0</v>
      </c>
      <c r="AI174" s="21">
        <f t="shared" si="299"/>
        <v>0</v>
      </c>
      <c r="AJ174" s="6">
        <f t="shared" si="300"/>
        <v>0</v>
      </c>
      <c r="AK174" s="5">
        <f t="shared" si="301"/>
        <v>0</v>
      </c>
      <c r="AL174" s="21">
        <f t="shared" si="302"/>
        <v>0</v>
      </c>
      <c r="AM174" s="21">
        <f t="shared" si="303"/>
        <v>0</v>
      </c>
      <c r="AN174" s="6">
        <f t="shared" si="304"/>
        <v>0</v>
      </c>
      <c r="AO174" s="5">
        <f t="shared" si="305"/>
        <v>0</v>
      </c>
      <c r="AP174" s="6">
        <f t="shared" si="306"/>
        <v>0</v>
      </c>
      <c r="AQ174" s="5">
        <f t="shared" si="307"/>
        <v>0</v>
      </c>
      <c r="AR174" s="2">
        <f t="shared" si="308"/>
        <v>0</v>
      </c>
      <c r="AS174" s="5">
        <f t="shared" si="309"/>
        <v>0</v>
      </c>
      <c r="AT174" s="21">
        <f t="shared" si="310"/>
        <v>0</v>
      </c>
      <c r="AU174" s="20">
        <f t="shared" si="311"/>
        <v>0</v>
      </c>
      <c r="AV174" s="20">
        <f t="shared" si="312"/>
        <v>1</v>
      </c>
      <c r="AW174" s="199">
        <f t="shared" si="313"/>
        <v>0</v>
      </c>
      <c r="AX174" s="24">
        <f t="shared" si="314"/>
        <v>0</v>
      </c>
      <c r="AY174" s="5">
        <f t="shared" si="315"/>
        <v>0</v>
      </c>
      <c r="AZ174" s="5">
        <f t="shared" si="316"/>
        <v>0</v>
      </c>
      <c r="BA174" s="5">
        <f t="shared" si="317"/>
        <v>0</v>
      </c>
      <c r="BB174" s="5">
        <f t="shared" si="318"/>
        <v>0</v>
      </c>
      <c r="BC174" s="5">
        <f t="shared" si="319"/>
        <v>0</v>
      </c>
      <c r="BD174" s="5">
        <f t="shared" si="320"/>
        <v>0</v>
      </c>
      <c r="BE174" s="199">
        <f t="shared" si="321"/>
        <v>0</v>
      </c>
      <c r="BF174" s="21">
        <f t="shared" si="322"/>
        <v>0</v>
      </c>
      <c r="BG174" s="6">
        <f t="shared" si="323"/>
        <v>0</v>
      </c>
      <c r="BH174" s="5" t="e">
        <f t="shared" si="324"/>
        <v>#DIV/0!</v>
      </c>
      <c r="BI174" s="6">
        <f t="shared" si="325"/>
        <v>0</v>
      </c>
      <c r="BJ174" s="5" t="e">
        <f t="shared" si="326"/>
        <v>#DIV/0!</v>
      </c>
      <c r="BK174" s="20">
        <f t="shared" si="327"/>
        <v>-9.9999999999999998E-13</v>
      </c>
      <c r="BL174" s="20">
        <f t="shared" si="328"/>
        <v>0</v>
      </c>
      <c r="BM174" s="6">
        <f t="shared" si="329"/>
        <v>0</v>
      </c>
      <c r="BN174" s="5">
        <f t="shared" si="330"/>
        <v>0</v>
      </c>
      <c r="BO174" s="333">
        <f t="shared" si="331"/>
        <v>0</v>
      </c>
      <c r="BP174" s="334">
        <f t="shared" si="332"/>
        <v>0</v>
      </c>
      <c r="BQ174" s="6">
        <f t="shared" si="333"/>
        <v>0</v>
      </c>
      <c r="BR174" s="5">
        <f t="shared" si="334"/>
        <v>0</v>
      </c>
      <c r="BS174" s="6">
        <f t="shared" si="335"/>
        <v>0</v>
      </c>
      <c r="BT174" s="5">
        <f t="shared" si="336"/>
        <v>0</v>
      </c>
      <c r="BU174" s="181">
        <f t="shared" si="337"/>
        <v>0</v>
      </c>
      <c r="BV174" s="154">
        <f t="shared" si="338"/>
        <v>0</v>
      </c>
      <c r="BW174" s="181">
        <f t="shared" si="339"/>
        <v>0</v>
      </c>
      <c r="BX174" s="180">
        <f t="shared" si="340"/>
        <v>0</v>
      </c>
      <c r="BY174" s="181">
        <f t="shared" si="341"/>
        <v>0</v>
      </c>
      <c r="BZ174" s="154">
        <f t="shared" si="342"/>
        <v>0</v>
      </c>
      <c r="CA174" s="182">
        <f t="shared" si="343"/>
        <v>0</v>
      </c>
      <c r="CB174" s="2">
        <f t="shared" si="344"/>
        <v>0</v>
      </c>
      <c r="CC174" s="2">
        <f t="shared" si="345"/>
        <v>0</v>
      </c>
      <c r="CD174" s="2">
        <f t="shared" si="346"/>
        <v>0</v>
      </c>
      <c r="CE174" s="2">
        <f t="shared" si="347"/>
        <v>0</v>
      </c>
      <c r="CF174" s="6">
        <f t="shared" si="348"/>
        <v>0</v>
      </c>
      <c r="CG174" s="6">
        <f t="shared" si="349"/>
        <v>0</v>
      </c>
      <c r="CH174" s="6">
        <f t="shared" si="350"/>
        <v>0</v>
      </c>
      <c r="CI174" s="20">
        <f t="shared" si="351"/>
        <v>0</v>
      </c>
      <c r="CJ174" s="133">
        <f t="shared" si="352"/>
        <v>2521</v>
      </c>
      <c r="CK174" s="5">
        <f t="shared" si="353"/>
        <v>0</v>
      </c>
      <c r="CL174" s="300" t="s">
        <v>1235</v>
      </c>
      <c r="CM174" s="296" t="s">
        <v>13</v>
      </c>
      <c r="CN174" s="296" t="s">
        <v>1245</v>
      </c>
      <c r="CO174" s="296">
        <v>17</v>
      </c>
      <c r="CP174" s="296" t="s">
        <v>1537</v>
      </c>
      <c r="CQ174" s="296" t="s">
        <v>556</v>
      </c>
      <c r="CR174" s="296" t="s">
        <v>644</v>
      </c>
      <c r="CS174" s="296" t="s">
        <v>1309</v>
      </c>
      <c r="CT174" s="296" t="s">
        <v>617</v>
      </c>
      <c r="CU174" s="297">
        <v>47483</v>
      </c>
      <c r="CV174" s="296">
        <v>0</v>
      </c>
      <c r="CW174" s="296">
        <v>0</v>
      </c>
      <c r="CX174" s="296">
        <v>0</v>
      </c>
      <c r="CY174" s="296">
        <v>0</v>
      </c>
      <c r="CZ174" s="296">
        <v>0</v>
      </c>
      <c r="DA174" s="296">
        <v>0</v>
      </c>
      <c r="DB174" s="296">
        <v>0</v>
      </c>
      <c r="DC174" s="296">
        <v>0</v>
      </c>
      <c r="DD174" s="296">
        <v>0</v>
      </c>
      <c r="DE174" s="296">
        <v>0</v>
      </c>
      <c r="DF174" s="296">
        <v>0</v>
      </c>
      <c r="DG174" s="296">
        <v>0</v>
      </c>
      <c r="DH174" s="296">
        <v>0</v>
      </c>
      <c r="DI174" s="296">
        <v>0</v>
      </c>
      <c r="DJ174" s="296">
        <v>0</v>
      </c>
      <c r="DK174" s="296">
        <v>0</v>
      </c>
      <c r="DL174" s="296">
        <v>0</v>
      </c>
      <c r="DM174" s="296">
        <v>0</v>
      </c>
      <c r="DN174" s="296">
        <v>0</v>
      </c>
      <c r="DO174" s="296">
        <v>0</v>
      </c>
      <c r="DP174" s="296">
        <v>0</v>
      </c>
      <c r="DQ174" s="296">
        <v>0</v>
      </c>
      <c r="DR174" s="296">
        <v>0</v>
      </c>
      <c r="DS174" s="296">
        <v>0</v>
      </c>
      <c r="DT174" s="296">
        <v>0</v>
      </c>
      <c r="DU174" s="296">
        <v>0</v>
      </c>
      <c r="DV174" s="301" t="s">
        <v>548</v>
      </c>
    </row>
    <row r="175" spans="1:126" ht="24.95" customHeight="1" thickBot="1" x14ac:dyDescent="0.3">
      <c r="A175" s="29" t="str">
        <f t="shared" si="265"/>
        <v>174º</v>
      </c>
      <c r="B175" s="69" t="str">
        <f t="shared" si="267"/>
        <v>Carlos Renato</v>
      </c>
      <c r="C175" s="269" t="str">
        <f t="shared" si="268"/>
        <v>BRA</v>
      </c>
      <c r="D175" s="99" t="str">
        <f t="shared" si="269"/>
        <v>Pé Direito</v>
      </c>
      <c r="E175" s="28" t="str">
        <f t="shared" si="270"/>
        <v>MFC</v>
      </c>
      <c r="F175" s="169">
        <f t="shared" si="271"/>
        <v>17</v>
      </c>
      <c r="G175" s="2" t="str">
        <f t="shared" si="272"/>
        <v>22m € - 210m €</v>
      </c>
      <c r="H175" s="154">
        <f t="shared" si="273"/>
        <v>1.93</v>
      </c>
      <c r="I175" s="64">
        <f t="shared" si="274"/>
        <v>47483</v>
      </c>
      <c r="J175" s="304" t="str">
        <f t="shared" si="275"/>
        <v>525 € p/m</v>
      </c>
      <c r="K175" s="96">
        <f t="shared" si="266"/>
        <v>3.5222222222222221</v>
      </c>
      <c r="L175" s="146">
        <f t="shared" si="276"/>
        <v>0</v>
      </c>
      <c r="M175" s="6">
        <f t="shared" si="277"/>
        <v>0</v>
      </c>
      <c r="N175" s="5">
        <f t="shared" si="278"/>
        <v>5400</v>
      </c>
      <c r="O175" s="21">
        <f t="shared" si="279"/>
        <v>0</v>
      </c>
      <c r="P175" s="2">
        <f t="shared" si="280"/>
        <v>0</v>
      </c>
      <c r="Q175" s="2">
        <f t="shared" si="281"/>
        <v>0</v>
      </c>
      <c r="R175" s="5">
        <f t="shared" si="282"/>
        <v>0</v>
      </c>
      <c r="S175" s="2">
        <f t="shared" si="283"/>
        <v>0</v>
      </c>
      <c r="T175" s="2">
        <f t="shared" si="284"/>
        <v>0</v>
      </c>
      <c r="U175" s="102">
        <f t="shared" si="285"/>
        <v>0</v>
      </c>
      <c r="V175" s="102">
        <f t="shared" si="286"/>
        <v>0</v>
      </c>
      <c r="W175" s="6">
        <f t="shared" si="287"/>
        <v>0</v>
      </c>
      <c r="X175" s="5">
        <f t="shared" si="288"/>
        <v>0</v>
      </c>
      <c r="Y175" s="6">
        <f t="shared" si="289"/>
        <v>0</v>
      </c>
      <c r="Z175" s="5" t="e">
        <f t="shared" si="290"/>
        <v>#DIV/0!</v>
      </c>
      <c r="AA175" s="21">
        <f t="shared" si="291"/>
        <v>0</v>
      </c>
      <c r="AB175" s="6">
        <f t="shared" si="292"/>
        <v>0</v>
      </c>
      <c r="AC175" s="5" t="e">
        <f t="shared" si="293"/>
        <v>#DIV/0!</v>
      </c>
      <c r="AD175" s="6">
        <f t="shared" si="294"/>
        <v>0</v>
      </c>
      <c r="AE175" s="5">
        <f t="shared" si="295"/>
        <v>0</v>
      </c>
      <c r="AF175" s="21">
        <f t="shared" si="296"/>
        <v>0</v>
      </c>
      <c r="AG175" s="6">
        <f t="shared" si="297"/>
        <v>0</v>
      </c>
      <c r="AH175" s="5">
        <f t="shared" si="298"/>
        <v>0</v>
      </c>
      <c r="AI175" s="21">
        <f t="shared" si="299"/>
        <v>0</v>
      </c>
      <c r="AJ175" s="6">
        <f t="shared" si="300"/>
        <v>0</v>
      </c>
      <c r="AK175" s="5">
        <f t="shared" si="301"/>
        <v>0</v>
      </c>
      <c r="AL175" s="21">
        <f t="shared" si="302"/>
        <v>0</v>
      </c>
      <c r="AM175" s="21">
        <f t="shared" si="303"/>
        <v>0</v>
      </c>
      <c r="AN175" s="6">
        <f t="shared" si="304"/>
        <v>0</v>
      </c>
      <c r="AO175" s="5">
        <f t="shared" si="305"/>
        <v>0</v>
      </c>
      <c r="AP175" s="6">
        <f t="shared" si="306"/>
        <v>0</v>
      </c>
      <c r="AQ175" s="5">
        <f t="shared" si="307"/>
        <v>0</v>
      </c>
      <c r="AR175" s="2">
        <f t="shared" si="308"/>
        <v>0</v>
      </c>
      <c r="AS175" s="5">
        <f t="shared" si="309"/>
        <v>0</v>
      </c>
      <c r="AT175" s="21">
        <f t="shared" si="310"/>
        <v>0</v>
      </c>
      <c r="AU175" s="20">
        <f t="shared" si="311"/>
        <v>0</v>
      </c>
      <c r="AV175" s="20">
        <f t="shared" si="312"/>
        <v>1</v>
      </c>
      <c r="AW175" s="199">
        <f t="shared" si="313"/>
        <v>0</v>
      </c>
      <c r="AX175" s="24">
        <f t="shared" si="314"/>
        <v>0</v>
      </c>
      <c r="AY175" s="5">
        <f t="shared" si="315"/>
        <v>0</v>
      </c>
      <c r="AZ175" s="5">
        <f t="shared" si="316"/>
        <v>0</v>
      </c>
      <c r="BA175" s="5">
        <f t="shared" si="317"/>
        <v>0</v>
      </c>
      <c r="BB175" s="5">
        <f t="shared" si="318"/>
        <v>0</v>
      </c>
      <c r="BC175" s="5">
        <f t="shared" si="319"/>
        <v>0</v>
      </c>
      <c r="BD175" s="5">
        <f t="shared" si="320"/>
        <v>0</v>
      </c>
      <c r="BE175" s="199">
        <f t="shared" si="321"/>
        <v>0</v>
      </c>
      <c r="BF175" s="21">
        <f t="shared" si="322"/>
        <v>0</v>
      </c>
      <c r="BG175" s="6">
        <f t="shared" si="323"/>
        <v>0</v>
      </c>
      <c r="BH175" s="5" t="e">
        <f t="shared" si="324"/>
        <v>#DIV/0!</v>
      </c>
      <c r="BI175" s="6">
        <f t="shared" si="325"/>
        <v>0</v>
      </c>
      <c r="BJ175" s="5" t="e">
        <f t="shared" si="326"/>
        <v>#DIV/0!</v>
      </c>
      <c r="BK175" s="20">
        <f t="shared" si="327"/>
        <v>-9.9999999999999998E-13</v>
      </c>
      <c r="BL175" s="20">
        <f t="shared" si="328"/>
        <v>0</v>
      </c>
      <c r="BM175" s="6">
        <f t="shared" si="329"/>
        <v>0</v>
      </c>
      <c r="BN175" s="5">
        <f t="shared" si="330"/>
        <v>0</v>
      </c>
      <c r="BO175" s="333">
        <f t="shared" si="331"/>
        <v>0</v>
      </c>
      <c r="BP175" s="334">
        <f t="shared" si="332"/>
        <v>0</v>
      </c>
      <c r="BQ175" s="6">
        <f t="shared" si="333"/>
        <v>0</v>
      </c>
      <c r="BR175" s="5">
        <f t="shared" si="334"/>
        <v>0</v>
      </c>
      <c r="BS175" s="6">
        <f t="shared" si="335"/>
        <v>0</v>
      </c>
      <c r="BT175" s="5">
        <f t="shared" si="336"/>
        <v>0</v>
      </c>
      <c r="BU175" s="181">
        <f t="shared" si="337"/>
        <v>0</v>
      </c>
      <c r="BV175" s="154">
        <f t="shared" si="338"/>
        <v>0</v>
      </c>
      <c r="BW175" s="181">
        <f t="shared" si="339"/>
        <v>0</v>
      </c>
      <c r="BX175" s="180">
        <f t="shared" si="340"/>
        <v>0</v>
      </c>
      <c r="BY175" s="181">
        <f t="shared" si="341"/>
        <v>0</v>
      </c>
      <c r="BZ175" s="154">
        <f t="shared" si="342"/>
        <v>0</v>
      </c>
      <c r="CA175" s="182">
        <f t="shared" si="343"/>
        <v>0</v>
      </c>
      <c r="CB175" s="2">
        <f t="shared" si="344"/>
        <v>0</v>
      </c>
      <c r="CC175" s="2">
        <f t="shared" si="345"/>
        <v>0</v>
      </c>
      <c r="CD175" s="2">
        <f t="shared" si="346"/>
        <v>0</v>
      </c>
      <c r="CE175" s="2">
        <f t="shared" si="347"/>
        <v>0</v>
      </c>
      <c r="CF175" s="6">
        <f t="shared" si="348"/>
        <v>0</v>
      </c>
      <c r="CG175" s="6">
        <f t="shared" si="349"/>
        <v>0</v>
      </c>
      <c r="CH175" s="6">
        <f t="shared" si="350"/>
        <v>0</v>
      </c>
      <c r="CI175" s="20">
        <f t="shared" si="351"/>
        <v>0</v>
      </c>
      <c r="CJ175" s="133">
        <f t="shared" si="352"/>
        <v>2521</v>
      </c>
      <c r="CK175" s="5">
        <f t="shared" si="353"/>
        <v>0</v>
      </c>
      <c r="CL175" s="302" t="s">
        <v>1235</v>
      </c>
      <c r="CM175" s="298" t="s">
        <v>13</v>
      </c>
      <c r="CN175" s="298" t="s">
        <v>1423</v>
      </c>
      <c r="CO175" s="298">
        <v>17</v>
      </c>
      <c r="CP175" s="298" t="s">
        <v>1538</v>
      </c>
      <c r="CQ175" s="298" t="s">
        <v>1539</v>
      </c>
      <c r="CR175" s="298" t="s">
        <v>644</v>
      </c>
      <c r="CS175" s="298" t="s">
        <v>1322</v>
      </c>
      <c r="CT175" s="298" t="s">
        <v>1123</v>
      </c>
      <c r="CU175" s="299">
        <v>47483</v>
      </c>
      <c r="CV175" s="298">
        <v>0</v>
      </c>
      <c r="CW175" s="298">
        <v>0</v>
      </c>
      <c r="CX175" s="298">
        <v>0</v>
      </c>
      <c r="CY175" s="298">
        <v>0</v>
      </c>
      <c r="CZ175" s="298">
        <v>0</v>
      </c>
      <c r="DA175" s="298">
        <v>0</v>
      </c>
      <c r="DB175" s="298">
        <v>0</v>
      </c>
      <c r="DC175" s="298">
        <v>0</v>
      </c>
      <c r="DD175" s="298">
        <v>0</v>
      </c>
      <c r="DE175" s="298">
        <v>0</v>
      </c>
      <c r="DF175" s="298">
        <v>0</v>
      </c>
      <c r="DG175" s="298">
        <v>0</v>
      </c>
      <c r="DH175" s="298">
        <v>0</v>
      </c>
      <c r="DI175" s="298">
        <v>0</v>
      </c>
      <c r="DJ175" s="298">
        <v>0</v>
      </c>
      <c r="DK175" s="298">
        <v>0</v>
      </c>
      <c r="DL175" s="298">
        <v>0</v>
      </c>
      <c r="DM175" s="298">
        <v>0</v>
      </c>
      <c r="DN175" s="298">
        <v>0</v>
      </c>
      <c r="DO175" s="298">
        <v>0</v>
      </c>
      <c r="DP175" s="298">
        <v>0</v>
      </c>
      <c r="DQ175" s="298">
        <v>0</v>
      </c>
      <c r="DR175" s="298">
        <v>0</v>
      </c>
      <c r="DS175" s="298">
        <v>0</v>
      </c>
      <c r="DT175" s="298">
        <v>0</v>
      </c>
      <c r="DU175" s="298">
        <v>0</v>
      </c>
      <c r="DV175" s="303" t="s">
        <v>548</v>
      </c>
    </row>
    <row r="176" spans="1:126" ht="24.95" customHeight="1" thickBot="1" x14ac:dyDescent="0.3">
      <c r="A176" s="29" t="str">
        <f t="shared" si="265"/>
        <v>175º</v>
      </c>
      <c r="B176" s="69" t="str">
        <f t="shared" si="267"/>
        <v>Charles</v>
      </c>
      <c r="C176" s="269" t="str">
        <f t="shared" si="268"/>
        <v>BRA</v>
      </c>
      <c r="D176" s="99" t="str">
        <f t="shared" si="269"/>
        <v>Pé Direito</v>
      </c>
      <c r="E176" s="28" t="str">
        <f t="shared" si="270"/>
        <v>NAU</v>
      </c>
      <c r="F176" s="169">
        <f t="shared" si="271"/>
        <v>17</v>
      </c>
      <c r="G176" s="2" t="str">
        <f t="shared" si="272"/>
        <v>18m € - 180m €</v>
      </c>
      <c r="H176" s="154">
        <f t="shared" si="273"/>
        <v>1.92</v>
      </c>
      <c r="I176" s="64">
        <f t="shared" si="274"/>
        <v>47483</v>
      </c>
      <c r="J176" s="304" t="str">
        <f t="shared" si="275"/>
        <v>525 € p/m</v>
      </c>
      <c r="K176" s="96">
        <f t="shared" si="266"/>
        <v>3.5222222222222221</v>
      </c>
      <c r="L176" s="146">
        <f t="shared" si="276"/>
        <v>0</v>
      </c>
      <c r="M176" s="6">
        <f t="shared" si="277"/>
        <v>0</v>
      </c>
      <c r="N176" s="5">
        <f t="shared" si="278"/>
        <v>5400</v>
      </c>
      <c r="O176" s="21">
        <f t="shared" si="279"/>
        <v>0</v>
      </c>
      <c r="P176" s="2">
        <f t="shared" si="280"/>
        <v>0</v>
      </c>
      <c r="Q176" s="2">
        <f t="shared" si="281"/>
        <v>0</v>
      </c>
      <c r="R176" s="5">
        <f t="shared" si="282"/>
        <v>0</v>
      </c>
      <c r="S176" s="2">
        <f t="shared" si="283"/>
        <v>0</v>
      </c>
      <c r="T176" s="2">
        <f t="shared" si="284"/>
        <v>0</v>
      </c>
      <c r="U176" s="102">
        <f t="shared" si="285"/>
        <v>0</v>
      </c>
      <c r="V176" s="102">
        <f t="shared" si="286"/>
        <v>0</v>
      </c>
      <c r="W176" s="6">
        <f t="shared" si="287"/>
        <v>0</v>
      </c>
      <c r="X176" s="5">
        <f t="shared" si="288"/>
        <v>0</v>
      </c>
      <c r="Y176" s="6">
        <f t="shared" si="289"/>
        <v>0</v>
      </c>
      <c r="Z176" s="5" t="e">
        <f t="shared" si="290"/>
        <v>#DIV/0!</v>
      </c>
      <c r="AA176" s="21">
        <f t="shared" si="291"/>
        <v>0</v>
      </c>
      <c r="AB176" s="6">
        <f t="shared" si="292"/>
        <v>0</v>
      </c>
      <c r="AC176" s="5" t="e">
        <f t="shared" si="293"/>
        <v>#DIV/0!</v>
      </c>
      <c r="AD176" s="6">
        <f t="shared" si="294"/>
        <v>0</v>
      </c>
      <c r="AE176" s="5">
        <f t="shared" si="295"/>
        <v>0</v>
      </c>
      <c r="AF176" s="21">
        <f t="shared" si="296"/>
        <v>0</v>
      </c>
      <c r="AG176" s="6">
        <f t="shared" si="297"/>
        <v>0</v>
      </c>
      <c r="AH176" s="5">
        <f t="shared" si="298"/>
        <v>0</v>
      </c>
      <c r="AI176" s="21">
        <f t="shared" si="299"/>
        <v>0</v>
      </c>
      <c r="AJ176" s="6">
        <f t="shared" si="300"/>
        <v>0</v>
      </c>
      <c r="AK176" s="5">
        <f t="shared" si="301"/>
        <v>0</v>
      </c>
      <c r="AL176" s="21">
        <f t="shared" si="302"/>
        <v>0</v>
      </c>
      <c r="AM176" s="21">
        <f t="shared" si="303"/>
        <v>0</v>
      </c>
      <c r="AN176" s="6">
        <f t="shared" si="304"/>
        <v>0</v>
      </c>
      <c r="AO176" s="5">
        <f t="shared" si="305"/>
        <v>0</v>
      </c>
      <c r="AP176" s="6">
        <f t="shared" si="306"/>
        <v>0</v>
      </c>
      <c r="AQ176" s="5">
        <f t="shared" si="307"/>
        <v>0</v>
      </c>
      <c r="AR176" s="2">
        <f t="shared" si="308"/>
        <v>0</v>
      </c>
      <c r="AS176" s="5">
        <f t="shared" si="309"/>
        <v>0</v>
      </c>
      <c r="AT176" s="21">
        <f t="shared" si="310"/>
        <v>0</v>
      </c>
      <c r="AU176" s="20">
        <f t="shared" si="311"/>
        <v>0</v>
      </c>
      <c r="AV176" s="20">
        <f t="shared" si="312"/>
        <v>1</v>
      </c>
      <c r="AW176" s="199">
        <f t="shared" si="313"/>
        <v>0</v>
      </c>
      <c r="AX176" s="24">
        <f t="shared" si="314"/>
        <v>0</v>
      </c>
      <c r="AY176" s="5">
        <f t="shared" si="315"/>
        <v>0</v>
      </c>
      <c r="AZ176" s="5">
        <f t="shared" si="316"/>
        <v>0</v>
      </c>
      <c r="BA176" s="5">
        <f t="shared" si="317"/>
        <v>0</v>
      </c>
      <c r="BB176" s="5">
        <f t="shared" si="318"/>
        <v>0</v>
      </c>
      <c r="BC176" s="5">
        <f t="shared" si="319"/>
        <v>0</v>
      </c>
      <c r="BD176" s="5">
        <f t="shared" si="320"/>
        <v>0</v>
      </c>
      <c r="BE176" s="199">
        <f t="shared" si="321"/>
        <v>0</v>
      </c>
      <c r="BF176" s="21">
        <f t="shared" si="322"/>
        <v>0</v>
      </c>
      <c r="BG176" s="6">
        <f t="shared" si="323"/>
        <v>0</v>
      </c>
      <c r="BH176" s="5" t="e">
        <f t="shared" si="324"/>
        <v>#DIV/0!</v>
      </c>
      <c r="BI176" s="6">
        <f t="shared" si="325"/>
        <v>0</v>
      </c>
      <c r="BJ176" s="5" t="e">
        <f t="shared" si="326"/>
        <v>#DIV/0!</v>
      </c>
      <c r="BK176" s="20">
        <f t="shared" si="327"/>
        <v>-9.9999999999999998E-13</v>
      </c>
      <c r="BL176" s="20">
        <f t="shared" si="328"/>
        <v>0</v>
      </c>
      <c r="BM176" s="6">
        <f t="shared" si="329"/>
        <v>0</v>
      </c>
      <c r="BN176" s="5">
        <f t="shared" si="330"/>
        <v>0</v>
      </c>
      <c r="BO176" s="333">
        <f t="shared" si="331"/>
        <v>0</v>
      </c>
      <c r="BP176" s="334">
        <f t="shared" si="332"/>
        <v>0</v>
      </c>
      <c r="BQ176" s="6">
        <f t="shared" si="333"/>
        <v>0</v>
      </c>
      <c r="BR176" s="5">
        <f t="shared" si="334"/>
        <v>0</v>
      </c>
      <c r="BS176" s="6">
        <f t="shared" si="335"/>
        <v>0</v>
      </c>
      <c r="BT176" s="5">
        <f t="shared" si="336"/>
        <v>0</v>
      </c>
      <c r="BU176" s="181">
        <f t="shared" si="337"/>
        <v>0</v>
      </c>
      <c r="BV176" s="154">
        <f t="shared" si="338"/>
        <v>0</v>
      </c>
      <c r="BW176" s="181">
        <f t="shared" si="339"/>
        <v>0</v>
      </c>
      <c r="BX176" s="180">
        <f t="shared" si="340"/>
        <v>0</v>
      </c>
      <c r="BY176" s="181">
        <f t="shared" si="341"/>
        <v>0</v>
      </c>
      <c r="BZ176" s="154">
        <f t="shared" si="342"/>
        <v>0</v>
      </c>
      <c r="CA176" s="182">
        <f t="shared" si="343"/>
        <v>0</v>
      </c>
      <c r="CB176" s="2">
        <f t="shared" si="344"/>
        <v>0</v>
      </c>
      <c r="CC176" s="2">
        <f t="shared" si="345"/>
        <v>0</v>
      </c>
      <c r="CD176" s="2">
        <f t="shared" si="346"/>
        <v>0</v>
      </c>
      <c r="CE176" s="2">
        <f t="shared" si="347"/>
        <v>0</v>
      </c>
      <c r="CF176" s="6">
        <f t="shared" si="348"/>
        <v>0</v>
      </c>
      <c r="CG176" s="6">
        <f t="shared" si="349"/>
        <v>0</v>
      </c>
      <c r="CH176" s="6">
        <f t="shared" si="350"/>
        <v>0</v>
      </c>
      <c r="CI176" s="20">
        <f t="shared" si="351"/>
        <v>0</v>
      </c>
      <c r="CJ176" s="133">
        <f t="shared" si="352"/>
        <v>2521</v>
      </c>
      <c r="CK176" s="5">
        <f t="shared" si="353"/>
        <v>0</v>
      </c>
      <c r="CL176" s="300" t="s">
        <v>1235</v>
      </c>
      <c r="CM176" s="296" t="s">
        <v>13</v>
      </c>
      <c r="CN176" s="296" t="s">
        <v>1540</v>
      </c>
      <c r="CO176" s="296">
        <v>17</v>
      </c>
      <c r="CP176" s="296" t="s">
        <v>1541</v>
      </c>
      <c r="CQ176" s="296" t="s">
        <v>1542</v>
      </c>
      <c r="CR176" s="296" t="s">
        <v>644</v>
      </c>
      <c r="CS176" s="296" t="s">
        <v>1322</v>
      </c>
      <c r="CT176" s="296" t="s">
        <v>549</v>
      </c>
      <c r="CU176" s="297">
        <v>47483</v>
      </c>
      <c r="CV176" s="296">
        <v>0</v>
      </c>
      <c r="CW176" s="296">
        <v>0</v>
      </c>
      <c r="CX176" s="296">
        <v>0</v>
      </c>
      <c r="CY176" s="296">
        <v>0</v>
      </c>
      <c r="CZ176" s="296">
        <v>0</v>
      </c>
      <c r="DA176" s="296">
        <v>0</v>
      </c>
      <c r="DB176" s="296">
        <v>0</v>
      </c>
      <c r="DC176" s="296">
        <v>0</v>
      </c>
      <c r="DD176" s="296">
        <v>0</v>
      </c>
      <c r="DE176" s="296">
        <v>0</v>
      </c>
      <c r="DF176" s="296">
        <v>0</v>
      </c>
      <c r="DG176" s="296">
        <v>0</v>
      </c>
      <c r="DH176" s="296">
        <v>0</v>
      </c>
      <c r="DI176" s="296">
        <v>0</v>
      </c>
      <c r="DJ176" s="296">
        <v>0</v>
      </c>
      <c r="DK176" s="296">
        <v>0</v>
      </c>
      <c r="DL176" s="296">
        <v>0</v>
      </c>
      <c r="DM176" s="296">
        <v>0</v>
      </c>
      <c r="DN176" s="296">
        <v>0</v>
      </c>
      <c r="DO176" s="296">
        <v>0</v>
      </c>
      <c r="DP176" s="296">
        <v>0</v>
      </c>
      <c r="DQ176" s="296">
        <v>0</v>
      </c>
      <c r="DR176" s="296">
        <v>0</v>
      </c>
      <c r="DS176" s="296">
        <v>0</v>
      </c>
      <c r="DT176" s="296">
        <v>0</v>
      </c>
      <c r="DU176" s="296">
        <v>0</v>
      </c>
      <c r="DV176" s="301" t="s">
        <v>548</v>
      </c>
    </row>
    <row r="177" spans="1:126" ht="24.95" customHeight="1" thickBot="1" x14ac:dyDescent="0.3">
      <c r="A177" s="29" t="str">
        <f t="shared" si="265"/>
        <v>176º</v>
      </c>
      <c r="B177" s="69" t="str">
        <f t="shared" si="267"/>
        <v>Alexandre Custódio</v>
      </c>
      <c r="C177" s="269" t="str">
        <f t="shared" si="268"/>
        <v>BRA</v>
      </c>
      <c r="D177" s="99" t="str">
        <f t="shared" si="269"/>
        <v>Pé Direito</v>
      </c>
      <c r="E177" s="28" t="str">
        <f t="shared" si="270"/>
        <v>AVA</v>
      </c>
      <c r="F177" s="169">
        <f t="shared" si="271"/>
        <v>16</v>
      </c>
      <c r="G177" s="2" t="str">
        <f t="shared" si="272"/>
        <v>0 €</v>
      </c>
      <c r="H177" s="154">
        <f t="shared" si="273"/>
        <v>1.83</v>
      </c>
      <c r="I177" s="64">
        <f t="shared" si="274"/>
        <v>47483</v>
      </c>
      <c r="J177" s="304" t="str">
        <f t="shared" si="275"/>
        <v>550 € p/m</v>
      </c>
      <c r="K177" s="96">
        <f t="shared" si="266"/>
        <v>3.5222222222222221</v>
      </c>
      <c r="L177" s="146">
        <f t="shared" si="276"/>
        <v>0</v>
      </c>
      <c r="M177" s="6">
        <f t="shared" si="277"/>
        <v>0</v>
      </c>
      <c r="N177" s="5">
        <f t="shared" si="278"/>
        <v>5400</v>
      </c>
      <c r="O177" s="21">
        <f t="shared" si="279"/>
        <v>0</v>
      </c>
      <c r="P177" s="2">
        <f t="shared" si="280"/>
        <v>0</v>
      </c>
      <c r="Q177" s="2">
        <f t="shared" si="281"/>
        <v>0</v>
      </c>
      <c r="R177" s="5">
        <f t="shared" si="282"/>
        <v>0</v>
      </c>
      <c r="S177" s="2">
        <f t="shared" si="283"/>
        <v>0</v>
      </c>
      <c r="T177" s="2">
        <f t="shared" si="284"/>
        <v>0</v>
      </c>
      <c r="U177" s="102">
        <f t="shared" si="285"/>
        <v>0</v>
      </c>
      <c r="V177" s="102">
        <f t="shared" si="286"/>
        <v>0</v>
      </c>
      <c r="W177" s="6">
        <f t="shared" si="287"/>
        <v>0</v>
      </c>
      <c r="X177" s="5">
        <f t="shared" si="288"/>
        <v>0</v>
      </c>
      <c r="Y177" s="6">
        <f t="shared" si="289"/>
        <v>0</v>
      </c>
      <c r="Z177" s="5" t="e">
        <f t="shared" si="290"/>
        <v>#DIV/0!</v>
      </c>
      <c r="AA177" s="21">
        <f t="shared" si="291"/>
        <v>0</v>
      </c>
      <c r="AB177" s="6">
        <f t="shared" si="292"/>
        <v>0</v>
      </c>
      <c r="AC177" s="5" t="e">
        <f t="shared" si="293"/>
        <v>#DIV/0!</v>
      </c>
      <c r="AD177" s="6">
        <f t="shared" si="294"/>
        <v>0</v>
      </c>
      <c r="AE177" s="5">
        <f t="shared" si="295"/>
        <v>0</v>
      </c>
      <c r="AF177" s="21">
        <f t="shared" si="296"/>
        <v>0</v>
      </c>
      <c r="AG177" s="6">
        <f t="shared" si="297"/>
        <v>0</v>
      </c>
      <c r="AH177" s="5">
        <f t="shared" si="298"/>
        <v>0</v>
      </c>
      <c r="AI177" s="21">
        <f t="shared" si="299"/>
        <v>0</v>
      </c>
      <c r="AJ177" s="6">
        <f t="shared" si="300"/>
        <v>0</v>
      </c>
      <c r="AK177" s="5">
        <f t="shared" si="301"/>
        <v>0</v>
      </c>
      <c r="AL177" s="21">
        <f t="shared" si="302"/>
        <v>0</v>
      </c>
      <c r="AM177" s="21">
        <f t="shared" si="303"/>
        <v>0</v>
      </c>
      <c r="AN177" s="6">
        <f t="shared" si="304"/>
        <v>0</v>
      </c>
      <c r="AO177" s="5">
        <f t="shared" si="305"/>
        <v>0</v>
      </c>
      <c r="AP177" s="6">
        <f t="shared" si="306"/>
        <v>0</v>
      </c>
      <c r="AQ177" s="5">
        <f t="shared" si="307"/>
        <v>0</v>
      </c>
      <c r="AR177" s="2">
        <f t="shared" si="308"/>
        <v>0</v>
      </c>
      <c r="AS177" s="5">
        <f t="shared" si="309"/>
        <v>0</v>
      </c>
      <c r="AT177" s="21">
        <f t="shared" si="310"/>
        <v>0</v>
      </c>
      <c r="AU177" s="20">
        <f t="shared" si="311"/>
        <v>0</v>
      </c>
      <c r="AV177" s="20">
        <f t="shared" si="312"/>
        <v>1</v>
      </c>
      <c r="AW177" s="199">
        <f t="shared" si="313"/>
        <v>0</v>
      </c>
      <c r="AX177" s="24">
        <f t="shared" si="314"/>
        <v>0</v>
      </c>
      <c r="AY177" s="5">
        <f t="shared" si="315"/>
        <v>0</v>
      </c>
      <c r="AZ177" s="5">
        <f t="shared" si="316"/>
        <v>0</v>
      </c>
      <c r="BA177" s="5">
        <f t="shared" si="317"/>
        <v>0</v>
      </c>
      <c r="BB177" s="5">
        <f t="shared" si="318"/>
        <v>0</v>
      </c>
      <c r="BC177" s="5">
        <f t="shared" si="319"/>
        <v>0</v>
      </c>
      <c r="BD177" s="5">
        <f t="shared" si="320"/>
        <v>0</v>
      </c>
      <c r="BE177" s="199">
        <f t="shared" si="321"/>
        <v>0</v>
      </c>
      <c r="BF177" s="21">
        <f t="shared" si="322"/>
        <v>0</v>
      </c>
      <c r="BG177" s="6">
        <f t="shared" si="323"/>
        <v>0</v>
      </c>
      <c r="BH177" s="5" t="e">
        <f t="shared" si="324"/>
        <v>#DIV/0!</v>
      </c>
      <c r="BI177" s="6">
        <f t="shared" si="325"/>
        <v>0</v>
      </c>
      <c r="BJ177" s="5" t="e">
        <f t="shared" si="326"/>
        <v>#DIV/0!</v>
      </c>
      <c r="BK177" s="20">
        <f t="shared" si="327"/>
        <v>-9.9999999999999998E-13</v>
      </c>
      <c r="BL177" s="20">
        <f t="shared" si="328"/>
        <v>0</v>
      </c>
      <c r="BM177" s="6">
        <f t="shared" si="329"/>
        <v>0</v>
      </c>
      <c r="BN177" s="5">
        <f t="shared" si="330"/>
        <v>0</v>
      </c>
      <c r="BO177" s="333">
        <f t="shared" si="331"/>
        <v>0</v>
      </c>
      <c r="BP177" s="334">
        <f t="shared" si="332"/>
        <v>0</v>
      </c>
      <c r="BQ177" s="6">
        <f t="shared" si="333"/>
        <v>0</v>
      </c>
      <c r="BR177" s="5">
        <f t="shared" si="334"/>
        <v>0</v>
      </c>
      <c r="BS177" s="6">
        <f t="shared" si="335"/>
        <v>0</v>
      </c>
      <c r="BT177" s="5">
        <f t="shared" si="336"/>
        <v>0</v>
      </c>
      <c r="BU177" s="181">
        <f t="shared" si="337"/>
        <v>0</v>
      </c>
      <c r="BV177" s="154">
        <f t="shared" si="338"/>
        <v>0</v>
      </c>
      <c r="BW177" s="181">
        <f t="shared" si="339"/>
        <v>0</v>
      </c>
      <c r="BX177" s="180">
        <f t="shared" si="340"/>
        <v>0</v>
      </c>
      <c r="BY177" s="181">
        <f t="shared" si="341"/>
        <v>0</v>
      </c>
      <c r="BZ177" s="154">
        <f t="shared" si="342"/>
        <v>0</v>
      </c>
      <c r="CA177" s="182">
        <f t="shared" si="343"/>
        <v>0</v>
      </c>
      <c r="CB177" s="2">
        <f t="shared" si="344"/>
        <v>0</v>
      </c>
      <c r="CC177" s="2">
        <f t="shared" si="345"/>
        <v>0</v>
      </c>
      <c r="CD177" s="2">
        <f t="shared" si="346"/>
        <v>0</v>
      </c>
      <c r="CE177" s="2">
        <f t="shared" si="347"/>
        <v>0</v>
      </c>
      <c r="CF177" s="6">
        <f t="shared" si="348"/>
        <v>0</v>
      </c>
      <c r="CG177" s="6">
        <f t="shared" si="349"/>
        <v>0</v>
      </c>
      <c r="CH177" s="6">
        <f t="shared" si="350"/>
        <v>0</v>
      </c>
      <c r="CI177" s="20">
        <f t="shared" si="351"/>
        <v>0</v>
      </c>
      <c r="CJ177" s="133">
        <f t="shared" si="352"/>
        <v>2521</v>
      </c>
      <c r="CK177" s="5">
        <f t="shared" si="353"/>
        <v>0</v>
      </c>
      <c r="CL177" s="302" t="s">
        <v>1235</v>
      </c>
      <c r="CM177" s="298" t="s">
        <v>13</v>
      </c>
      <c r="CN177" s="298" t="s">
        <v>1436</v>
      </c>
      <c r="CO177" s="298">
        <v>16</v>
      </c>
      <c r="CP177" s="298" t="s">
        <v>1543</v>
      </c>
      <c r="CQ177" s="298" t="s">
        <v>1131</v>
      </c>
      <c r="CR177" s="298" t="s">
        <v>644</v>
      </c>
      <c r="CS177" s="298" t="s">
        <v>1375</v>
      </c>
      <c r="CT177" s="298" t="s">
        <v>586</v>
      </c>
      <c r="CU177" s="299">
        <v>47483</v>
      </c>
      <c r="CV177" s="298">
        <v>0</v>
      </c>
      <c r="CW177" s="298">
        <v>0</v>
      </c>
      <c r="CX177" s="298">
        <v>0</v>
      </c>
      <c r="CY177" s="298">
        <v>0</v>
      </c>
      <c r="CZ177" s="298">
        <v>0</v>
      </c>
      <c r="DA177" s="298">
        <v>0</v>
      </c>
      <c r="DB177" s="298">
        <v>0</v>
      </c>
      <c r="DC177" s="298">
        <v>0</v>
      </c>
      <c r="DD177" s="298">
        <v>0</v>
      </c>
      <c r="DE177" s="298">
        <v>0</v>
      </c>
      <c r="DF177" s="298">
        <v>0</v>
      </c>
      <c r="DG177" s="298">
        <v>0</v>
      </c>
      <c r="DH177" s="298">
        <v>0</v>
      </c>
      <c r="DI177" s="298">
        <v>0</v>
      </c>
      <c r="DJ177" s="298">
        <v>0</v>
      </c>
      <c r="DK177" s="298">
        <v>0</v>
      </c>
      <c r="DL177" s="298">
        <v>0</v>
      </c>
      <c r="DM177" s="298">
        <v>0</v>
      </c>
      <c r="DN177" s="298">
        <v>0</v>
      </c>
      <c r="DO177" s="298">
        <v>0</v>
      </c>
      <c r="DP177" s="298">
        <v>0</v>
      </c>
      <c r="DQ177" s="298">
        <v>0</v>
      </c>
      <c r="DR177" s="298">
        <v>0</v>
      </c>
      <c r="DS177" s="298">
        <v>0</v>
      </c>
      <c r="DT177" s="298">
        <v>0</v>
      </c>
      <c r="DU177" s="298">
        <v>0</v>
      </c>
      <c r="DV177" s="303" t="s">
        <v>548</v>
      </c>
    </row>
    <row r="178" spans="1:126" ht="24.95" customHeight="1" thickBot="1" x14ac:dyDescent="0.3">
      <c r="A178" s="29" t="str">
        <f t="shared" si="265"/>
        <v>177º</v>
      </c>
      <c r="B178" s="69" t="str">
        <f t="shared" si="267"/>
        <v>Tiago Charlab</v>
      </c>
      <c r="C178" s="269" t="str">
        <f t="shared" si="268"/>
        <v>BRA</v>
      </c>
      <c r="D178" s="99" t="str">
        <f t="shared" si="269"/>
        <v>Pé Direito</v>
      </c>
      <c r="E178" s="28" t="str">
        <f t="shared" si="270"/>
        <v>PON</v>
      </c>
      <c r="F178" s="169">
        <f t="shared" si="271"/>
        <v>17</v>
      </c>
      <c r="G178" s="2" t="str">
        <f t="shared" si="272"/>
        <v>0 €</v>
      </c>
      <c r="H178" s="154">
        <f t="shared" si="273"/>
        <v>1.84</v>
      </c>
      <c r="I178" s="64">
        <f t="shared" si="274"/>
        <v>47483</v>
      </c>
      <c r="J178" s="304" t="str">
        <f t="shared" si="275"/>
        <v>525 € p/m</v>
      </c>
      <c r="K178" s="96">
        <f t="shared" si="266"/>
        <v>3.5222222222222221</v>
      </c>
      <c r="L178" s="146">
        <f t="shared" si="276"/>
        <v>0</v>
      </c>
      <c r="M178" s="6">
        <f t="shared" si="277"/>
        <v>0</v>
      </c>
      <c r="N178" s="5">
        <f t="shared" si="278"/>
        <v>5400</v>
      </c>
      <c r="O178" s="21">
        <f t="shared" si="279"/>
        <v>0</v>
      </c>
      <c r="P178" s="2">
        <f t="shared" si="280"/>
        <v>0</v>
      </c>
      <c r="Q178" s="2">
        <f t="shared" si="281"/>
        <v>0</v>
      </c>
      <c r="R178" s="5">
        <f t="shared" si="282"/>
        <v>0</v>
      </c>
      <c r="S178" s="2">
        <f t="shared" si="283"/>
        <v>0</v>
      </c>
      <c r="T178" s="2">
        <f t="shared" si="284"/>
        <v>0</v>
      </c>
      <c r="U178" s="102">
        <f t="shared" si="285"/>
        <v>0</v>
      </c>
      <c r="V178" s="102">
        <f t="shared" si="286"/>
        <v>0</v>
      </c>
      <c r="W178" s="6">
        <f t="shared" si="287"/>
        <v>0</v>
      </c>
      <c r="X178" s="5">
        <f t="shared" si="288"/>
        <v>0</v>
      </c>
      <c r="Y178" s="6">
        <f t="shared" si="289"/>
        <v>0</v>
      </c>
      <c r="Z178" s="5" t="e">
        <f t="shared" si="290"/>
        <v>#DIV/0!</v>
      </c>
      <c r="AA178" s="21">
        <f t="shared" si="291"/>
        <v>0</v>
      </c>
      <c r="AB178" s="6">
        <f t="shared" si="292"/>
        <v>0</v>
      </c>
      <c r="AC178" s="5" t="e">
        <f t="shared" si="293"/>
        <v>#DIV/0!</v>
      </c>
      <c r="AD178" s="6">
        <f t="shared" si="294"/>
        <v>0</v>
      </c>
      <c r="AE178" s="5">
        <f t="shared" si="295"/>
        <v>0</v>
      </c>
      <c r="AF178" s="21">
        <f t="shared" si="296"/>
        <v>0</v>
      </c>
      <c r="AG178" s="6">
        <f t="shared" si="297"/>
        <v>0</v>
      </c>
      <c r="AH178" s="5">
        <f t="shared" si="298"/>
        <v>0</v>
      </c>
      <c r="AI178" s="21">
        <f t="shared" si="299"/>
        <v>0</v>
      </c>
      <c r="AJ178" s="6">
        <f t="shared" si="300"/>
        <v>0</v>
      </c>
      <c r="AK178" s="5">
        <f t="shared" si="301"/>
        <v>0</v>
      </c>
      <c r="AL178" s="21">
        <f t="shared" si="302"/>
        <v>0</v>
      </c>
      <c r="AM178" s="21">
        <f t="shared" si="303"/>
        <v>0</v>
      </c>
      <c r="AN178" s="6">
        <f t="shared" si="304"/>
        <v>0</v>
      </c>
      <c r="AO178" s="5">
        <f t="shared" si="305"/>
        <v>0</v>
      </c>
      <c r="AP178" s="6">
        <f t="shared" si="306"/>
        <v>0</v>
      </c>
      <c r="AQ178" s="5">
        <f t="shared" si="307"/>
        <v>0</v>
      </c>
      <c r="AR178" s="2">
        <f t="shared" si="308"/>
        <v>0</v>
      </c>
      <c r="AS178" s="5">
        <f t="shared" si="309"/>
        <v>0</v>
      </c>
      <c r="AT178" s="21">
        <f t="shared" si="310"/>
        <v>0</v>
      </c>
      <c r="AU178" s="20">
        <f t="shared" si="311"/>
        <v>0</v>
      </c>
      <c r="AV178" s="20">
        <f t="shared" si="312"/>
        <v>1</v>
      </c>
      <c r="AW178" s="199">
        <f t="shared" si="313"/>
        <v>0</v>
      </c>
      <c r="AX178" s="24">
        <f t="shared" si="314"/>
        <v>0</v>
      </c>
      <c r="AY178" s="5">
        <f t="shared" si="315"/>
        <v>0</v>
      </c>
      <c r="AZ178" s="5">
        <f t="shared" si="316"/>
        <v>0</v>
      </c>
      <c r="BA178" s="5">
        <f t="shared" si="317"/>
        <v>0</v>
      </c>
      <c r="BB178" s="5">
        <f t="shared" si="318"/>
        <v>0</v>
      </c>
      <c r="BC178" s="5">
        <f t="shared" si="319"/>
        <v>0</v>
      </c>
      <c r="BD178" s="5">
        <f t="shared" si="320"/>
        <v>0</v>
      </c>
      <c r="BE178" s="199">
        <f t="shared" si="321"/>
        <v>0</v>
      </c>
      <c r="BF178" s="21">
        <f t="shared" si="322"/>
        <v>0</v>
      </c>
      <c r="BG178" s="6">
        <f t="shared" si="323"/>
        <v>0</v>
      </c>
      <c r="BH178" s="5" t="e">
        <f t="shared" si="324"/>
        <v>#DIV/0!</v>
      </c>
      <c r="BI178" s="6">
        <f t="shared" si="325"/>
        <v>0</v>
      </c>
      <c r="BJ178" s="5" t="e">
        <f t="shared" si="326"/>
        <v>#DIV/0!</v>
      </c>
      <c r="BK178" s="20">
        <f t="shared" si="327"/>
        <v>-9.9999999999999998E-13</v>
      </c>
      <c r="BL178" s="20">
        <f t="shared" si="328"/>
        <v>0</v>
      </c>
      <c r="BM178" s="6">
        <f t="shared" si="329"/>
        <v>0</v>
      </c>
      <c r="BN178" s="5">
        <f t="shared" si="330"/>
        <v>0</v>
      </c>
      <c r="BO178" s="333">
        <f t="shared" si="331"/>
        <v>0</v>
      </c>
      <c r="BP178" s="334">
        <f t="shared" si="332"/>
        <v>0</v>
      </c>
      <c r="BQ178" s="6">
        <f t="shared" si="333"/>
        <v>0</v>
      </c>
      <c r="BR178" s="5">
        <f t="shared" si="334"/>
        <v>0</v>
      </c>
      <c r="BS178" s="6">
        <f t="shared" si="335"/>
        <v>0</v>
      </c>
      <c r="BT178" s="5">
        <f t="shared" si="336"/>
        <v>0</v>
      </c>
      <c r="BU178" s="181">
        <f t="shared" si="337"/>
        <v>0</v>
      </c>
      <c r="BV178" s="154">
        <f t="shared" si="338"/>
        <v>0</v>
      </c>
      <c r="BW178" s="181">
        <f t="shared" si="339"/>
        <v>0</v>
      </c>
      <c r="BX178" s="180">
        <f t="shared" si="340"/>
        <v>0</v>
      </c>
      <c r="BY178" s="181">
        <f t="shared" si="341"/>
        <v>0</v>
      </c>
      <c r="BZ178" s="154">
        <f t="shared" si="342"/>
        <v>0</v>
      </c>
      <c r="CA178" s="182">
        <f t="shared" si="343"/>
        <v>0</v>
      </c>
      <c r="CB178" s="2">
        <f t="shared" si="344"/>
        <v>0</v>
      </c>
      <c r="CC178" s="2">
        <f t="shared" si="345"/>
        <v>0</v>
      </c>
      <c r="CD178" s="2">
        <f t="shared" si="346"/>
        <v>0</v>
      </c>
      <c r="CE178" s="2">
        <f t="shared" si="347"/>
        <v>0</v>
      </c>
      <c r="CF178" s="6">
        <f t="shared" si="348"/>
        <v>0</v>
      </c>
      <c r="CG178" s="6">
        <f t="shared" si="349"/>
        <v>0</v>
      </c>
      <c r="CH178" s="6">
        <f t="shared" si="350"/>
        <v>0</v>
      </c>
      <c r="CI178" s="20">
        <f t="shared" si="351"/>
        <v>0</v>
      </c>
      <c r="CJ178" s="133">
        <f t="shared" si="352"/>
        <v>2521</v>
      </c>
      <c r="CK178" s="5">
        <f t="shared" si="353"/>
        <v>0</v>
      </c>
      <c r="CL178" s="300" t="s">
        <v>19</v>
      </c>
      <c r="CM178" s="296" t="s">
        <v>13</v>
      </c>
      <c r="CN178" s="296" t="s">
        <v>1441</v>
      </c>
      <c r="CO178" s="296">
        <v>17</v>
      </c>
      <c r="CP178" s="296" t="s">
        <v>1544</v>
      </c>
      <c r="CQ178" s="296" t="s">
        <v>1131</v>
      </c>
      <c r="CR178" s="296" t="s">
        <v>644</v>
      </c>
      <c r="CS178" s="296" t="s">
        <v>1322</v>
      </c>
      <c r="CT178" s="296" t="s">
        <v>574</v>
      </c>
      <c r="CU178" s="297">
        <v>47483</v>
      </c>
      <c r="CV178" s="296">
        <v>0</v>
      </c>
      <c r="CW178" s="296">
        <v>0</v>
      </c>
      <c r="CX178" s="296">
        <v>0</v>
      </c>
      <c r="CY178" s="296">
        <v>0</v>
      </c>
      <c r="CZ178" s="296">
        <v>0</v>
      </c>
      <c r="DA178" s="296">
        <v>0</v>
      </c>
      <c r="DB178" s="296">
        <v>0</v>
      </c>
      <c r="DC178" s="296">
        <v>0</v>
      </c>
      <c r="DD178" s="296">
        <v>0</v>
      </c>
      <c r="DE178" s="296">
        <v>0</v>
      </c>
      <c r="DF178" s="296">
        <v>0</v>
      </c>
      <c r="DG178" s="296">
        <v>0</v>
      </c>
      <c r="DH178" s="296">
        <v>0</v>
      </c>
      <c r="DI178" s="296">
        <v>0</v>
      </c>
      <c r="DJ178" s="296">
        <v>0</v>
      </c>
      <c r="DK178" s="296">
        <v>0</v>
      </c>
      <c r="DL178" s="296">
        <v>0</v>
      </c>
      <c r="DM178" s="296">
        <v>0</v>
      </c>
      <c r="DN178" s="296">
        <v>0</v>
      </c>
      <c r="DO178" s="296">
        <v>0</v>
      </c>
      <c r="DP178" s="296">
        <v>0</v>
      </c>
      <c r="DQ178" s="296">
        <v>0</v>
      </c>
      <c r="DR178" s="296">
        <v>0</v>
      </c>
      <c r="DS178" s="296">
        <v>0</v>
      </c>
      <c r="DT178" s="296">
        <v>0</v>
      </c>
      <c r="DU178" s="296">
        <v>0</v>
      </c>
      <c r="DV178" s="301" t="s">
        <v>548</v>
      </c>
    </row>
    <row r="179" spans="1:126" ht="24.95" customHeight="1" thickBot="1" x14ac:dyDescent="0.3">
      <c r="A179" s="29" t="str">
        <f t="shared" si="265"/>
        <v>178º</v>
      </c>
      <c r="B179" s="69" t="str">
        <f t="shared" si="267"/>
        <v>Dudu</v>
      </c>
      <c r="C179" s="269" t="str">
        <f t="shared" si="268"/>
        <v>BRA</v>
      </c>
      <c r="D179" s="99" t="str">
        <f t="shared" si="269"/>
        <v>Pé Direito</v>
      </c>
      <c r="E179" s="28" t="str">
        <f t="shared" si="270"/>
        <v>CBR</v>
      </c>
      <c r="F179" s="169">
        <f t="shared" si="271"/>
        <v>16</v>
      </c>
      <c r="G179" s="2" t="str">
        <f t="shared" si="272"/>
        <v>0 €</v>
      </c>
      <c r="H179" s="154">
        <f t="shared" si="273"/>
        <v>1.89</v>
      </c>
      <c r="I179" s="64">
        <f t="shared" si="274"/>
        <v>47483</v>
      </c>
      <c r="J179" s="304" t="str">
        <f t="shared" si="275"/>
        <v>525 € p/m</v>
      </c>
      <c r="K179" s="96">
        <f t="shared" si="266"/>
        <v>3.5222222222222221</v>
      </c>
      <c r="L179" s="146">
        <f t="shared" si="276"/>
        <v>0</v>
      </c>
      <c r="M179" s="6">
        <f t="shared" si="277"/>
        <v>0</v>
      </c>
      <c r="N179" s="5">
        <f t="shared" si="278"/>
        <v>5400</v>
      </c>
      <c r="O179" s="21">
        <f t="shared" si="279"/>
        <v>0</v>
      </c>
      <c r="P179" s="2">
        <f t="shared" si="280"/>
        <v>0</v>
      </c>
      <c r="Q179" s="2">
        <f t="shared" si="281"/>
        <v>0</v>
      </c>
      <c r="R179" s="5">
        <f t="shared" si="282"/>
        <v>0</v>
      </c>
      <c r="S179" s="2">
        <f t="shared" si="283"/>
        <v>0</v>
      </c>
      <c r="T179" s="2">
        <f t="shared" si="284"/>
        <v>0</v>
      </c>
      <c r="U179" s="102">
        <f t="shared" si="285"/>
        <v>0</v>
      </c>
      <c r="V179" s="102">
        <f t="shared" si="286"/>
        <v>0</v>
      </c>
      <c r="W179" s="6">
        <f t="shared" si="287"/>
        <v>0</v>
      </c>
      <c r="X179" s="5">
        <f t="shared" si="288"/>
        <v>0</v>
      </c>
      <c r="Y179" s="6">
        <f t="shared" si="289"/>
        <v>0</v>
      </c>
      <c r="Z179" s="5" t="e">
        <f t="shared" si="290"/>
        <v>#DIV/0!</v>
      </c>
      <c r="AA179" s="21">
        <f t="shared" si="291"/>
        <v>0</v>
      </c>
      <c r="AB179" s="6">
        <f t="shared" si="292"/>
        <v>0</v>
      </c>
      <c r="AC179" s="5" t="e">
        <f t="shared" si="293"/>
        <v>#DIV/0!</v>
      </c>
      <c r="AD179" s="6">
        <f t="shared" si="294"/>
        <v>0</v>
      </c>
      <c r="AE179" s="5">
        <f t="shared" si="295"/>
        <v>0</v>
      </c>
      <c r="AF179" s="21">
        <f t="shared" si="296"/>
        <v>0</v>
      </c>
      <c r="AG179" s="6">
        <f t="shared" si="297"/>
        <v>0</v>
      </c>
      <c r="AH179" s="5">
        <f t="shared" si="298"/>
        <v>0</v>
      </c>
      <c r="AI179" s="21">
        <f t="shared" si="299"/>
        <v>0</v>
      </c>
      <c r="AJ179" s="6">
        <f t="shared" si="300"/>
        <v>0</v>
      </c>
      <c r="AK179" s="5">
        <f t="shared" si="301"/>
        <v>0</v>
      </c>
      <c r="AL179" s="21">
        <f t="shared" si="302"/>
        <v>0</v>
      </c>
      <c r="AM179" s="21">
        <f t="shared" si="303"/>
        <v>0</v>
      </c>
      <c r="AN179" s="6">
        <f t="shared" si="304"/>
        <v>0</v>
      </c>
      <c r="AO179" s="5">
        <f t="shared" si="305"/>
        <v>0</v>
      </c>
      <c r="AP179" s="6">
        <f t="shared" si="306"/>
        <v>0</v>
      </c>
      <c r="AQ179" s="5">
        <f t="shared" si="307"/>
        <v>0</v>
      </c>
      <c r="AR179" s="2">
        <f t="shared" si="308"/>
        <v>0</v>
      </c>
      <c r="AS179" s="5">
        <f t="shared" si="309"/>
        <v>0</v>
      </c>
      <c r="AT179" s="21">
        <f t="shared" si="310"/>
        <v>0</v>
      </c>
      <c r="AU179" s="20">
        <f t="shared" si="311"/>
        <v>0</v>
      </c>
      <c r="AV179" s="20">
        <f t="shared" si="312"/>
        <v>1</v>
      </c>
      <c r="AW179" s="199">
        <f t="shared" si="313"/>
        <v>0</v>
      </c>
      <c r="AX179" s="24">
        <f t="shared" si="314"/>
        <v>0</v>
      </c>
      <c r="AY179" s="5">
        <f t="shared" si="315"/>
        <v>0</v>
      </c>
      <c r="AZ179" s="5">
        <f t="shared" si="316"/>
        <v>0</v>
      </c>
      <c r="BA179" s="5">
        <f t="shared" si="317"/>
        <v>0</v>
      </c>
      <c r="BB179" s="5">
        <f t="shared" si="318"/>
        <v>0</v>
      </c>
      <c r="BC179" s="5">
        <f t="shared" si="319"/>
        <v>0</v>
      </c>
      <c r="BD179" s="5">
        <f t="shared" si="320"/>
        <v>0</v>
      </c>
      <c r="BE179" s="199">
        <f t="shared" si="321"/>
        <v>0</v>
      </c>
      <c r="BF179" s="21">
        <f t="shared" si="322"/>
        <v>0</v>
      </c>
      <c r="BG179" s="6">
        <f t="shared" si="323"/>
        <v>0</v>
      </c>
      <c r="BH179" s="5" t="e">
        <f t="shared" si="324"/>
        <v>#DIV/0!</v>
      </c>
      <c r="BI179" s="6">
        <f t="shared" si="325"/>
        <v>0</v>
      </c>
      <c r="BJ179" s="5" t="e">
        <f t="shared" si="326"/>
        <v>#DIV/0!</v>
      </c>
      <c r="BK179" s="20">
        <f t="shared" si="327"/>
        <v>-9.9999999999999998E-13</v>
      </c>
      <c r="BL179" s="20">
        <f t="shared" si="328"/>
        <v>0</v>
      </c>
      <c r="BM179" s="6">
        <f t="shared" si="329"/>
        <v>0</v>
      </c>
      <c r="BN179" s="5">
        <f t="shared" si="330"/>
        <v>0</v>
      </c>
      <c r="BO179" s="333">
        <f t="shared" si="331"/>
        <v>0</v>
      </c>
      <c r="BP179" s="334">
        <f t="shared" si="332"/>
        <v>0</v>
      </c>
      <c r="BQ179" s="6">
        <f t="shared" si="333"/>
        <v>0</v>
      </c>
      <c r="BR179" s="5">
        <f t="shared" si="334"/>
        <v>0</v>
      </c>
      <c r="BS179" s="6">
        <f t="shared" si="335"/>
        <v>0</v>
      </c>
      <c r="BT179" s="5">
        <f t="shared" si="336"/>
        <v>0</v>
      </c>
      <c r="BU179" s="181">
        <f t="shared" si="337"/>
        <v>0</v>
      </c>
      <c r="BV179" s="154">
        <f t="shared" si="338"/>
        <v>0</v>
      </c>
      <c r="BW179" s="181">
        <f t="shared" si="339"/>
        <v>0</v>
      </c>
      <c r="BX179" s="180">
        <f t="shared" si="340"/>
        <v>0</v>
      </c>
      <c r="BY179" s="181">
        <f t="shared" si="341"/>
        <v>0</v>
      </c>
      <c r="BZ179" s="154">
        <f t="shared" si="342"/>
        <v>0</v>
      </c>
      <c r="CA179" s="182">
        <f t="shared" si="343"/>
        <v>0</v>
      </c>
      <c r="CB179" s="2">
        <f t="shared" si="344"/>
        <v>0</v>
      </c>
      <c r="CC179" s="2">
        <f t="shared" si="345"/>
        <v>0</v>
      </c>
      <c r="CD179" s="2">
        <f t="shared" si="346"/>
        <v>0</v>
      </c>
      <c r="CE179" s="2">
        <f t="shared" si="347"/>
        <v>0</v>
      </c>
      <c r="CF179" s="6">
        <f t="shared" si="348"/>
        <v>0</v>
      </c>
      <c r="CG179" s="6">
        <f t="shared" si="349"/>
        <v>0</v>
      </c>
      <c r="CH179" s="6">
        <f t="shared" si="350"/>
        <v>0</v>
      </c>
      <c r="CI179" s="20">
        <f t="shared" si="351"/>
        <v>0</v>
      </c>
      <c r="CJ179" s="133">
        <f t="shared" si="352"/>
        <v>2521</v>
      </c>
      <c r="CK179" s="5">
        <f t="shared" si="353"/>
        <v>0</v>
      </c>
      <c r="CL179" s="302" t="s">
        <v>19</v>
      </c>
      <c r="CM179" s="298" t="s">
        <v>13</v>
      </c>
      <c r="CN179" s="298" t="s">
        <v>1453</v>
      </c>
      <c r="CO179" s="298">
        <v>16</v>
      </c>
      <c r="CP179" s="298" t="s">
        <v>990</v>
      </c>
      <c r="CQ179" s="298" t="s">
        <v>1131</v>
      </c>
      <c r="CR179" s="298" t="s">
        <v>644</v>
      </c>
      <c r="CS179" s="298" t="s">
        <v>1322</v>
      </c>
      <c r="CT179" s="298" t="s">
        <v>593</v>
      </c>
      <c r="CU179" s="299">
        <v>47483</v>
      </c>
      <c r="CV179" s="298">
        <v>0</v>
      </c>
      <c r="CW179" s="298">
        <v>0</v>
      </c>
      <c r="CX179" s="298">
        <v>0</v>
      </c>
      <c r="CY179" s="298">
        <v>0</v>
      </c>
      <c r="CZ179" s="298">
        <v>0</v>
      </c>
      <c r="DA179" s="298">
        <v>0</v>
      </c>
      <c r="DB179" s="298">
        <v>0</v>
      </c>
      <c r="DC179" s="298">
        <v>0</v>
      </c>
      <c r="DD179" s="298">
        <v>0</v>
      </c>
      <c r="DE179" s="298">
        <v>0</v>
      </c>
      <c r="DF179" s="298">
        <v>0</v>
      </c>
      <c r="DG179" s="298">
        <v>0</v>
      </c>
      <c r="DH179" s="298">
        <v>0</v>
      </c>
      <c r="DI179" s="298">
        <v>0</v>
      </c>
      <c r="DJ179" s="298">
        <v>0</v>
      </c>
      <c r="DK179" s="298">
        <v>0</v>
      </c>
      <c r="DL179" s="298">
        <v>0</v>
      </c>
      <c r="DM179" s="298">
        <v>0</v>
      </c>
      <c r="DN179" s="298">
        <v>0</v>
      </c>
      <c r="DO179" s="298">
        <v>0</v>
      </c>
      <c r="DP179" s="298">
        <v>0</v>
      </c>
      <c r="DQ179" s="298">
        <v>0</v>
      </c>
      <c r="DR179" s="298">
        <v>0</v>
      </c>
      <c r="DS179" s="298">
        <v>0</v>
      </c>
      <c r="DT179" s="298">
        <v>0</v>
      </c>
      <c r="DU179" s="298">
        <v>0</v>
      </c>
      <c r="DV179" s="303" t="s">
        <v>548</v>
      </c>
    </row>
    <row r="180" spans="1:126" ht="24.95" customHeight="1" thickBot="1" x14ac:dyDescent="0.3">
      <c r="A180" s="29" t="str">
        <f t="shared" si="265"/>
        <v>179º</v>
      </c>
      <c r="B180" s="69" t="str">
        <f t="shared" si="267"/>
        <v>Paulo Henrique</v>
      </c>
      <c r="C180" s="269" t="str">
        <f t="shared" si="268"/>
        <v>BRA</v>
      </c>
      <c r="D180" s="99" t="str">
        <f t="shared" si="269"/>
        <v>Pé Direito</v>
      </c>
      <c r="E180" s="28" t="str">
        <f t="shared" si="270"/>
        <v>PAY</v>
      </c>
      <c r="F180" s="169">
        <f t="shared" si="271"/>
        <v>17</v>
      </c>
      <c r="G180" s="2" t="str">
        <f t="shared" si="272"/>
        <v>0 €</v>
      </c>
      <c r="H180" s="154">
        <f t="shared" si="273"/>
        <v>1.85</v>
      </c>
      <c r="I180" s="64">
        <f t="shared" si="274"/>
        <v>47483</v>
      </c>
      <c r="J180" s="304" t="str">
        <f t="shared" si="275"/>
        <v>400 € p/m</v>
      </c>
      <c r="K180" s="96">
        <f t="shared" si="266"/>
        <v>3.5222222222222221</v>
      </c>
      <c r="L180" s="146">
        <f t="shared" si="276"/>
        <v>0</v>
      </c>
      <c r="M180" s="6">
        <f t="shared" si="277"/>
        <v>0</v>
      </c>
      <c r="N180" s="5">
        <f t="shared" si="278"/>
        <v>5400</v>
      </c>
      <c r="O180" s="21">
        <f t="shared" si="279"/>
        <v>0</v>
      </c>
      <c r="P180" s="2">
        <f t="shared" si="280"/>
        <v>0</v>
      </c>
      <c r="Q180" s="2">
        <f t="shared" si="281"/>
        <v>0</v>
      </c>
      <c r="R180" s="5">
        <f t="shared" si="282"/>
        <v>0</v>
      </c>
      <c r="S180" s="2">
        <f t="shared" si="283"/>
        <v>0</v>
      </c>
      <c r="T180" s="2">
        <f t="shared" si="284"/>
        <v>0</v>
      </c>
      <c r="U180" s="102">
        <f t="shared" si="285"/>
        <v>0</v>
      </c>
      <c r="V180" s="102">
        <f t="shared" si="286"/>
        <v>0</v>
      </c>
      <c r="W180" s="6">
        <f t="shared" si="287"/>
        <v>0</v>
      </c>
      <c r="X180" s="5">
        <f t="shared" si="288"/>
        <v>0</v>
      </c>
      <c r="Y180" s="6">
        <f t="shared" si="289"/>
        <v>0</v>
      </c>
      <c r="Z180" s="5" t="e">
        <f t="shared" si="290"/>
        <v>#DIV/0!</v>
      </c>
      <c r="AA180" s="21">
        <f t="shared" si="291"/>
        <v>0</v>
      </c>
      <c r="AB180" s="6">
        <f t="shared" si="292"/>
        <v>0</v>
      </c>
      <c r="AC180" s="5" t="e">
        <f t="shared" si="293"/>
        <v>#DIV/0!</v>
      </c>
      <c r="AD180" s="6">
        <f t="shared" si="294"/>
        <v>0</v>
      </c>
      <c r="AE180" s="5">
        <f t="shared" si="295"/>
        <v>0</v>
      </c>
      <c r="AF180" s="21">
        <f t="shared" si="296"/>
        <v>0</v>
      </c>
      <c r="AG180" s="6">
        <f t="shared" si="297"/>
        <v>0</v>
      </c>
      <c r="AH180" s="5">
        <f t="shared" si="298"/>
        <v>0</v>
      </c>
      <c r="AI180" s="21">
        <f t="shared" si="299"/>
        <v>0</v>
      </c>
      <c r="AJ180" s="6">
        <f t="shared" si="300"/>
        <v>0</v>
      </c>
      <c r="AK180" s="5">
        <f t="shared" si="301"/>
        <v>0</v>
      </c>
      <c r="AL180" s="21">
        <f t="shared" si="302"/>
        <v>0</v>
      </c>
      <c r="AM180" s="21">
        <f t="shared" si="303"/>
        <v>0</v>
      </c>
      <c r="AN180" s="6">
        <f t="shared" si="304"/>
        <v>0</v>
      </c>
      <c r="AO180" s="5">
        <f t="shared" si="305"/>
        <v>0</v>
      </c>
      <c r="AP180" s="6">
        <f t="shared" si="306"/>
        <v>0</v>
      </c>
      <c r="AQ180" s="5">
        <f t="shared" si="307"/>
        <v>0</v>
      </c>
      <c r="AR180" s="2">
        <f t="shared" si="308"/>
        <v>0</v>
      </c>
      <c r="AS180" s="5">
        <f t="shared" si="309"/>
        <v>0</v>
      </c>
      <c r="AT180" s="21">
        <f t="shared" si="310"/>
        <v>0</v>
      </c>
      <c r="AU180" s="20">
        <f t="shared" si="311"/>
        <v>0</v>
      </c>
      <c r="AV180" s="20">
        <f t="shared" si="312"/>
        <v>1</v>
      </c>
      <c r="AW180" s="199">
        <f t="shared" si="313"/>
        <v>0</v>
      </c>
      <c r="AX180" s="24">
        <f t="shared" si="314"/>
        <v>0</v>
      </c>
      <c r="AY180" s="5">
        <f t="shared" si="315"/>
        <v>0</v>
      </c>
      <c r="AZ180" s="5">
        <f t="shared" si="316"/>
        <v>0</v>
      </c>
      <c r="BA180" s="5">
        <f t="shared" si="317"/>
        <v>0</v>
      </c>
      <c r="BB180" s="5">
        <f t="shared" si="318"/>
        <v>0</v>
      </c>
      <c r="BC180" s="5">
        <f t="shared" si="319"/>
        <v>0</v>
      </c>
      <c r="BD180" s="5">
        <f t="shared" si="320"/>
        <v>0</v>
      </c>
      <c r="BE180" s="199">
        <f t="shared" si="321"/>
        <v>0</v>
      </c>
      <c r="BF180" s="21">
        <f t="shared" si="322"/>
        <v>0</v>
      </c>
      <c r="BG180" s="6">
        <f t="shared" si="323"/>
        <v>0</v>
      </c>
      <c r="BH180" s="5" t="e">
        <f t="shared" si="324"/>
        <v>#DIV/0!</v>
      </c>
      <c r="BI180" s="6">
        <f t="shared" si="325"/>
        <v>0</v>
      </c>
      <c r="BJ180" s="5" t="e">
        <f t="shared" si="326"/>
        <v>#DIV/0!</v>
      </c>
      <c r="BK180" s="20">
        <f t="shared" si="327"/>
        <v>-9.9999999999999998E-13</v>
      </c>
      <c r="BL180" s="20">
        <f t="shared" si="328"/>
        <v>0</v>
      </c>
      <c r="BM180" s="6">
        <f t="shared" si="329"/>
        <v>0</v>
      </c>
      <c r="BN180" s="5">
        <f t="shared" si="330"/>
        <v>0</v>
      </c>
      <c r="BO180" s="333">
        <f t="shared" si="331"/>
        <v>0</v>
      </c>
      <c r="BP180" s="334">
        <f t="shared" si="332"/>
        <v>0</v>
      </c>
      <c r="BQ180" s="6">
        <f t="shared" si="333"/>
        <v>0</v>
      </c>
      <c r="BR180" s="5">
        <f t="shared" si="334"/>
        <v>0</v>
      </c>
      <c r="BS180" s="6">
        <f t="shared" si="335"/>
        <v>0</v>
      </c>
      <c r="BT180" s="5">
        <f t="shared" si="336"/>
        <v>0</v>
      </c>
      <c r="BU180" s="181">
        <f t="shared" si="337"/>
        <v>0</v>
      </c>
      <c r="BV180" s="154">
        <f t="shared" si="338"/>
        <v>0</v>
      </c>
      <c r="BW180" s="181">
        <f t="shared" si="339"/>
        <v>0</v>
      </c>
      <c r="BX180" s="180">
        <f t="shared" si="340"/>
        <v>0</v>
      </c>
      <c r="BY180" s="181">
        <f t="shared" si="341"/>
        <v>0</v>
      </c>
      <c r="BZ180" s="154">
        <f t="shared" si="342"/>
        <v>0</v>
      </c>
      <c r="CA180" s="182">
        <f t="shared" si="343"/>
        <v>0</v>
      </c>
      <c r="CB180" s="2">
        <f t="shared" si="344"/>
        <v>0</v>
      </c>
      <c r="CC180" s="2">
        <f t="shared" si="345"/>
        <v>0</v>
      </c>
      <c r="CD180" s="2">
        <f t="shared" si="346"/>
        <v>0</v>
      </c>
      <c r="CE180" s="2">
        <f t="shared" si="347"/>
        <v>0</v>
      </c>
      <c r="CF180" s="6">
        <f t="shared" si="348"/>
        <v>0</v>
      </c>
      <c r="CG180" s="6">
        <f t="shared" si="349"/>
        <v>0</v>
      </c>
      <c r="CH180" s="6">
        <f t="shared" si="350"/>
        <v>0</v>
      </c>
      <c r="CI180" s="20">
        <f t="shared" si="351"/>
        <v>0</v>
      </c>
      <c r="CJ180" s="133">
        <f t="shared" si="352"/>
        <v>2521</v>
      </c>
      <c r="CK180" s="5">
        <f t="shared" si="353"/>
        <v>0</v>
      </c>
      <c r="CL180" s="300"/>
      <c r="CM180" s="296" t="s">
        <v>13</v>
      </c>
      <c r="CN180" s="296" t="s">
        <v>1348</v>
      </c>
      <c r="CO180" s="296">
        <v>17</v>
      </c>
      <c r="CP180" s="296" t="s">
        <v>728</v>
      </c>
      <c r="CQ180" s="296" t="s">
        <v>1131</v>
      </c>
      <c r="CR180" s="296" t="s">
        <v>644</v>
      </c>
      <c r="CS180" s="296" t="s">
        <v>1545</v>
      </c>
      <c r="CT180" s="296" t="s">
        <v>587</v>
      </c>
      <c r="CU180" s="297">
        <v>47483</v>
      </c>
      <c r="CV180" s="296">
        <v>0</v>
      </c>
      <c r="CW180" s="296">
        <v>0</v>
      </c>
      <c r="CX180" s="296">
        <v>0</v>
      </c>
      <c r="CY180" s="296">
        <v>0</v>
      </c>
      <c r="CZ180" s="296">
        <v>0</v>
      </c>
      <c r="DA180" s="296">
        <v>0</v>
      </c>
      <c r="DB180" s="296">
        <v>0</v>
      </c>
      <c r="DC180" s="296">
        <v>0</v>
      </c>
      <c r="DD180" s="296">
        <v>0</v>
      </c>
      <c r="DE180" s="296">
        <v>0</v>
      </c>
      <c r="DF180" s="296">
        <v>0</v>
      </c>
      <c r="DG180" s="296">
        <v>0</v>
      </c>
      <c r="DH180" s="296">
        <v>0</v>
      </c>
      <c r="DI180" s="296">
        <v>0</v>
      </c>
      <c r="DJ180" s="296">
        <v>0</v>
      </c>
      <c r="DK180" s="296">
        <v>0</v>
      </c>
      <c r="DL180" s="296">
        <v>0</v>
      </c>
      <c r="DM180" s="296">
        <v>0</v>
      </c>
      <c r="DN180" s="296">
        <v>0</v>
      </c>
      <c r="DO180" s="296">
        <v>0</v>
      </c>
      <c r="DP180" s="296">
        <v>0</v>
      </c>
      <c r="DQ180" s="296">
        <v>0</v>
      </c>
      <c r="DR180" s="296">
        <v>0</v>
      </c>
      <c r="DS180" s="296">
        <v>0</v>
      </c>
      <c r="DT180" s="296">
        <v>0</v>
      </c>
      <c r="DU180" s="296">
        <v>0</v>
      </c>
      <c r="DV180" s="301" t="s">
        <v>548</v>
      </c>
    </row>
    <row r="181" spans="1:126" ht="24.95" customHeight="1" thickBot="1" x14ac:dyDescent="0.3">
      <c r="A181" s="29" t="str">
        <f t="shared" si="265"/>
        <v>180º</v>
      </c>
      <c r="B181" s="69" t="str">
        <f t="shared" si="267"/>
        <v>Vivaldo</v>
      </c>
      <c r="C181" s="269" t="str">
        <f t="shared" si="268"/>
        <v>BRA</v>
      </c>
      <c r="D181" s="99" t="str">
        <f t="shared" si="269"/>
        <v>Pé Direito</v>
      </c>
      <c r="E181" s="28" t="str">
        <f t="shared" si="270"/>
        <v>GN</v>
      </c>
      <c r="F181" s="169">
        <f t="shared" si="271"/>
        <v>17</v>
      </c>
      <c r="G181" s="2" t="str">
        <f t="shared" si="272"/>
        <v>0 €</v>
      </c>
      <c r="H181" s="154">
        <f t="shared" si="273"/>
        <v>1.87</v>
      </c>
      <c r="I181" s="64">
        <f t="shared" si="274"/>
        <v>47483</v>
      </c>
      <c r="J181" s="304" t="str">
        <f t="shared" si="275"/>
        <v>525 € p/m</v>
      </c>
      <c r="K181" s="96">
        <f t="shared" si="266"/>
        <v>3.5222222222222221</v>
      </c>
      <c r="L181" s="146">
        <f t="shared" si="276"/>
        <v>0</v>
      </c>
      <c r="M181" s="6">
        <f t="shared" si="277"/>
        <v>0</v>
      </c>
      <c r="N181" s="5">
        <f t="shared" si="278"/>
        <v>5400</v>
      </c>
      <c r="O181" s="21">
        <f t="shared" si="279"/>
        <v>0</v>
      </c>
      <c r="P181" s="2">
        <f t="shared" si="280"/>
        <v>0</v>
      </c>
      <c r="Q181" s="2">
        <f t="shared" si="281"/>
        <v>0</v>
      </c>
      <c r="R181" s="5">
        <f t="shared" si="282"/>
        <v>0</v>
      </c>
      <c r="S181" s="2">
        <f t="shared" si="283"/>
        <v>0</v>
      </c>
      <c r="T181" s="2">
        <f t="shared" si="284"/>
        <v>0</v>
      </c>
      <c r="U181" s="102">
        <f t="shared" si="285"/>
        <v>0</v>
      </c>
      <c r="V181" s="102">
        <f t="shared" si="286"/>
        <v>0</v>
      </c>
      <c r="W181" s="6">
        <f t="shared" si="287"/>
        <v>0</v>
      </c>
      <c r="X181" s="5">
        <f t="shared" si="288"/>
        <v>0</v>
      </c>
      <c r="Y181" s="6">
        <f t="shared" si="289"/>
        <v>0</v>
      </c>
      <c r="Z181" s="5" t="e">
        <f t="shared" si="290"/>
        <v>#DIV/0!</v>
      </c>
      <c r="AA181" s="21">
        <f t="shared" si="291"/>
        <v>0</v>
      </c>
      <c r="AB181" s="6">
        <f t="shared" si="292"/>
        <v>0</v>
      </c>
      <c r="AC181" s="5" t="e">
        <f t="shared" si="293"/>
        <v>#DIV/0!</v>
      </c>
      <c r="AD181" s="6">
        <f t="shared" si="294"/>
        <v>0</v>
      </c>
      <c r="AE181" s="5">
        <f t="shared" si="295"/>
        <v>0</v>
      </c>
      <c r="AF181" s="21">
        <f t="shared" si="296"/>
        <v>0</v>
      </c>
      <c r="AG181" s="6">
        <f t="shared" si="297"/>
        <v>0</v>
      </c>
      <c r="AH181" s="5">
        <f t="shared" si="298"/>
        <v>0</v>
      </c>
      <c r="AI181" s="21">
        <f t="shared" si="299"/>
        <v>0</v>
      </c>
      <c r="AJ181" s="6">
        <f t="shared" si="300"/>
        <v>0</v>
      </c>
      <c r="AK181" s="5">
        <f t="shared" si="301"/>
        <v>0</v>
      </c>
      <c r="AL181" s="21">
        <f t="shared" si="302"/>
        <v>0</v>
      </c>
      <c r="AM181" s="21">
        <f t="shared" si="303"/>
        <v>0</v>
      </c>
      <c r="AN181" s="6">
        <f t="shared" si="304"/>
        <v>0</v>
      </c>
      <c r="AO181" s="5">
        <f t="shared" si="305"/>
        <v>0</v>
      </c>
      <c r="AP181" s="6">
        <f t="shared" si="306"/>
        <v>0</v>
      </c>
      <c r="AQ181" s="5">
        <f t="shared" si="307"/>
        <v>0</v>
      </c>
      <c r="AR181" s="2">
        <f t="shared" si="308"/>
        <v>0</v>
      </c>
      <c r="AS181" s="5">
        <f t="shared" si="309"/>
        <v>0</v>
      </c>
      <c r="AT181" s="21">
        <f t="shared" si="310"/>
        <v>0</v>
      </c>
      <c r="AU181" s="20">
        <f t="shared" si="311"/>
        <v>0</v>
      </c>
      <c r="AV181" s="20">
        <f t="shared" si="312"/>
        <v>1</v>
      </c>
      <c r="AW181" s="199">
        <f t="shared" si="313"/>
        <v>0</v>
      </c>
      <c r="AX181" s="24">
        <f t="shared" si="314"/>
        <v>0</v>
      </c>
      <c r="AY181" s="5">
        <f t="shared" si="315"/>
        <v>0</v>
      </c>
      <c r="AZ181" s="5">
        <f t="shared" si="316"/>
        <v>0</v>
      </c>
      <c r="BA181" s="5">
        <f t="shared" si="317"/>
        <v>0</v>
      </c>
      <c r="BB181" s="5">
        <f t="shared" si="318"/>
        <v>0</v>
      </c>
      <c r="BC181" s="5">
        <f t="shared" si="319"/>
        <v>0</v>
      </c>
      <c r="BD181" s="5">
        <f t="shared" si="320"/>
        <v>0</v>
      </c>
      <c r="BE181" s="199">
        <f t="shared" si="321"/>
        <v>0</v>
      </c>
      <c r="BF181" s="21">
        <f t="shared" si="322"/>
        <v>0</v>
      </c>
      <c r="BG181" s="6">
        <f t="shared" si="323"/>
        <v>0</v>
      </c>
      <c r="BH181" s="5" t="e">
        <f t="shared" si="324"/>
        <v>#DIV/0!</v>
      </c>
      <c r="BI181" s="6">
        <f t="shared" si="325"/>
        <v>0</v>
      </c>
      <c r="BJ181" s="5" t="e">
        <f t="shared" si="326"/>
        <v>#DIV/0!</v>
      </c>
      <c r="BK181" s="20">
        <f t="shared" si="327"/>
        <v>-9.9999999999999998E-13</v>
      </c>
      <c r="BL181" s="20">
        <f t="shared" si="328"/>
        <v>0</v>
      </c>
      <c r="BM181" s="6">
        <f t="shared" si="329"/>
        <v>0</v>
      </c>
      <c r="BN181" s="5">
        <f t="shared" si="330"/>
        <v>0</v>
      </c>
      <c r="BO181" s="333">
        <f t="shared" si="331"/>
        <v>0</v>
      </c>
      <c r="BP181" s="334">
        <f t="shared" si="332"/>
        <v>0</v>
      </c>
      <c r="BQ181" s="6">
        <f t="shared" si="333"/>
        <v>0</v>
      </c>
      <c r="BR181" s="5">
        <f t="shared" si="334"/>
        <v>0</v>
      </c>
      <c r="BS181" s="6">
        <f t="shared" si="335"/>
        <v>0</v>
      </c>
      <c r="BT181" s="5">
        <f t="shared" si="336"/>
        <v>0</v>
      </c>
      <c r="BU181" s="181">
        <f t="shared" si="337"/>
        <v>0</v>
      </c>
      <c r="BV181" s="154">
        <f t="shared" si="338"/>
        <v>0</v>
      </c>
      <c r="BW181" s="181">
        <f t="shared" si="339"/>
        <v>0</v>
      </c>
      <c r="BX181" s="180">
        <f t="shared" si="340"/>
        <v>0</v>
      </c>
      <c r="BY181" s="181">
        <f t="shared" si="341"/>
        <v>0</v>
      </c>
      <c r="BZ181" s="154">
        <f t="shared" si="342"/>
        <v>0</v>
      </c>
      <c r="CA181" s="182">
        <f t="shared" si="343"/>
        <v>0</v>
      </c>
      <c r="CB181" s="2">
        <f t="shared" si="344"/>
        <v>0</v>
      </c>
      <c r="CC181" s="2">
        <f t="shared" si="345"/>
        <v>0</v>
      </c>
      <c r="CD181" s="2">
        <f t="shared" si="346"/>
        <v>0</v>
      </c>
      <c r="CE181" s="2">
        <f t="shared" si="347"/>
        <v>0</v>
      </c>
      <c r="CF181" s="6">
        <f t="shared" si="348"/>
        <v>0</v>
      </c>
      <c r="CG181" s="6">
        <f t="shared" si="349"/>
        <v>0</v>
      </c>
      <c r="CH181" s="6">
        <f t="shared" si="350"/>
        <v>0</v>
      </c>
      <c r="CI181" s="20">
        <f t="shared" si="351"/>
        <v>0</v>
      </c>
      <c r="CJ181" s="133">
        <f t="shared" si="352"/>
        <v>2521</v>
      </c>
      <c r="CK181" s="5">
        <f t="shared" si="353"/>
        <v>0</v>
      </c>
      <c r="CL181" s="302"/>
      <c r="CM181" s="298" t="s">
        <v>13</v>
      </c>
      <c r="CN181" s="298" t="s">
        <v>1134</v>
      </c>
      <c r="CO181" s="298">
        <v>17</v>
      </c>
      <c r="CP181" s="298" t="s">
        <v>1546</v>
      </c>
      <c r="CQ181" s="298" t="s">
        <v>1131</v>
      </c>
      <c r="CR181" s="298" t="s">
        <v>644</v>
      </c>
      <c r="CS181" s="298" t="s">
        <v>1322</v>
      </c>
      <c r="CT181" s="298" t="s">
        <v>911</v>
      </c>
      <c r="CU181" s="299">
        <v>47483</v>
      </c>
      <c r="CV181" s="298">
        <v>0</v>
      </c>
      <c r="CW181" s="298">
        <v>0</v>
      </c>
      <c r="CX181" s="298">
        <v>0</v>
      </c>
      <c r="CY181" s="298">
        <v>0</v>
      </c>
      <c r="CZ181" s="298">
        <v>0</v>
      </c>
      <c r="DA181" s="298">
        <v>0</v>
      </c>
      <c r="DB181" s="298">
        <v>0</v>
      </c>
      <c r="DC181" s="298">
        <v>0</v>
      </c>
      <c r="DD181" s="298">
        <v>0</v>
      </c>
      <c r="DE181" s="298">
        <v>0</v>
      </c>
      <c r="DF181" s="298">
        <v>0</v>
      </c>
      <c r="DG181" s="298">
        <v>0</v>
      </c>
      <c r="DH181" s="298">
        <v>0</v>
      </c>
      <c r="DI181" s="298">
        <v>0</v>
      </c>
      <c r="DJ181" s="298">
        <v>0</v>
      </c>
      <c r="DK181" s="298">
        <v>0</v>
      </c>
      <c r="DL181" s="298">
        <v>0</v>
      </c>
      <c r="DM181" s="298">
        <v>0</v>
      </c>
      <c r="DN181" s="298">
        <v>0</v>
      </c>
      <c r="DO181" s="298">
        <v>0</v>
      </c>
      <c r="DP181" s="298">
        <v>0</v>
      </c>
      <c r="DQ181" s="298">
        <v>0</v>
      </c>
      <c r="DR181" s="298">
        <v>0</v>
      </c>
      <c r="DS181" s="298">
        <v>0</v>
      </c>
      <c r="DT181" s="298">
        <v>0</v>
      </c>
      <c r="DU181" s="298">
        <v>0</v>
      </c>
      <c r="DV181" s="303" t="s">
        <v>548</v>
      </c>
    </row>
    <row r="182" spans="1:126" ht="24.95" customHeight="1" thickBot="1" x14ac:dyDescent="0.3">
      <c r="A182" s="29" t="str">
        <f t="shared" si="265"/>
        <v>181º</v>
      </c>
      <c r="B182" s="69" t="str">
        <f t="shared" si="267"/>
        <v>Jajá</v>
      </c>
      <c r="C182" s="269" t="str">
        <f t="shared" si="268"/>
        <v>BRA</v>
      </c>
      <c r="D182" s="99" t="str">
        <f t="shared" si="269"/>
        <v>Pé Direito</v>
      </c>
      <c r="E182" s="28" t="str">
        <f t="shared" si="270"/>
        <v>VRE</v>
      </c>
      <c r="F182" s="169">
        <f t="shared" si="271"/>
        <v>17</v>
      </c>
      <c r="G182" s="2" t="str">
        <f t="shared" si="272"/>
        <v>65m € - 190m €</v>
      </c>
      <c r="H182" s="154">
        <f t="shared" si="273"/>
        <v>1.85</v>
      </c>
      <c r="I182" s="64">
        <f t="shared" si="274"/>
        <v>47483</v>
      </c>
      <c r="J182" s="304" t="str">
        <f t="shared" si="275"/>
        <v>550 € p/m</v>
      </c>
      <c r="K182" s="96">
        <f t="shared" si="266"/>
        <v>3.5222222222222221</v>
      </c>
      <c r="L182" s="146">
        <f t="shared" si="276"/>
        <v>0</v>
      </c>
      <c r="M182" s="6">
        <f t="shared" si="277"/>
        <v>0</v>
      </c>
      <c r="N182" s="5">
        <f t="shared" si="278"/>
        <v>5400</v>
      </c>
      <c r="O182" s="21">
        <f t="shared" si="279"/>
        <v>0</v>
      </c>
      <c r="P182" s="2">
        <f t="shared" si="280"/>
        <v>0</v>
      </c>
      <c r="Q182" s="2">
        <f t="shared" si="281"/>
        <v>0</v>
      </c>
      <c r="R182" s="5">
        <f t="shared" si="282"/>
        <v>0</v>
      </c>
      <c r="S182" s="2">
        <f t="shared" si="283"/>
        <v>0</v>
      </c>
      <c r="T182" s="2">
        <f t="shared" si="284"/>
        <v>0</v>
      </c>
      <c r="U182" s="102">
        <f t="shared" si="285"/>
        <v>0</v>
      </c>
      <c r="V182" s="102">
        <f t="shared" si="286"/>
        <v>0</v>
      </c>
      <c r="W182" s="6">
        <f t="shared" si="287"/>
        <v>0</v>
      </c>
      <c r="X182" s="5">
        <f t="shared" si="288"/>
        <v>0</v>
      </c>
      <c r="Y182" s="6">
        <f t="shared" si="289"/>
        <v>0</v>
      </c>
      <c r="Z182" s="5" t="e">
        <f t="shared" si="290"/>
        <v>#DIV/0!</v>
      </c>
      <c r="AA182" s="21">
        <f t="shared" si="291"/>
        <v>0</v>
      </c>
      <c r="AB182" s="6">
        <f t="shared" si="292"/>
        <v>0</v>
      </c>
      <c r="AC182" s="5" t="e">
        <f t="shared" si="293"/>
        <v>#DIV/0!</v>
      </c>
      <c r="AD182" s="6">
        <f t="shared" si="294"/>
        <v>0</v>
      </c>
      <c r="AE182" s="5">
        <f t="shared" si="295"/>
        <v>0</v>
      </c>
      <c r="AF182" s="21">
        <f t="shared" si="296"/>
        <v>0</v>
      </c>
      <c r="AG182" s="6">
        <f t="shared" si="297"/>
        <v>0</v>
      </c>
      <c r="AH182" s="5">
        <f t="shared" si="298"/>
        <v>0</v>
      </c>
      <c r="AI182" s="21">
        <f t="shared" si="299"/>
        <v>0</v>
      </c>
      <c r="AJ182" s="6">
        <f t="shared" si="300"/>
        <v>0</v>
      </c>
      <c r="AK182" s="5">
        <f t="shared" si="301"/>
        <v>0</v>
      </c>
      <c r="AL182" s="21">
        <f t="shared" si="302"/>
        <v>0</v>
      </c>
      <c r="AM182" s="21">
        <f t="shared" si="303"/>
        <v>0</v>
      </c>
      <c r="AN182" s="6">
        <f t="shared" si="304"/>
        <v>0</v>
      </c>
      <c r="AO182" s="5">
        <f t="shared" si="305"/>
        <v>0</v>
      </c>
      <c r="AP182" s="6">
        <f t="shared" si="306"/>
        <v>0</v>
      </c>
      <c r="AQ182" s="5">
        <f t="shared" si="307"/>
        <v>0</v>
      </c>
      <c r="AR182" s="2">
        <f t="shared" si="308"/>
        <v>0</v>
      </c>
      <c r="AS182" s="5">
        <f t="shared" si="309"/>
        <v>0</v>
      </c>
      <c r="AT182" s="21">
        <f t="shared" si="310"/>
        <v>0</v>
      </c>
      <c r="AU182" s="20">
        <f t="shared" si="311"/>
        <v>0</v>
      </c>
      <c r="AV182" s="20">
        <f t="shared" si="312"/>
        <v>1</v>
      </c>
      <c r="AW182" s="199">
        <f t="shared" si="313"/>
        <v>0</v>
      </c>
      <c r="AX182" s="24">
        <f t="shared" si="314"/>
        <v>0</v>
      </c>
      <c r="AY182" s="5">
        <f t="shared" si="315"/>
        <v>0</v>
      </c>
      <c r="AZ182" s="5">
        <f t="shared" si="316"/>
        <v>0</v>
      </c>
      <c r="BA182" s="5">
        <f t="shared" si="317"/>
        <v>0</v>
      </c>
      <c r="BB182" s="5">
        <f t="shared" si="318"/>
        <v>0</v>
      </c>
      <c r="BC182" s="5">
        <f t="shared" si="319"/>
        <v>0</v>
      </c>
      <c r="BD182" s="5">
        <f t="shared" si="320"/>
        <v>0</v>
      </c>
      <c r="BE182" s="199">
        <f t="shared" si="321"/>
        <v>0</v>
      </c>
      <c r="BF182" s="21">
        <f t="shared" si="322"/>
        <v>0</v>
      </c>
      <c r="BG182" s="6">
        <f t="shared" si="323"/>
        <v>0</v>
      </c>
      <c r="BH182" s="5" t="e">
        <f t="shared" si="324"/>
        <v>#DIV/0!</v>
      </c>
      <c r="BI182" s="6">
        <f t="shared" si="325"/>
        <v>0</v>
      </c>
      <c r="BJ182" s="5" t="e">
        <f t="shared" si="326"/>
        <v>#DIV/0!</v>
      </c>
      <c r="BK182" s="20">
        <f t="shared" si="327"/>
        <v>-9.9999999999999998E-13</v>
      </c>
      <c r="BL182" s="20">
        <f t="shared" si="328"/>
        <v>0</v>
      </c>
      <c r="BM182" s="6">
        <f t="shared" si="329"/>
        <v>0</v>
      </c>
      <c r="BN182" s="5">
        <f t="shared" si="330"/>
        <v>0</v>
      </c>
      <c r="BO182" s="333">
        <f t="shared" si="331"/>
        <v>0</v>
      </c>
      <c r="BP182" s="334">
        <f t="shared" si="332"/>
        <v>0</v>
      </c>
      <c r="BQ182" s="6">
        <f t="shared" si="333"/>
        <v>0</v>
      </c>
      <c r="BR182" s="5">
        <f t="shared" si="334"/>
        <v>0</v>
      </c>
      <c r="BS182" s="6">
        <f t="shared" si="335"/>
        <v>0</v>
      </c>
      <c r="BT182" s="5">
        <f t="shared" si="336"/>
        <v>0</v>
      </c>
      <c r="BU182" s="181">
        <f t="shared" si="337"/>
        <v>0</v>
      </c>
      <c r="BV182" s="154">
        <f t="shared" si="338"/>
        <v>0</v>
      </c>
      <c r="BW182" s="181">
        <f t="shared" si="339"/>
        <v>0</v>
      </c>
      <c r="BX182" s="180">
        <f t="shared" si="340"/>
        <v>0</v>
      </c>
      <c r="BY182" s="181">
        <f t="shared" si="341"/>
        <v>0</v>
      </c>
      <c r="BZ182" s="154">
        <f t="shared" si="342"/>
        <v>0</v>
      </c>
      <c r="CA182" s="182">
        <f t="shared" si="343"/>
        <v>0</v>
      </c>
      <c r="CB182" s="2">
        <f t="shared" si="344"/>
        <v>0</v>
      </c>
      <c r="CC182" s="2">
        <f t="shared" si="345"/>
        <v>0</v>
      </c>
      <c r="CD182" s="2">
        <f t="shared" si="346"/>
        <v>0</v>
      </c>
      <c r="CE182" s="2">
        <f t="shared" si="347"/>
        <v>0</v>
      </c>
      <c r="CF182" s="6">
        <f t="shared" si="348"/>
        <v>0</v>
      </c>
      <c r="CG182" s="6">
        <f t="shared" si="349"/>
        <v>0</v>
      </c>
      <c r="CH182" s="6">
        <f t="shared" si="350"/>
        <v>0</v>
      </c>
      <c r="CI182" s="20">
        <f t="shared" si="351"/>
        <v>0</v>
      </c>
      <c r="CJ182" s="133">
        <f t="shared" si="352"/>
        <v>2521</v>
      </c>
      <c r="CK182" s="5">
        <f t="shared" si="353"/>
        <v>0</v>
      </c>
      <c r="CL182" s="300" t="s">
        <v>640</v>
      </c>
      <c r="CM182" s="296" t="s">
        <v>13</v>
      </c>
      <c r="CN182" s="296" t="s">
        <v>1547</v>
      </c>
      <c r="CO182" s="296">
        <v>17</v>
      </c>
      <c r="CP182" s="296" t="s">
        <v>1489</v>
      </c>
      <c r="CQ182" s="296" t="s">
        <v>1548</v>
      </c>
      <c r="CR182" s="296" t="s">
        <v>644</v>
      </c>
      <c r="CS182" s="296" t="s">
        <v>1375</v>
      </c>
      <c r="CT182" s="296" t="s">
        <v>587</v>
      </c>
      <c r="CU182" s="297">
        <v>47483</v>
      </c>
      <c r="CV182" s="296">
        <v>0</v>
      </c>
      <c r="CW182" s="296">
        <v>0</v>
      </c>
      <c r="CX182" s="296">
        <v>0</v>
      </c>
      <c r="CY182" s="296">
        <v>0</v>
      </c>
      <c r="CZ182" s="296">
        <v>0</v>
      </c>
      <c r="DA182" s="296">
        <v>0</v>
      </c>
      <c r="DB182" s="296">
        <v>0</v>
      </c>
      <c r="DC182" s="296">
        <v>0</v>
      </c>
      <c r="DD182" s="296">
        <v>0</v>
      </c>
      <c r="DE182" s="296">
        <v>0</v>
      </c>
      <c r="DF182" s="296">
        <v>0</v>
      </c>
      <c r="DG182" s="296">
        <v>0</v>
      </c>
      <c r="DH182" s="296">
        <v>0</v>
      </c>
      <c r="DI182" s="296">
        <v>0</v>
      </c>
      <c r="DJ182" s="296">
        <v>0</v>
      </c>
      <c r="DK182" s="296">
        <v>0</v>
      </c>
      <c r="DL182" s="296">
        <v>0</v>
      </c>
      <c r="DM182" s="296">
        <v>0</v>
      </c>
      <c r="DN182" s="296">
        <v>0</v>
      </c>
      <c r="DO182" s="296">
        <v>0</v>
      </c>
      <c r="DP182" s="296">
        <v>0</v>
      </c>
      <c r="DQ182" s="296">
        <v>0</v>
      </c>
      <c r="DR182" s="296">
        <v>0</v>
      </c>
      <c r="DS182" s="296">
        <v>0</v>
      </c>
      <c r="DT182" s="296">
        <v>0</v>
      </c>
      <c r="DU182" s="296">
        <v>0</v>
      </c>
      <c r="DV182" s="301" t="s">
        <v>548</v>
      </c>
    </row>
    <row r="183" spans="1:126" ht="24.95" customHeight="1" thickBot="1" x14ac:dyDescent="0.3">
      <c r="A183" s="29" t="str">
        <f t="shared" si="265"/>
        <v>182º</v>
      </c>
      <c r="B183" s="69" t="str">
        <f t="shared" si="267"/>
        <v>Felipe José</v>
      </c>
      <c r="C183" s="269" t="str">
        <f t="shared" si="268"/>
        <v>BRA</v>
      </c>
      <c r="D183" s="99" t="str">
        <f t="shared" si="269"/>
        <v>Pé Direito</v>
      </c>
      <c r="E183" s="28" t="str">
        <f t="shared" si="270"/>
        <v>ECS</v>
      </c>
      <c r="F183" s="169">
        <f t="shared" si="271"/>
        <v>17</v>
      </c>
      <c r="G183" s="2" t="str">
        <f t="shared" si="272"/>
        <v>0 €</v>
      </c>
      <c r="H183" s="154">
        <f t="shared" si="273"/>
        <v>1.92</v>
      </c>
      <c r="I183" s="64">
        <f t="shared" si="274"/>
        <v>47118</v>
      </c>
      <c r="J183" s="304" t="str">
        <f t="shared" si="275"/>
        <v>500 € p/m</v>
      </c>
      <c r="K183" s="96">
        <f t="shared" si="266"/>
        <v>3.5222222222222221</v>
      </c>
      <c r="L183" s="146">
        <f t="shared" si="276"/>
        <v>1</v>
      </c>
      <c r="M183" s="6">
        <f t="shared" si="277"/>
        <v>1</v>
      </c>
      <c r="N183" s="5">
        <f t="shared" si="278"/>
        <v>90</v>
      </c>
      <c r="O183" s="21">
        <f t="shared" si="279"/>
        <v>1</v>
      </c>
      <c r="P183" s="2">
        <f t="shared" si="280"/>
        <v>30</v>
      </c>
      <c r="Q183" s="2">
        <f t="shared" si="281"/>
        <v>26</v>
      </c>
      <c r="R183" s="5">
        <f t="shared" si="282"/>
        <v>26</v>
      </c>
      <c r="S183" s="2">
        <f t="shared" si="283"/>
        <v>4</v>
      </c>
      <c r="T183" s="2">
        <f t="shared" si="284"/>
        <v>22</v>
      </c>
      <c r="U183" s="102">
        <f t="shared" si="285"/>
        <v>0.13333333333333333</v>
      </c>
      <c r="V183" s="102">
        <f t="shared" si="286"/>
        <v>0.8666666666666667</v>
      </c>
      <c r="W183" s="6">
        <f t="shared" si="287"/>
        <v>30</v>
      </c>
      <c r="X183" s="5">
        <f t="shared" si="288"/>
        <v>30</v>
      </c>
      <c r="Y183" s="6">
        <f t="shared" si="289"/>
        <v>0</v>
      </c>
      <c r="Z183" s="5">
        <f t="shared" si="290"/>
        <v>0</v>
      </c>
      <c r="AA183" s="21">
        <f t="shared" si="291"/>
        <v>0</v>
      </c>
      <c r="AB183" s="6">
        <f t="shared" si="292"/>
        <v>0</v>
      </c>
      <c r="AC183" s="5">
        <f t="shared" si="293"/>
        <v>0</v>
      </c>
      <c r="AD183" s="6">
        <f t="shared" si="294"/>
        <v>1</v>
      </c>
      <c r="AE183" s="5">
        <f t="shared" si="295"/>
        <v>1</v>
      </c>
      <c r="AF183" s="21">
        <f t="shared" si="296"/>
        <v>1</v>
      </c>
      <c r="AG183" s="6">
        <f t="shared" si="297"/>
        <v>0</v>
      </c>
      <c r="AH183" s="5">
        <f t="shared" si="298"/>
        <v>0</v>
      </c>
      <c r="AI183" s="21">
        <f t="shared" si="299"/>
        <v>0</v>
      </c>
      <c r="AJ183" s="6">
        <f t="shared" si="300"/>
        <v>0</v>
      </c>
      <c r="AK183" s="5">
        <f t="shared" si="301"/>
        <v>0</v>
      </c>
      <c r="AL183" s="21">
        <f t="shared" si="302"/>
        <v>0</v>
      </c>
      <c r="AM183" s="21">
        <f t="shared" si="303"/>
        <v>1</v>
      </c>
      <c r="AN183" s="6">
        <f t="shared" si="304"/>
        <v>1</v>
      </c>
      <c r="AO183" s="5">
        <f t="shared" si="305"/>
        <v>1</v>
      </c>
      <c r="AP183" s="6">
        <f t="shared" si="306"/>
        <v>1</v>
      </c>
      <c r="AQ183" s="5">
        <f t="shared" si="307"/>
        <v>1</v>
      </c>
      <c r="AR183" s="2">
        <f t="shared" si="308"/>
        <v>1</v>
      </c>
      <c r="AS183" s="5">
        <f t="shared" si="309"/>
        <v>1</v>
      </c>
      <c r="AT183" s="21">
        <f t="shared" si="310"/>
        <v>1</v>
      </c>
      <c r="AU183" s="20">
        <f t="shared" si="311"/>
        <v>0</v>
      </c>
      <c r="AV183" s="20">
        <f t="shared" si="312"/>
        <v>0</v>
      </c>
      <c r="AW183" s="199">
        <f t="shared" si="313"/>
        <v>1</v>
      </c>
      <c r="AX183" s="24">
        <f t="shared" si="314"/>
        <v>0</v>
      </c>
      <c r="AY183" s="5">
        <f t="shared" si="315"/>
        <v>0</v>
      </c>
      <c r="AZ183" s="5">
        <f t="shared" si="316"/>
        <v>0</v>
      </c>
      <c r="BA183" s="5">
        <f t="shared" si="317"/>
        <v>0.27</v>
      </c>
      <c r="BB183" s="5">
        <f t="shared" si="318"/>
        <v>0.27</v>
      </c>
      <c r="BC183" s="5">
        <f t="shared" si="319"/>
        <v>0.27</v>
      </c>
      <c r="BD183" s="5">
        <f t="shared" si="320"/>
        <v>0.27</v>
      </c>
      <c r="BE183" s="199">
        <f t="shared" si="321"/>
        <v>0.27</v>
      </c>
      <c r="BF183" s="21">
        <f t="shared" si="322"/>
        <v>1</v>
      </c>
      <c r="BG183" s="6">
        <f t="shared" si="323"/>
        <v>0</v>
      </c>
      <c r="BH183" s="5">
        <f t="shared" si="324"/>
        <v>0</v>
      </c>
      <c r="BI183" s="6">
        <f t="shared" si="325"/>
        <v>0</v>
      </c>
      <c r="BJ183" s="5">
        <f t="shared" si="326"/>
        <v>0</v>
      </c>
      <c r="BK183" s="20">
        <f t="shared" si="327"/>
        <v>-9.9999999999999998E-13</v>
      </c>
      <c r="BL183" s="20">
        <f t="shared" si="328"/>
        <v>0</v>
      </c>
      <c r="BM183" s="6">
        <f t="shared" si="329"/>
        <v>0</v>
      </c>
      <c r="BN183" s="5">
        <f t="shared" si="330"/>
        <v>0</v>
      </c>
      <c r="BO183" s="333">
        <f t="shared" si="331"/>
        <v>0</v>
      </c>
      <c r="BP183" s="334">
        <f t="shared" si="332"/>
        <v>0</v>
      </c>
      <c r="BQ183" s="6">
        <f t="shared" si="333"/>
        <v>0</v>
      </c>
      <c r="BR183" s="5">
        <f t="shared" si="334"/>
        <v>0</v>
      </c>
      <c r="BS183" s="6">
        <f t="shared" si="335"/>
        <v>6</v>
      </c>
      <c r="BT183" s="5">
        <f t="shared" si="336"/>
        <v>6</v>
      </c>
      <c r="BU183" s="181">
        <f t="shared" si="337"/>
        <v>0</v>
      </c>
      <c r="BV183" s="154">
        <f t="shared" si="338"/>
        <v>0</v>
      </c>
      <c r="BW183" s="181">
        <f t="shared" si="339"/>
        <v>0</v>
      </c>
      <c r="BX183" s="180">
        <f t="shared" si="340"/>
        <v>0</v>
      </c>
      <c r="BY183" s="181">
        <f t="shared" si="341"/>
        <v>0</v>
      </c>
      <c r="BZ183" s="154">
        <f t="shared" si="342"/>
        <v>0</v>
      </c>
      <c r="CA183" s="182">
        <f t="shared" si="343"/>
        <v>0</v>
      </c>
      <c r="CB183" s="2">
        <f t="shared" si="344"/>
        <v>0</v>
      </c>
      <c r="CC183" s="2">
        <f t="shared" si="345"/>
        <v>0</v>
      </c>
      <c r="CD183" s="2">
        <f t="shared" si="346"/>
        <v>0</v>
      </c>
      <c r="CE183" s="2">
        <f t="shared" si="347"/>
        <v>0</v>
      </c>
      <c r="CF183" s="6">
        <f t="shared" si="348"/>
        <v>0</v>
      </c>
      <c r="CG183" s="6">
        <f t="shared" si="349"/>
        <v>40.980000000000004</v>
      </c>
      <c r="CH183" s="6">
        <f t="shared" si="350"/>
        <v>27</v>
      </c>
      <c r="CI183" s="20">
        <f t="shared" si="351"/>
        <v>0.65885797950219616</v>
      </c>
      <c r="CJ183" s="133">
        <f t="shared" si="352"/>
        <v>2521</v>
      </c>
      <c r="CK183" s="5">
        <f t="shared" si="353"/>
        <v>7.7</v>
      </c>
      <c r="CL183" s="302" t="s">
        <v>1235</v>
      </c>
      <c r="CM183" s="298" t="s">
        <v>13</v>
      </c>
      <c r="CN183" s="298" t="s">
        <v>1164</v>
      </c>
      <c r="CO183" s="298">
        <v>17</v>
      </c>
      <c r="CP183" s="298" t="s">
        <v>1549</v>
      </c>
      <c r="CQ183" s="298" t="s">
        <v>1131</v>
      </c>
      <c r="CR183" s="298" t="s">
        <v>644</v>
      </c>
      <c r="CS183" s="298" t="s">
        <v>760</v>
      </c>
      <c r="CT183" s="298" t="s">
        <v>549</v>
      </c>
      <c r="CU183" s="299">
        <v>47118</v>
      </c>
      <c r="CV183" s="298">
        <v>1</v>
      </c>
      <c r="CW183" s="298">
        <v>90</v>
      </c>
      <c r="CX183" s="298">
        <v>0</v>
      </c>
      <c r="CY183" s="298">
        <v>1</v>
      </c>
      <c r="CZ183" s="298">
        <v>0</v>
      </c>
      <c r="DA183" s="298">
        <v>0</v>
      </c>
      <c r="DB183" s="298">
        <v>0</v>
      </c>
      <c r="DC183" s="298">
        <v>0</v>
      </c>
      <c r="DD183" s="298">
        <v>6</v>
      </c>
      <c r="DE183" s="298">
        <v>1</v>
      </c>
      <c r="DF183" s="298">
        <v>0</v>
      </c>
      <c r="DG183" s="298">
        <v>0</v>
      </c>
      <c r="DH183" s="298">
        <v>0</v>
      </c>
      <c r="DI183" s="298">
        <v>0</v>
      </c>
      <c r="DJ183" s="298">
        <v>0</v>
      </c>
      <c r="DK183" s="298">
        <v>0</v>
      </c>
      <c r="DL183" s="298">
        <v>30</v>
      </c>
      <c r="DM183" s="298">
        <v>26</v>
      </c>
      <c r="DN183" s="298" t="s">
        <v>1550</v>
      </c>
      <c r="DO183" s="298">
        <v>0</v>
      </c>
      <c r="DP183" s="298">
        <v>0</v>
      </c>
      <c r="DQ183" s="298">
        <v>0</v>
      </c>
      <c r="DR183" s="298">
        <v>0</v>
      </c>
      <c r="DS183" s="298">
        <v>0</v>
      </c>
      <c r="DT183" s="298">
        <v>0</v>
      </c>
      <c r="DU183" s="298">
        <v>0</v>
      </c>
      <c r="DV183" s="303">
        <v>7.7</v>
      </c>
    </row>
    <row r="184" spans="1:126" ht="24.95" customHeight="1" thickBot="1" x14ac:dyDescent="0.3">
      <c r="A184" s="29" t="str">
        <f t="shared" si="265"/>
        <v>183º</v>
      </c>
      <c r="B184" s="69" t="str">
        <f t="shared" si="267"/>
        <v>Marcos Antônio</v>
      </c>
      <c r="C184" s="269" t="str">
        <f t="shared" si="268"/>
        <v>BRA</v>
      </c>
      <c r="D184" s="99" t="str">
        <f t="shared" si="269"/>
        <v>Pé Direito</v>
      </c>
      <c r="E184" s="28" t="str">
        <f t="shared" si="270"/>
        <v>ATG</v>
      </c>
      <c r="F184" s="169">
        <f t="shared" si="271"/>
        <v>17</v>
      </c>
      <c r="G184" s="2" t="str">
        <f t="shared" si="272"/>
        <v>14m € - 130m €</v>
      </c>
      <c r="H184" s="154">
        <f t="shared" si="273"/>
        <v>1.81</v>
      </c>
      <c r="I184" s="64">
        <f t="shared" si="274"/>
        <v>47483</v>
      </c>
      <c r="J184" s="304" t="str">
        <f t="shared" si="275"/>
        <v>500 € p/m</v>
      </c>
      <c r="K184" s="96">
        <f t="shared" si="266"/>
        <v>3.5222222222222221</v>
      </c>
      <c r="L184" s="146">
        <f t="shared" si="276"/>
        <v>0</v>
      </c>
      <c r="M184" s="6">
        <f t="shared" si="277"/>
        <v>0</v>
      </c>
      <c r="N184" s="5">
        <f t="shared" si="278"/>
        <v>5400</v>
      </c>
      <c r="O184" s="21">
        <f t="shared" si="279"/>
        <v>0</v>
      </c>
      <c r="P184" s="2">
        <f t="shared" si="280"/>
        <v>0</v>
      </c>
      <c r="Q184" s="2">
        <f t="shared" si="281"/>
        <v>0</v>
      </c>
      <c r="R184" s="5">
        <f t="shared" si="282"/>
        <v>0</v>
      </c>
      <c r="S184" s="2">
        <f t="shared" si="283"/>
        <v>0</v>
      </c>
      <c r="T184" s="2">
        <f t="shared" si="284"/>
        <v>0</v>
      </c>
      <c r="U184" s="102">
        <f t="shared" si="285"/>
        <v>0</v>
      </c>
      <c r="V184" s="102">
        <f t="shared" si="286"/>
        <v>0</v>
      </c>
      <c r="W184" s="6">
        <f t="shared" si="287"/>
        <v>0</v>
      </c>
      <c r="X184" s="5">
        <f t="shared" si="288"/>
        <v>0</v>
      </c>
      <c r="Y184" s="6">
        <f t="shared" si="289"/>
        <v>0</v>
      </c>
      <c r="Z184" s="5" t="e">
        <f t="shared" si="290"/>
        <v>#DIV/0!</v>
      </c>
      <c r="AA184" s="21">
        <f t="shared" si="291"/>
        <v>0</v>
      </c>
      <c r="AB184" s="6">
        <f t="shared" si="292"/>
        <v>0</v>
      </c>
      <c r="AC184" s="5" t="e">
        <f t="shared" si="293"/>
        <v>#DIV/0!</v>
      </c>
      <c r="AD184" s="6">
        <f t="shared" si="294"/>
        <v>0</v>
      </c>
      <c r="AE184" s="5">
        <f t="shared" si="295"/>
        <v>0</v>
      </c>
      <c r="AF184" s="21">
        <f t="shared" si="296"/>
        <v>0</v>
      </c>
      <c r="AG184" s="6">
        <f t="shared" si="297"/>
        <v>0</v>
      </c>
      <c r="AH184" s="5">
        <f t="shared" si="298"/>
        <v>0</v>
      </c>
      <c r="AI184" s="21">
        <f t="shared" si="299"/>
        <v>0</v>
      </c>
      <c r="AJ184" s="6">
        <f t="shared" si="300"/>
        <v>0</v>
      </c>
      <c r="AK184" s="5">
        <f t="shared" si="301"/>
        <v>0</v>
      </c>
      <c r="AL184" s="21">
        <f t="shared" si="302"/>
        <v>0</v>
      </c>
      <c r="AM184" s="21">
        <f t="shared" si="303"/>
        <v>0</v>
      </c>
      <c r="AN184" s="6">
        <f t="shared" si="304"/>
        <v>0</v>
      </c>
      <c r="AO184" s="5">
        <f t="shared" si="305"/>
        <v>0</v>
      </c>
      <c r="AP184" s="6">
        <f t="shared" si="306"/>
        <v>0</v>
      </c>
      <c r="AQ184" s="5">
        <f t="shared" si="307"/>
        <v>0</v>
      </c>
      <c r="AR184" s="2">
        <f t="shared" si="308"/>
        <v>0</v>
      </c>
      <c r="AS184" s="5">
        <f t="shared" si="309"/>
        <v>0</v>
      </c>
      <c r="AT184" s="21">
        <f t="shared" si="310"/>
        <v>0</v>
      </c>
      <c r="AU184" s="20">
        <f t="shared" si="311"/>
        <v>0</v>
      </c>
      <c r="AV184" s="20">
        <f t="shared" si="312"/>
        <v>1</v>
      </c>
      <c r="AW184" s="199">
        <f t="shared" si="313"/>
        <v>0</v>
      </c>
      <c r="AX184" s="24">
        <f t="shared" si="314"/>
        <v>0</v>
      </c>
      <c r="AY184" s="5">
        <f t="shared" si="315"/>
        <v>0</v>
      </c>
      <c r="AZ184" s="5">
        <f t="shared" si="316"/>
        <v>0</v>
      </c>
      <c r="BA184" s="5">
        <f t="shared" si="317"/>
        <v>0</v>
      </c>
      <c r="BB184" s="5">
        <f t="shared" si="318"/>
        <v>0</v>
      </c>
      <c r="BC184" s="5">
        <f t="shared" si="319"/>
        <v>0</v>
      </c>
      <c r="BD184" s="5">
        <f t="shared" si="320"/>
        <v>0</v>
      </c>
      <c r="BE184" s="199">
        <f t="shared" si="321"/>
        <v>0</v>
      </c>
      <c r="BF184" s="21">
        <f t="shared" si="322"/>
        <v>0</v>
      </c>
      <c r="BG184" s="6">
        <f t="shared" si="323"/>
        <v>0</v>
      </c>
      <c r="BH184" s="5" t="e">
        <f t="shared" si="324"/>
        <v>#DIV/0!</v>
      </c>
      <c r="BI184" s="6">
        <f t="shared" si="325"/>
        <v>0</v>
      </c>
      <c r="BJ184" s="5" t="e">
        <f t="shared" si="326"/>
        <v>#DIV/0!</v>
      </c>
      <c r="BK184" s="20">
        <f t="shared" si="327"/>
        <v>-9.9999999999999998E-13</v>
      </c>
      <c r="BL184" s="20">
        <f t="shared" si="328"/>
        <v>0</v>
      </c>
      <c r="BM184" s="6">
        <f t="shared" si="329"/>
        <v>0</v>
      </c>
      <c r="BN184" s="5">
        <f t="shared" si="330"/>
        <v>0</v>
      </c>
      <c r="BO184" s="333">
        <f t="shared" si="331"/>
        <v>0</v>
      </c>
      <c r="BP184" s="334">
        <f t="shared" si="332"/>
        <v>0</v>
      </c>
      <c r="BQ184" s="6">
        <f t="shared" si="333"/>
        <v>0</v>
      </c>
      <c r="BR184" s="5">
        <f t="shared" si="334"/>
        <v>0</v>
      </c>
      <c r="BS184" s="6">
        <f t="shared" si="335"/>
        <v>0</v>
      </c>
      <c r="BT184" s="5">
        <f t="shared" si="336"/>
        <v>0</v>
      </c>
      <c r="BU184" s="181">
        <f t="shared" si="337"/>
        <v>0</v>
      </c>
      <c r="BV184" s="154">
        <f t="shared" si="338"/>
        <v>0</v>
      </c>
      <c r="BW184" s="181">
        <f t="shared" si="339"/>
        <v>0</v>
      </c>
      <c r="BX184" s="180">
        <f t="shared" si="340"/>
        <v>0</v>
      </c>
      <c r="BY184" s="181">
        <f t="shared" si="341"/>
        <v>0</v>
      </c>
      <c r="BZ184" s="154">
        <f t="shared" si="342"/>
        <v>0</v>
      </c>
      <c r="CA184" s="182">
        <f t="shared" si="343"/>
        <v>0</v>
      </c>
      <c r="CB184" s="2">
        <f t="shared" si="344"/>
        <v>0</v>
      </c>
      <c r="CC184" s="2">
        <f t="shared" si="345"/>
        <v>0</v>
      </c>
      <c r="CD184" s="2">
        <f t="shared" si="346"/>
        <v>0</v>
      </c>
      <c r="CE184" s="2">
        <f t="shared" si="347"/>
        <v>0</v>
      </c>
      <c r="CF184" s="6">
        <f t="shared" si="348"/>
        <v>0</v>
      </c>
      <c r="CG184" s="6">
        <f t="shared" si="349"/>
        <v>0</v>
      </c>
      <c r="CH184" s="6">
        <f t="shared" si="350"/>
        <v>0</v>
      </c>
      <c r="CI184" s="20">
        <f t="shared" si="351"/>
        <v>0</v>
      </c>
      <c r="CJ184" s="133">
        <f t="shared" si="352"/>
        <v>2521</v>
      </c>
      <c r="CK184" s="5">
        <f t="shared" si="353"/>
        <v>0</v>
      </c>
      <c r="CL184" s="300" t="s">
        <v>1235</v>
      </c>
      <c r="CM184" s="296" t="s">
        <v>13</v>
      </c>
      <c r="CN184" s="296" t="s">
        <v>1467</v>
      </c>
      <c r="CO184" s="296">
        <v>17</v>
      </c>
      <c r="CP184" s="296" t="s">
        <v>1551</v>
      </c>
      <c r="CQ184" s="296" t="s">
        <v>1552</v>
      </c>
      <c r="CR184" s="296" t="s">
        <v>644</v>
      </c>
      <c r="CS184" s="296" t="s">
        <v>760</v>
      </c>
      <c r="CT184" s="296" t="s">
        <v>607</v>
      </c>
      <c r="CU184" s="297">
        <v>47483</v>
      </c>
      <c r="CV184" s="296">
        <v>0</v>
      </c>
      <c r="CW184" s="296">
        <v>0</v>
      </c>
      <c r="CX184" s="296">
        <v>0</v>
      </c>
      <c r="CY184" s="296">
        <v>0</v>
      </c>
      <c r="CZ184" s="296">
        <v>0</v>
      </c>
      <c r="DA184" s="296">
        <v>0</v>
      </c>
      <c r="DB184" s="296">
        <v>0</v>
      </c>
      <c r="DC184" s="296">
        <v>0</v>
      </c>
      <c r="DD184" s="296">
        <v>0</v>
      </c>
      <c r="DE184" s="296">
        <v>0</v>
      </c>
      <c r="DF184" s="296">
        <v>0</v>
      </c>
      <c r="DG184" s="296">
        <v>0</v>
      </c>
      <c r="DH184" s="296">
        <v>0</v>
      </c>
      <c r="DI184" s="296">
        <v>0</v>
      </c>
      <c r="DJ184" s="296">
        <v>0</v>
      </c>
      <c r="DK184" s="296">
        <v>0</v>
      </c>
      <c r="DL184" s="296">
        <v>0</v>
      </c>
      <c r="DM184" s="296">
        <v>0</v>
      </c>
      <c r="DN184" s="296">
        <v>0</v>
      </c>
      <c r="DO184" s="296">
        <v>0</v>
      </c>
      <c r="DP184" s="296">
        <v>0</v>
      </c>
      <c r="DQ184" s="296">
        <v>0</v>
      </c>
      <c r="DR184" s="296">
        <v>0</v>
      </c>
      <c r="DS184" s="296">
        <v>0</v>
      </c>
      <c r="DT184" s="296">
        <v>0</v>
      </c>
      <c r="DU184" s="296">
        <v>0</v>
      </c>
      <c r="DV184" s="301" t="s">
        <v>548</v>
      </c>
    </row>
    <row r="185" spans="1:126" ht="24.95" customHeight="1" thickBot="1" x14ac:dyDescent="0.3">
      <c r="A185" s="29" t="str">
        <f t="shared" si="265"/>
        <v>184º</v>
      </c>
      <c r="B185" s="69" t="str">
        <f t="shared" si="267"/>
        <v>Gustavo</v>
      </c>
      <c r="C185" s="269" t="str">
        <f t="shared" si="268"/>
        <v>BRA</v>
      </c>
      <c r="D185" s="99" t="str">
        <f t="shared" si="269"/>
        <v>Pé Esquerdo</v>
      </c>
      <c r="E185" s="28" t="str">
        <f t="shared" si="270"/>
        <v>ALA</v>
      </c>
      <c r="F185" s="169">
        <f t="shared" si="271"/>
        <v>17</v>
      </c>
      <c r="G185" s="2" t="str">
        <f t="shared" si="272"/>
        <v>0 €</v>
      </c>
      <c r="H185" s="154">
        <f t="shared" si="273"/>
        <v>1.86</v>
      </c>
      <c r="I185" s="64">
        <f t="shared" si="274"/>
        <v>47483</v>
      </c>
      <c r="J185" s="304" t="str">
        <f t="shared" si="275"/>
        <v>500 € p/m</v>
      </c>
      <c r="K185" s="96">
        <f t="shared" si="266"/>
        <v>3.5222222222222221</v>
      </c>
      <c r="L185" s="146">
        <f t="shared" si="276"/>
        <v>0</v>
      </c>
      <c r="M185" s="6">
        <f t="shared" si="277"/>
        <v>0</v>
      </c>
      <c r="N185" s="5">
        <f t="shared" si="278"/>
        <v>5400</v>
      </c>
      <c r="O185" s="21">
        <f t="shared" si="279"/>
        <v>0</v>
      </c>
      <c r="P185" s="2">
        <f t="shared" si="280"/>
        <v>0</v>
      </c>
      <c r="Q185" s="2">
        <f t="shared" si="281"/>
        <v>0</v>
      </c>
      <c r="R185" s="5">
        <f t="shared" si="282"/>
        <v>0</v>
      </c>
      <c r="S185" s="2">
        <f t="shared" si="283"/>
        <v>0</v>
      </c>
      <c r="T185" s="2">
        <f t="shared" si="284"/>
        <v>0</v>
      </c>
      <c r="U185" s="102">
        <f t="shared" si="285"/>
        <v>0</v>
      </c>
      <c r="V185" s="102">
        <f t="shared" si="286"/>
        <v>0</v>
      </c>
      <c r="W185" s="6">
        <f t="shared" si="287"/>
        <v>0</v>
      </c>
      <c r="X185" s="5">
        <f t="shared" si="288"/>
        <v>0</v>
      </c>
      <c r="Y185" s="6">
        <f t="shared" si="289"/>
        <v>0</v>
      </c>
      <c r="Z185" s="5" t="e">
        <f t="shared" si="290"/>
        <v>#DIV/0!</v>
      </c>
      <c r="AA185" s="21">
        <f t="shared" si="291"/>
        <v>0</v>
      </c>
      <c r="AB185" s="6">
        <f t="shared" si="292"/>
        <v>0</v>
      </c>
      <c r="AC185" s="5" t="e">
        <f t="shared" si="293"/>
        <v>#DIV/0!</v>
      </c>
      <c r="AD185" s="6">
        <f t="shared" si="294"/>
        <v>0</v>
      </c>
      <c r="AE185" s="5">
        <f t="shared" si="295"/>
        <v>0</v>
      </c>
      <c r="AF185" s="21">
        <f t="shared" si="296"/>
        <v>0</v>
      </c>
      <c r="AG185" s="6">
        <f t="shared" si="297"/>
        <v>0</v>
      </c>
      <c r="AH185" s="5">
        <f t="shared" si="298"/>
        <v>0</v>
      </c>
      <c r="AI185" s="21">
        <f t="shared" si="299"/>
        <v>0</v>
      </c>
      <c r="AJ185" s="6">
        <f t="shared" si="300"/>
        <v>0</v>
      </c>
      <c r="AK185" s="5">
        <f t="shared" si="301"/>
        <v>0</v>
      </c>
      <c r="AL185" s="21">
        <f t="shared" si="302"/>
        <v>0</v>
      </c>
      <c r="AM185" s="21">
        <f t="shared" si="303"/>
        <v>0</v>
      </c>
      <c r="AN185" s="6">
        <f t="shared" si="304"/>
        <v>0</v>
      </c>
      <c r="AO185" s="5">
        <f t="shared" si="305"/>
        <v>0</v>
      </c>
      <c r="AP185" s="6">
        <f t="shared" si="306"/>
        <v>0</v>
      </c>
      <c r="AQ185" s="5">
        <f t="shared" si="307"/>
        <v>0</v>
      </c>
      <c r="AR185" s="2">
        <f t="shared" si="308"/>
        <v>0</v>
      </c>
      <c r="AS185" s="5">
        <f t="shared" si="309"/>
        <v>0</v>
      </c>
      <c r="AT185" s="21">
        <f t="shared" si="310"/>
        <v>0</v>
      </c>
      <c r="AU185" s="20">
        <f t="shared" si="311"/>
        <v>0</v>
      </c>
      <c r="AV185" s="20">
        <f t="shared" si="312"/>
        <v>1</v>
      </c>
      <c r="AW185" s="199">
        <f t="shared" si="313"/>
        <v>0</v>
      </c>
      <c r="AX185" s="24">
        <f t="shared" si="314"/>
        <v>0</v>
      </c>
      <c r="AY185" s="5">
        <f t="shared" si="315"/>
        <v>0</v>
      </c>
      <c r="AZ185" s="5">
        <f t="shared" si="316"/>
        <v>0</v>
      </c>
      <c r="BA185" s="5">
        <f t="shared" si="317"/>
        <v>0</v>
      </c>
      <c r="BB185" s="5">
        <f t="shared" si="318"/>
        <v>0</v>
      </c>
      <c r="BC185" s="5">
        <f t="shared" si="319"/>
        <v>0</v>
      </c>
      <c r="BD185" s="5">
        <f t="shared" si="320"/>
        <v>0</v>
      </c>
      <c r="BE185" s="199">
        <f t="shared" si="321"/>
        <v>0</v>
      </c>
      <c r="BF185" s="21">
        <f t="shared" si="322"/>
        <v>0</v>
      </c>
      <c r="BG185" s="6">
        <f t="shared" si="323"/>
        <v>0</v>
      </c>
      <c r="BH185" s="5" t="e">
        <f t="shared" si="324"/>
        <v>#DIV/0!</v>
      </c>
      <c r="BI185" s="6">
        <f t="shared" si="325"/>
        <v>0</v>
      </c>
      <c r="BJ185" s="5" t="e">
        <f t="shared" si="326"/>
        <v>#DIV/0!</v>
      </c>
      <c r="BK185" s="20">
        <f t="shared" si="327"/>
        <v>-9.9999999999999998E-13</v>
      </c>
      <c r="BL185" s="20">
        <f t="shared" si="328"/>
        <v>0</v>
      </c>
      <c r="BM185" s="6">
        <f t="shared" si="329"/>
        <v>0</v>
      </c>
      <c r="BN185" s="5">
        <f t="shared" si="330"/>
        <v>0</v>
      </c>
      <c r="BO185" s="333">
        <f t="shared" si="331"/>
        <v>0</v>
      </c>
      <c r="BP185" s="334">
        <f t="shared" si="332"/>
        <v>0</v>
      </c>
      <c r="BQ185" s="6">
        <f t="shared" si="333"/>
        <v>0</v>
      </c>
      <c r="BR185" s="5">
        <f t="shared" si="334"/>
        <v>0</v>
      </c>
      <c r="BS185" s="6">
        <f t="shared" si="335"/>
        <v>0</v>
      </c>
      <c r="BT185" s="5">
        <f t="shared" si="336"/>
        <v>0</v>
      </c>
      <c r="BU185" s="181">
        <f t="shared" si="337"/>
        <v>0</v>
      </c>
      <c r="BV185" s="154">
        <f t="shared" si="338"/>
        <v>0</v>
      </c>
      <c r="BW185" s="181">
        <f t="shared" si="339"/>
        <v>0</v>
      </c>
      <c r="BX185" s="180">
        <f t="shared" si="340"/>
        <v>0</v>
      </c>
      <c r="BY185" s="181">
        <f t="shared" si="341"/>
        <v>0</v>
      </c>
      <c r="BZ185" s="154">
        <f t="shared" si="342"/>
        <v>0</v>
      </c>
      <c r="CA185" s="182">
        <f t="shared" si="343"/>
        <v>0</v>
      </c>
      <c r="CB185" s="2">
        <f t="shared" si="344"/>
        <v>0</v>
      </c>
      <c r="CC185" s="2">
        <f t="shared" si="345"/>
        <v>0</v>
      </c>
      <c r="CD185" s="2">
        <f t="shared" si="346"/>
        <v>0</v>
      </c>
      <c r="CE185" s="2">
        <f t="shared" si="347"/>
        <v>0</v>
      </c>
      <c r="CF185" s="6">
        <f t="shared" si="348"/>
        <v>0</v>
      </c>
      <c r="CG185" s="6">
        <f t="shared" si="349"/>
        <v>0</v>
      </c>
      <c r="CH185" s="6">
        <f t="shared" si="350"/>
        <v>0</v>
      </c>
      <c r="CI185" s="20">
        <f t="shared" si="351"/>
        <v>0</v>
      </c>
      <c r="CJ185" s="133">
        <f t="shared" si="352"/>
        <v>2521</v>
      </c>
      <c r="CK185" s="5">
        <f t="shared" si="353"/>
        <v>0</v>
      </c>
      <c r="CL185" s="302" t="s">
        <v>1235</v>
      </c>
      <c r="CM185" s="298" t="s">
        <v>13</v>
      </c>
      <c r="CN185" s="298" t="s">
        <v>1553</v>
      </c>
      <c r="CO185" s="298">
        <v>17</v>
      </c>
      <c r="CP185" s="298" t="s">
        <v>1495</v>
      </c>
      <c r="CQ185" s="298" t="s">
        <v>1131</v>
      </c>
      <c r="CR185" s="298" t="s">
        <v>652</v>
      </c>
      <c r="CS185" s="298" t="s">
        <v>760</v>
      </c>
      <c r="CT185" s="298" t="s">
        <v>575</v>
      </c>
      <c r="CU185" s="299">
        <v>47483</v>
      </c>
      <c r="CV185" s="298">
        <v>0</v>
      </c>
      <c r="CW185" s="298">
        <v>0</v>
      </c>
      <c r="CX185" s="298">
        <v>0</v>
      </c>
      <c r="CY185" s="298">
        <v>0</v>
      </c>
      <c r="CZ185" s="298">
        <v>0</v>
      </c>
      <c r="DA185" s="298">
        <v>0</v>
      </c>
      <c r="DB185" s="298">
        <v>0</v>
      </c>
      <c r="DC185" s="298">
        <v>0</v>
      </c>
      <c r="DD185" s="298">
        <v>0</v>
      </c>
      <c r="DE185" s="298">
        <v>0</v>
      </c>
      <c r="DF185" s="298">
        <v>0</v>
      </c>
      <c r="DG185" s="298">
        <v>0</v>
      </c>
      <c r="DH185" s="298">
        <v>0</v>
      </c>
      <c r="DI185" s="298">
        <v>0</v>
      </c>
      <c r="DJ185" s="298">
        <v>0</v>
      </c>
      <c r="DK185" s="298">
        <v>0</v>
      </c>
      <c r="DL185" s="298">
        <v>0</v>
      </c>
      <c r="DM185" s="298">
        <v>0</v>
      </c>
      <c r="DN185" s="298">
        <v>0</v>
      </c>
      <c r="DO185" s="298">
        <v>0</v>
      </c>
      <c r="DP185" s="298">
        <v>0</v>
      </c>
      <c r="DQ185" s="298">
        <v>0</v>
      </c>
      <c r="DR185" s="298">
        <v>0</v>
      </c>
      <c r="DS185" s="298">
        <v>0</v>
      </c>
      <c r="DT185" s="298">
        <v>0</v>
      </c>
      <c r="DU185" s="298">
        <v>0</v>
      </c>
      <c r="DV185" s="303" t="s">
        <v>548</v>
      </c>
    </row>
    <row r="186" spans="1:126" ht="24.95" customHeight="1" thickBot="1" x14ac:dyDescent="0.3">
      <c r="A186" s="29" t="str">
        <f t="shared" si="265"/>
        <v>185º</v>
      </c>
      <c r="B186" s="69" t="str">
        <f t="shared" si="267"/>
        <v>Bartolomeu</v>
      </c>
      <c r="C186" s="269" t="str">
        <f t="shared" si="268"/>
        <v>BRA</v>
      </c>
      <c r="D186" s="99" t="str">
        <f t="shared" si="269"/>
        <v>Pé Direito</v>
      </c>
      <c r="E186" s="28" t="str">
        <f t="shared" si="270"/>
        <v>BRP</v>
      </c>
      <c r="F186" s="169">
        <f t="shared" si="271"/>
        <v>16</v>
      </c>
      <c r="G186" s="2" t="str">
        <f t="shared" si="272"/>
        <v>0 €</v>
      </c>
      <c r="H186" s="154">
        <f t="shared" si="273"/>
        <v>1.79</v>
      </c>
      <c r="I186" s="64">
        <f t="shared" si="274"/>
        <v>47118</v>
      </c>
      <c r="J186" s="304" t="str">
        <f t="shared" si="275"/>
        <v>500 € p/m</v>
      </c>
      <c r="K186" s="96">
        <f t="shared" si="266"/>
        <v>3.5222222222222221</v>
      </c>
      <c r="L186" s="146">
        <f t="shared" si="276"/>
        <v>0</v>
      </c>
      <c r="M186" s="6">
        <f t="shared" si="277"/>
        <v>0</v>
      </c>
      <c r="N186" s="5">
        <f t="shared" si="278"/>
        <v>5400</v>
      </c>
      <c r="O186" s="21">
        <f t="shared" si="279"/>
        <v>0</v>
      </c>
      <c r="P186" s="2">
        <f t="shared" si="280"/>
        <v>0</v>
      </c>
      <c r="Q186" s="2">
        <f t="shared" si="281"/>
        <v>0</v>
      </c>
      <c r="R186" s="5">
        <f t="shared" si="282"/>
        <v>0</v>
      </c>
      <c r="S186" s="2">
        <f t="shared" si="283"/>
        <v>0</v>
      </c>
      <c r="T186" s="2">
        <f t="shared" si="284"/>
        <v>0</v>
      </c>
      <c r="U186" s="102">
        <f t="shared" si="285"/>
        <v>0</v>
      </c>
      <c r="V186" s="102">
        <f t="shared" si="286"/>
        <v>0</v>
      </c>
      <c r="W186" s="6">
        <f t="shared" si="287"/>
        <v>0</v>
      </c>
      <c r="X186" s="5">
        <f t="shared" si="288"/>
        <v>0</v>
      </c>
      <c r="Y186" s="6">
        <f t="shared" si="289"/>
        <v>0</v>
      </c>
      <c r="Z186" s="5" t="e">
        <f t="shared" si="290"/>
        <v>#DIV/0!</v>
      </c>
      <c r="AA186" s="21">
        <f t="shared" si="291"/>
        <v>0</v>
      </c>
      <c r="AB186" s="6">
        <f t="shared" si="292"/>
        <v>0</v>
      </c>
      <c r="AC186" s="5" t="e">
        <f t="shared" si="293"/>
        <v>#DIV/0!</v>
      </c>
      <c r="AD186" s="6">
        <f t="shared" si="294"/>
        <v>0</v>
      </c>
      <c r="AE186" s="5">
        <f t="shared" si="295"/>
        <v>0</v>
      </c>
      <c r="AF186" s="21">
        <f t="shared" si="296"/>
        <v>0</v>
      </c>
      <c r="AG186" s="6">
        <f t="shared" si="297"/>
        <v>0</v>
      </c>
      <c r="AH186" s="5">
        <f t="shared" si="298"/>
        <v>0</v>
      </c>
      <c r="AI186" s="21">
        <f t="shared" si="299"/>
        <v>0</v>
      </c>
      <c r="AJ186" s="6">
        <f t="shared" si="300"/>
        <v>0</v>
      </c>
      <c r="AK186" s="5">
        <f t="shared" si="301"/>
        <v>0</v>
      </c>
      <c r="AL186" s="21">
        <f t="shared" si="302"/>
        <v>0</v>
      </c>
      <c r="AM186" s="21">
        <f t="shared" si="303"/>
        <v>0</v>
      </c>
      <c r="AN186" s="6">
        <f t="shared" si="304"/>
        <v>0</v>
      </c>
      <c r="AO186" s="5">
        <f t="shared" si="305"/>
        <v>0</v>
      </c>
      <c r="AP186" s="6">
        <f t="shared" si="306"/>
        <v>0</v>
      </c>
      <c r="AQ186" s="5">
        <f t="shared" si="307"/>
        <v>0</v>
      </c>
      <c r="AR186" s="2">
        <f t="shared" si="308"/>
        <v>0</v>
      </c>
      <c r="AS186" s="5">
        <f t="shared" si="309"/>
        <v>0</v>
      </c>
      <c r="AT186" s="21">
        <f t="shared" si="310"/>
        <v>0</v>
      </c>
      <c r="AU186" s="20">
        <f t="shared" si="311"/>
        <v>0</v>
      </c>
      <c r="AV186" s="20">
        <f t="shared" si="312"/>
        <v>1</v>
      </c>
      <c r="AW186" s="199">
        <f t="shared" si="313"/>
        <v>0</v>
      </c>
      <c r="AX186" s="24">
        <f t="shared" si="314"/>
        <v>0</v>
      </c>
      <c r="AY186" s="5">
        <f t="shared" si="315"/>
        <v>0</v>
      </c>
      <c r="AZ186" s="5">
        <f t="shared" si="316"/>
        <v>0</v>
      </c>
      <c r="BA186" s="5">
        <f t="shared" si="317"/>
        <v>0</v>
      </c>
      <c r="BB186" s="5">
        <f t="shared" si="318"/>
        <v>0</v>
      </c>
      <c r="BC186" s="5">
        <f t="shared" si="319"/>
        <v>0</v>
      </c>
      <c r="BD186" s="5">
        <f t="shared" si="320"/>
        <v>0</v>
      </c>
      <c r="BE186" s="199">
        <f t="shared" si="321"/>
        <v>0</v>
      </c>
      <c r="BF186" s="21">
        <f t="shared" si="322"/>
        <v>0</v>
      </c>
      <c r="BG186" s="6">
        <f t="shared" si="323"/>
        <v>0</v>
      </c>
      <c r="BH186" s="5" t="e">
        <f t="shared" si="324"/>
        <v>#DIV/0!</v>
      </c>
      <c r="BI186" s="6">
        <f t="shared" si="325"/>
        <v>0</v>
      </c>
      <c r="BJ186" s="5" t="e">
        <f t="shared" si="326"/>
        <v>#DIV/0!</v>
      </c>
      <c r="BK186" s="20">
        <f t="shared" si="327"/>
        <v>-9.9999999999999998E-13</v>
      </c>
      <c r="BL186" s="20">
        <f t="shared" si="328"/>
        <v>0</v>
      </c>
      <c r="BM186" s="6">
        <f t="shared" si="329"/>
        <v>0</v>
      </c>
      <c r="BN186" s="5">
        <f t="shared" si="330"/>
        <v>0</v>
      </c>
      <c r="BO186" s="333">
        <f t="shared" si="331"/>
        <v>0</v>
      </c>
      <c r="BP186" s="334">
        <f t="shared" si="332"/>
        <v>0</v>
      </c>
      <c r="BQ186" s="6">
        <f t="shared" si="333"/>
        <v>0</v>
      </c>
      <c r="BR186" s="5">
        <f t="shared" si="334"/>
        <v>0</v>
      </c>
      <c r="BS186" s="6">
        <f t="shared" si="335"/>
        <v>0</v>
      </c>
      <c r="BT186" s="5">
        <f t="shared" si="336"/>
        <v>0</v>
      </c>
      <c r="BU186" s="181">
        <f t="shared" si="337"/>
        <v>0</v>
      </c>
      <c r="BV186" s="154">
        <f t="shared" si="338"/>
        <v>0</v>
      </c>
      <c r="BW186" s="181">
        <f t="shared" si="339"/>
        <v>0</v>
      </c>
      <c r="BX186" s="180">
        <f t="shared" si="340"/>
        <v>0</v>
      </c>
      <c r="BY186" s="181">
        <f t="shared" si="341"/>
        <v>0</v>
      </c>
      <c r="BZ186" s="154">
        <f t="shared" si="342"/>
        <v>0</v>
      </c>
      <c r="CA186" s="182">
        <f t="shared" si="343"/>
        <v>0</v>
      </c>
      <c r="CB186" s="2">
        <f t="shared" si="344"/>
        <v>0</v>
      </c>
      <c r="CC186" s="2">
        <f t="shared" si="345"/>
        <v>0</v>
      </c>
      <c r="CD186" s="2">
        <f t="shared" si="346"/>
        <v>0</v>
      </c>
      <c r="CE186" s="2">
        <f t="shared" si="347"/>
        <v>0</v>
      </c>
      <c r="CF186" s="6">
        <f t="shared" si="348"/>
        <v>0</v>
      </c>
      <c r="CG186" s="6">
        <f t="shared" si="349"/>
        <v>0</v>
      </c>
      <c r="CH186" s="6">
        <f t="shared" si="350"/>
        <v>0</v>
      </c>
      <c r="CI186" s="20">
        <f t="shared" si="351"/>
        <v>0</v>
      </c>
      <c r="CJ186" s="133">
        <f t="shared" si="352"/>
        <v>2521</v>
      </c>
      <c r="CK186" s="5">
        <f t="shared" si="353"/>
        <v>0</v>
      </c>
      <c r="CL186" s="300" t="s">
        <v>19</v>
      </c>
      <c r="CM186" s="296" t="s">
        <v>13</v>
      </c>
      <c r="CN186" s="296" t="s">
        <v>1554</v>
      </c>
      <c r="CO186" s="296">
        <v>16</v>
      </c>
      <c r="CP186" s="296" t="s">
        <v>1555</v>
      </c>
      <c r="CQ186" s="296" t="s">
        <v>1131</v>
      </c>
      <c r="CR186" s="296" t="s">
        <v>644</v>
      </c>
      <c r="CS186" s="296" t="s">
        <v>760</v>
      </c>
      <c r="CT186" s="296" t="s">
        <v>617</v>
      </c>
      <c r="CU186" s="297">
        <v>47118</v>
      </c>
      <c r="CV186" s="296">
        <v>0</v>
      </c>
      <c r="CW186" s="296">
        <v>0</v>
      </c>
      <c r="CX186" s="296">
        <v>0</v>
      </c>
      <c r="CY186" s="296">
        <v>0</v>
      </c>
      <c r="CZ186" s="296">
        <v>0</v>
      </c>
      <c r="DA186" s="296">
        <v>0</v>
      </c>
      <c r="DB186" s="296">
        <v>0</v>
      </c>
      <c r="DC186" s="296">
        <v>0</v>
      </c>
      <c r="DD186" s="296">
        <v>0</v>
      </c>
      <c r="DE186" s="296">
        <v>0</v>
      </c>
      <c r="DF186" s="296">
        <v>0</v>
      </c>
      <c r="DG186" s="296">
        <v>0</v>
      </c>
      <c r="DH186" s="296">
        <v>0</v>
      </c>
      <c r="DI186" s="296">
        <v>0</v>
      </c>
      <c r="DJ186" s="296">
        <v>0</v>
      </c>
      <c r="DK186" s="296">
        <v>0</v>
      </c>
      <c r="DL186" s="296">
        <v>0</v>
      </c>
      <c r="DM186" s="296">
        <v>0</v>
      </c>
      <c r="DN186" s="296">
        <v>0</v>
      </c>
      <c r="DO186" s="296">
        <v>0</v>
      </c>
      <c r="DP186" s="296">
        <v>0</v>
      </c>
      <c r="DQ186" s="296">
        <v>0</v>
      </c>
      <c r="DR186" s="296">
        <v>0</v>
      </c>
      <c r="DS186" s="296">
        <v>0</v>
      </c>
      <c r="DT186" s="296">
        <v>0</v>
      </c>
      <c r="DU186" s="296">
        <v>0</v>
      </c>
      <c r="DV186" s="301" t="s">
        <v>548</v>
      </c>
    </row>
    <row r="187" spans="1:126" ht="24.95" customHeight="1" thickBot="1" x14ac:dyDescent="0.3">
      <c r="A187" s="29" t="str">
        <f t="shared" si="265"/>
        <v>186º</v>
      </c>
      <c r="B187" s="69" t="str">
        <f t="shared" si="267"/>
        <v>Márcio Alexandre</v>
      </c>
      <c r="C187" s="269" t="str">
        <f t="shared" si="268"/>
        <v>BRA</v>
      </c>
      <c r="D187" s="99" t="str">
        <f t="shared" si="269"/>
        <v>Pé Direito</v>
      </c>
      <c r="E187" s="28" t="str">
        <f t="shared" si="270"/>
        <v>BRU</v>
      </c>
      <c r="F187" s="169">
        <f t="shared" si="271"/>
        <v>17</v>
      </c>
      <c r="G187" s="2" t="str">
        <f t="shared" si="272"/>
        <v>0 €</v>
      </c>
      <c r="H187" s="154">
        <f t="shared" si="273"/>
        <v>1.96</v>
      </c>
      <c r="I187" s="64">
        <f t="shared" si="274"/>
        <v>47118</v>
      </c>
      <c r="J187" s="304" t="str">
        <f t="shared" si="275"/>
        <v>500 € p/m</v>
      </c>
      <c r="K187" s="96">
        <f t="shared" si="266"/>
        <v>3.5222222222222221</v>
      </c>
      <c r="L187" s="146">
        <f t="shared" si="276"/>
        <v>1</v>
      </c>
      <c r="M187" s="6">
        <f t="shared" si="277"/>
        <v>0</v>
      </c>
      <c r="N187" s="5">
        <f t="shared" si="278"/>
        <v>5400</v>
      </c>
      <c r="O187" s="21">
        <f t="shared" si="279"/>
        <v>0</v>
      </c>
      <c r="P187" s="2">
        <f t="shared" si="280"/>
        <v>30</v>
      </c>
      <c r="Q187" s="2">
        <f t="shared" si="281"/>
        <v>21</v>
      </c>
      <c r="R187" s="5">
        <f t="shared" si="282"/>
        <v>21</v>
      </c>
      <c r="S187" s="2">
        <f t="shared" si="283"/>
        <v>9</v>
      </c>
      <c r="T187" s="2">
        <f t="shared" si="284"/>
        <v>12</v>
      </c>
      <c r="U187" s="102">
        <f t="shared" si="285"/>
        <v>0.3</v>
      </c>
      <c r="V187" s="102">
        <f t="shared" si="286"/>
        <v>0.7</v>
      </c>
      <c r="W187" s="6">
        <f t="shared" si="287"/>
        <v>30</v>
      </c>
      <c r="X187" s="5">
        <f t="shared" si="288"/>
        <v>30</v>
      </c>
      <c r="Y187" s="6">
        <f t="shared" si="289"/>
        <v>0</v>
      </c>
      <c r="Z187" s="5">
        <f t="shared" si="290"/>
        <v>0</v>
      </c>
      <c r="AA187" s="21">
        <f t="shared" si="291"/>
        <v>0</v>
      </c>
      <c r="AB187" s="6">
        <f t="shared" si="292"/>
        <v>0</v>
      </c>
      <c r="AC187" s="5">
        <f t="shared" si="293"/>
        <v>0</v>
      </c>
      <c r="AD187" s="6">
        <f t="shared" si="294"/>
        <v>0</v>
      </c>
      <c r="AE187" s="5">
        <f t="shared" si="295"/>
        <v>0</v>
      </c>
      <c r="AF187" s="21">
        <f t="shared" si="296"/>
        <v>0</v>
      </c>
      <c r="AG187" s="6">
        <f t="shared" si="297"/>
        <v>1</v>
      </c>
      <c r="AH187" s="5">
        <f t="shared" si="298"/>
        <v>1</v>
      </c>
      <c r="AI187" s="21">
        <f t="shared" si="299"/>
        <v>1</v>
      </c>
      <c r="AJ187" s="6">
        <f t="shared" si="300"/>
        <v>0</v>
      </c>
      <c r="AK187" s="5">
        <f t="shared" si="301"/>
        <v>0</v>
      </c>
      <c r="AL187" s="21">
        <f t="shared" si="302"/>
        <v>0</v>
      </c>
      <c r="AM187" s="21">
        <f t="shared" si="303"/>
        <v>0</v>
      </c>
      <c r="AN187" s="6">
        <f t="shared" si="304"/>
        <v>0</v>
      </c>
      <c r="AO187" s="5">
        <f t="shared" si="305"/>
        <v>0</v>
      </c>
      <c r="AP187" s="6">
        <f t="shared" si="306"/>
        <v>1</v>
      </c>
      <c r="AQ187" s="5">
        <f t="shared" si="307"/>
        <v>1</v>
      </c>
      <c r="AR187" s="2">
        <f t="shared" si="308"/>
        <v>3</v>
      </c>
      <c r="AS187" s="5">
        <f t="shared" si="309"/>
        <v>3</v>
      </c>
      <c r="AT187" s="21">
        <f t="shared" si="310"/>
        <v>0.33333333333333331</v>
      </c>
      <c r="AU187" s="20">
        <f t="shared" si="311"/>
        <v>0.33333333333333331</v>
      </c>
      <c r="AV187" s="20">
        <f t="shared" si="312"/>
        <v>0.66666666666666663</v>
      </c>
      <c r="AW187" s="199">
        <f t="shared" si="313"/>
        <v>0.66666666666666663</v>
      </c>
      <c r="AX187" s="24">
        <f t="shared" si="314"/>
        <v>45</v>
      </c>
      <c r="AY187" s="5">
        <f t="shared" si="315"/>
        <v>1.5</v>
      </c>
      <c r="AZ187" s="5">
        <f t="shared" si="316"/>
        <v>1.5</v>
      </c>
      <c r="BA187" s="5">
        <f t="shared" si="317"/>
        <v>-0.86</v>
      </c>
      <c r="BB187" s="5">
        <f t="shared" si="318"/>
        <v>-0.86</v>
      </c>
      <c r="BC187" s="5">
        <f t="shared" si="319"/>
        <v>-0.86</v>
      </c>
      <c r="BD187" s="5">
        <f t="shared" si="320"/>
        <v>-0.86</v>
      </c>
      <c r="BE187" s="199">
        <f t="shared" si="321"/>
        <v>-0.86</v>
      </c>
      <c r="BF187" s="21">
        <f t="shared" si="322"/>
        <v>-0.7543859649122806</v>
      </c>
      <c r="BG187" s="6">
        <f t="shared" si="323"/>
        <v>1</v>
      </c>
      <c r="BH187" s="5">
        <f t="shared" si="324"/>
        <v>1</v>
      </c>
      <c r="BI187" s="6">
        <f t="shared" si="325"/>
        <v>0</v>
      </c>
      <c r="BJ187" s="5">
        <f t="shared" si="326"/>
        <v>0</v>
      </c>
      <c r="BK187" s="20">
        <f t="shared" si="327"/>
        <v>0</v>
      </c>
      <c r="BL187" s="20">
        <f t="shared" si="328"/>
        <v>1.3486176668914363E-3</v>
      </c>
      <c r="BM187" s="6">
        <f t="shared" si="329"/>
        <v>2</v>
      </c>
      <c r="BN187" s="5">
        <f t="shared" si="330"/>
        <v>2</v>
      </c>
      <c r="BO187" s="333">
        <f t="shared" si="331"/>
        <v>0</v>
      </c>
      <c r="BP187" s="334">
        <f t="shared" si="332"/>
        <v>0</v>
      </c>
      <c r="BQ187" s="6">
        <f t="shared" si="333"/>
        <v>1</v>
      </c>
      <c r="BR187" s="5">
        <f t="shared" si="334"/>
        <v>1</v>
      </c>
      <c r="BS187" s="6">
        <f t="shared" si="335"/>
        <v>13</v>
      </c>
      <c r="BT187" s="5">
        <f t="shared" si="336"/>
        <v>13</v>
      </c>
      <c r="BU187" s="181">
        <f t="shared" si="337"/>
        <v>1</v>
      </c>
      <c r="BV187" s="154">
        <f t="shared" si="338"/>
        <v>1</v>
      </c>
      <c r="BW187" s="181">
        <f t="shared" si="339"/>
        <v>0</v>
      </c>
      <c r="BX187" s="180">
        <f t="shared" si="340"/>
        <v>0</v>
      </c>
      <c r="BY187" s="181">
        <f t="shared" si="341"/>
        <v>1</v>
      </c>
      <c r="BZ187" s="154">
        <f t="shared" si="342"/>
        <v>1</v>
      </c>
      <c r="CA187" s="182">
        <f t="shared" si="343"/>
        <v>0</v>
      </c>
      <c r="CB187" s="2">
        <f t="shared" si="344"/>
        <v>0</v>
      </c>
      <c r="CC187" s="2">
        <f t="shared" si="345"/>
        <v>0</v>
      </c>
      <c r="CD187" s="2">
        <f t="shared" si="346"/>
        <v>0</v>
      </c>
      <c r="CE187" s="2">
        <f t="shared" si="347"/>
        <v>0</v>
      </c>
      <c r="CF187" s="6">
        <f t="shared" si="348"/>
        <v>0</v>
      </c>
      <c r="CG187" s="6">
        <f t="shared" si="349"/>
        <v>52.29</v>
      </c>
      <c r="CH187" s="6">
        <f t="shared" si="350"/>
        <v>22</v>
      </c>
      <c r="CI187" s="20">
        <f t="shared" si="351"/>
        <v>0.42073054121246894</v>
      </c>
      <c r="CJ187" s="133">
        <f t="shared" si="352"/>
        <v>2521</v>
      </c>
      <c r="CK187" s="5">
        <f t="shared" si="353"/>
        <v>5.9</v>
      </c>
      <c r="CL187" s="302" t="s">
        <v>19</v>
      </c>
      <c r="CM187" s="298" t="s">
        <v>13</v>
      </c>
      <c r="CN187" s="298" t="s">
        <v>1556</v>
      </c>
      <c r="CO187" s="298">
        <v>17</v>
      </c>
      <c r="CP187" s="298" t="s">
        <v>1557</v>
      </c>
      <c r="CQ187" s="298" t="s">
        <v>1131</v>
      </c>
      <c r="CR187" s="298" t="s">
        <v>644</v>
      </c>
      <c r="CS187" s="298" t="s">
        <v>760</v>
      </c>
      <c r="CT187" s="298" t="s">
        <v>833</v>
      </c>
      <c r="CU187" s="299">
        <v>47118</v>
      </c>
      <c r="CV187" s="298">
        <v>0</v>
      </c>
      <c r="CW187" s="298">
        <v>90</v>
      </c>
      <c r="CX187" s="298">
        <v>2</v>
      </c>
      <c r="CY187" s="298">
        <v>0</v>
      </c>
      <c r="CZ187" s="298">
        <v>1</v>
      </c>
      <c r="DA187" s="298">
        <v>0</v>
      </c>
      <c r="DB187" s="298">
        <v>0</v>
      </c>
      <c r="DC187" s="298">
        <v>1</v>
      </c>
      <c r="DD187" s="298">
        <v>13</v>
      </c>
      <c r="DE187" s="298">
        <v>0</v>
      </c>
      <c r="DF187" s="298">
        <v>0</v>
      </c>
      <c r="DG187" s="298">
        <v>0</v>
      </c>
      <c r="DH187" s="298">
        <v>0</v>
      </c>
      <c r="DI187" s="298">
        <v>0</v>
      </c>
      <c r="DJ187" s="298">
        <v>0</v>
      </c>
      <c r="DK187" s="298">
        <v>0</v>
      </c>
      <c r="DL187" s="298">
        <v>30</v>
      </c>
      <c r="DM187" s="298">
        <v>21</v>
      </c>
      <c r="DN187" s="298" t="s">
        <v>1558</v>
      </c>
      <c r="DO187" s="298">
        <v>0</v>
      </c>
      <c r="DP187" s="298">
        <v>0</v>
      </c>
      <c r="DQ187" s="298">
        <v>1</v>
      </c>
      <c r="DR187" s="298">
        <v>0</v>
      </c>
      <c r="DS187" s="298">
        <v>0</v>
      </c>
      <c r="DT187" s="298">
        <v>1</v>
      </c>
      <c r="DU187" s="298">
        <v>0</v>
      </c>
      <c r="DV187" s="303">
        <v>5.9</v>
      </c>
    </row>
    <row r="188" spans="1:126" ht="24.95" customHeight="1" thickBot="1" x14ac:dyDescent="0.3">
      <c r="A188" s="29" t="str">
        <f t="shared" si="265"/>
        <v>187º</v>
      </c>
      <c r="B188" s="69" t="str">
        <f t="shared" si="267"/>
        <v>Fernandão</v>
      </c>
      <c r="C188" s="269" t="str">
        <f t="shared" si="268"/>
        <v>BRA</v>
      </c>
      <c r="D188" s="99" t="str">
        <f t="shared" si="269"/>
        <v>Pé Direito</v>
      </c>
      <c r="E188" s="28" t="str">
        <f t="shared" si="270"/>
        <v>SBE</v>
      </c>
      <c r="F188" s="169">
        <f t="shared" si="271"/>
        <v>16</v>
      </c>
      <c r="G188" s="2" t="str">
        <f t="shared" si="272"/>
        <v>0 €</v>
      </c>
      <c r="H188" s="154">
        <f t="shared" si="273"/>
        <v>1.92</v>
      </c>
      <c r="I188" s="64">
        <f t="shared" si="274"/>
        <v>47118</v>
      </c>
      <c r="J188" s="304" t="str">
        <f t="shared" si="275"/>
        <v>500 € p/m</v>
      </c>
      <c r="K188" s="96">
        <f t="shared" si="266"/>
        <v>3.5222222222222221</v>
      </c>
      <c r="L188" s="146">
        <f t="shared" si="276"/>
        <v>0</v>
      </c>
      <c r="M188" s="6">
        <f t="shared" si="277"/>
        <v>0</v>
      </c>
      <c r="N188" s="5">
        <f t="shared" si="278"/>
        <v>5400</v>
      </c>
      <c r="O188" s="21">
        <f t="shared" si="279"/>
        <v>0</v>
      </c>
      <c r="P188" s="2">
        <f t="shared" si="280"/>
        <v>0</v>
      </c>
      <c r="Q188" s="2">
        <f t="shared" si="281"/>
        <v>0</v>
      </c>
      <c r="R188" s="5">
        <f t="shared" si="282"/>
        <v>0</v>
      </c>
      <c r="S188" s="2">
        <f t="shared" si="283"/>
        <v>0</v>
      </c>
      <c r="T188" s="2">
        <f t="shared" si="284"/>
        <v>0</v>
      </c>
      <c r="U188" s="102">
        <f t="shared" si="285"/>
        <v>0</v>
      </c>
      <c r="V188" s="102">
        <f t="shared" si="286"/>
        <v>0</v>
      </c>
      <c r="W188" s="6">
        <f t="shared" si="287"/>
        <v>0</v>
      </c>
      <c r="X188" s="5">
        <f t="shared" si="288"/>
        <v>0</v>
      </c>
      <c r="Y188" s="6">
        <f t="shared" si="289"/>
        <v>0</v>
      </c>
      <c r="Z188" s="5" t="e">
        <f t="shared" si="290"/>
        <v>#DIV/0!</v>
      </c>
      <c r="AA188" s="21">
        <f t="shared" si="291"/>
        <v>0</v>
      </c>
      <c r="AB188" s="6">
        <f t="shared" si="292"/>
        <v>0</v>
      </c>
      <c r="AC188" s="5" t="e">
        <f t="shared" si="293"/>
        <v>#DIV/0!</v>
      </c>
      <c r="AD188" s="6">
        <f t="shared" si="294"/>
        <v>0</v>
      </c>
      <c r="AE188" s="5">
        <f t="shared" si="295"/>
        <v>0</v>
      </c>
      <c r="AF188" s="21">
        <f t="shared" si="296"/>
        <v>0</v>
      </c>
      <c r="AG188" s="6">
        <f t="shared" si="297"/>
        <v>0</v>
      </c>
      <c r="AH188" s="5">
        <f t="shared" si="298"/>
        <v>0</v>
      </c>
      <c r="AI188" s="21">
        <f t="shared" si="299"/>
        <v>0</v>
      </c>
      <c r="AJ188" s="6">
        <f t="shared" si="300"/>
        <v>0</v>
      </c>
      <c r="AK188" s="5">
        <f t="shared" si="301"/>
        <v>0</v>
      </c>
      <c r="AL188" s="21">
        <f t="shared" si="302"/>
        <v>0</v>
      </c>
      <c r="AM188" s="21">
        <f t="shared" si="303"/>
        <v>0</v>
      </c>
      <c r="AN188" s="6">
        <f t="shared" si="304"/>
        <v>0</v>
      </c>
      <c r="AO188" s="5">
        <f t="shared" si="305"/>
        <v>0</v>
      </c>
      <c r="AP188" s="6">
        <f t="shared" si="306"/>
        <v>0</v>
      </c>
      <c r="AQ188" s="5">
        <f t="shared" si="307"/>
        <v>0</v>
      </c>
      <c r="AR188" s="2">
        <f t="shared" si="308"/>
        <v>0</v>
      </c>
      <c r="AS188" s="5">
        <f t="shared" si="309"/>
        <v>0</v>
      </c>
      <c r="AT188" s="21">
        <f t="shared" si="310"/>
        <v>0</v>
      </c>
      <c r="AU188" s="20">
        <f t="shared" si="311"/>
        <v>0</v>
      </c>
      <c r="AV188" s="20">
        <f t="shared" si="312"/>
        <v>1</v>
      </c>
      <c r="AW188" s="199">
        <f t="shared" si="313"/>
        <v>0</v>
      </c>
      <c r="AX188" s="24">
        <f t="shared" si="314"/>
        <v>0</v>
      </c>
      <c r="AY188" s="5">
        <f t="shared" si="315"/>
        <v>0</v>
      </c>
      <c r="AZ188" s="5">
        <f t="shared" si="316"/>
        <v>0</v>
      </c>
      <c r="BA188" s="5">
        <f t="shared" si="317"/>
        <v>0</v>
      </c>
      <c r="BB188" s="5">
        <f t="shared" si="318"/>
        <v>0</v>
      </c>
      <c r="BC188" s="5">
        <f t="shared" si="319"/>
        <v>0</v>
      </c>
      <c r="BD188" s="5">
        <f t="shared" si="320"/>
        <v>0</v>
      </c>
      <c r="BE188" s="199">
        <f t="shared" si="321"/>
        <v>0</v>
      </c>
      <c r="BF188" s="21">
        <f t="shared" si="322"/>
        <v>0</v>
      </c>
      <c r="BG188" s="6">
        <f t="shared" si="323"/>
        <v>0</v>
      </c>
      <c r="BH188" s="5" t="e">
        <f t="shared" si="324"/>
        <v>#DIV/0!</v>
      </c>
      <c r="BI188" s="6">
        <f t="shared" si="325"/>
        <v>0</v>
      </c>
      <c r="BJ188" s="5" t="e">
        <f t="shared" si="326"/>
        <v>#DIV/0!</v>
      </c>
      <c r="BK188" s="20">
        <f t="shared" si="327"/>
        <v>-9.9999999999999998E-13</v>
      </c>
      <c r="BL188" s="20">
        <f t="shared" si="328"/>
        <v>0</v>
      </c>
      <c r="BM188" s="6">
        <f t="shared" si="329"/>
        <v>0</v>
      </c>
      <c r="BN188" s="5">
        <f t="shared" si="330"/>
        <v>0</v>
      </c>
      <c r="BO188" s="333">
        <f t="shared" si="331"/>
        <v>0</v>
      </c>
      <c r="BP188" s="334">
        <f t="shared" si="332"/>
        <v>0</v>
      </c>
      <c r="BQ188" s="6">
        <f t="shared" si="333"/>
        <v>0</v>
      </c>
      <c r="BR188" s="5">
        <f t="shared" si="334"/>
        <v>0</v>
      </c>
      <c r="BS188" s="6">
        <f t="shared" si="335"/>
        <v>0</v>
      </c>
      <c r="BT188" s="5">
        <f t="shared" si="336"/>
        <v>0</v>
      </c>
      <c r="BU188" s="181">
        <f t="shared" si="337"/>
        <v>0</v>
      </c>
      <c r="BV188" s="154">
        <f t="shared" si="338"/>
        <v>0</v>
      </c>
      <c r="BW188" s="181">
        <f t="shared" si="339"/>
        <v>0</v>
      </c>
      <c r="BX188" s="180">
        <f t="shared" si="340"/>
        <v>0</v>
      </c>
      <c r="BY188" s="181">
        <f t="shared" si="341"/>
        <v>0</v>
      </c>
      <c r="BZ188" s="154">
        <f t="shared" si="342"/>
        <v>0</v>
      </c>
      <c r="CA188" s="182">
        <f t="shared" si="343"/>
        <v>0</v>
      </c>
      <c r="CB188" s="2">
        <f t="shared" si="344"/>
        <v>0</v>
      </c>
      <c r="CC188" s="2">
        <f t="shared" si="345"/>
        <v>0</v>
      </c>
      <c r="CD188" s="2">
        <f t="shared" si="346"/>
        <v>0</v>
      </c>
      <c r="CE188" s="2">
        <f t="shared" si="347"/>
        <v>0</v>
      </c>
      <c r="CF188" s="6">
        <f t="shared" si="348"/>
        <v>0</v>
      </c>
      <c r="CG188" s="6">
        <f t="shared" si="349"/>
        <v>0</v>
      </c>
      <c r="CH188" s="6">
        <f t="shared" si="350"/>
        <v>0</v>
      </c>
      <c r="CI188" s="20">
        <f t="shared" si="351"/>
        <v>0</v>
      </c>
      <c r="CJ188" s="133">
        <f t="shared" si="352"/>
        <v>2521</v>
      </c>
      <c r="CK188" s="5">
        <f t="shared" si="353"/>
        <v>0</v>
      </c>
      <c r="CL188" s="300" t="s">
        <v>19</v>
      </c>
      <c r="CM188" s="296" t="s">
        <v>13</v>
      </c>
      <c r="CN188" s="296" t="s">
        <v>1356</v>
      </c>
      <c r="CO188" s="296">
        <v>16</v>
      </c>
      <c r="CP188" s="296" t="s">
        <v>1559</v>
      </c>
      <c r="CQ188" s="296" t="s">
        <v>1131</v>
      </c>
      <c r="CR188" s="296" t="s">
        <v>644</v>
      </c>
      <c r="CS188" s="296" t="s">
        <v>760</v>
      </c>
      <c r="CT188" s="296" t="s">
        <v>549</v>
      </c>
      <c r="CU188" s="297">
        <v>47118</v>
      </c>
      <c r="CV188" s="296">
        <v>0</v>
      </c>
      <c r="CW188" s="296">
        <v>0</v>
      </c>
      <c r="CX188" s="296">
        <v>0</v>
      </c>
      <c r="CY188" s="296">
        <v>0</v>
      </c>
      <c r="CZ188" s="296">
        <v>0</v>
      </c>
      <c r="DA188" s="296">
        <v>0</v>
      </c>
      <c r="DB188" s="296">
        <v>0</v>
      </c>
      <c r="DC188" s="296">
        <v>0</v>
      </c>
      <c r="DD188" s="296">
        <v>0</v>
      </c>
      <c r="DE188" s="296">
        <v>0</v>
      </c>
      <c r="DF188" s="296">
        <v>0</v>
      </c>
      <c r="DG188" s="296">
        <v>0</v>
      </c>
      <c r="DH188" s="296">
        <v>0</v>
      </c>
      <c r="DI188" s="296">
        <v>0</v>
      </c>
      <c r="DJ188" s="296">
        <v>0</v>
      </c>
      <c r="DK188" s="296">
        <v>0</v>
      </c>
      <c r="DL188" s="296">
        <v>0</v>
      </c>
      <c r="DM188" s="296">
        <v>0</v>
      </c>
      <c r="DN188" s="296">
        <v>0</v>
      </c>
      <c r="DO188" s="296">
        <v>0</v>
      </c>
      <c r="DP188" s="296">
        <v>0</v>
      </c>
      <c r="DQ188" s="296">
        <v>0</v>
      </c>
      <c r="DR188" s="296">
        <v>0</v>
      </c>
      <c r="DS188" s="296">
        <v>0</v>
      </c>
      <c r="DT188" s="296">
        <v>0</v>
      </c>
      <c r="DU188" s="296">
        <v>0</v>
      </c>
      <c r="DV188" s="301" t="s">
        <v>548</v>
      </c>
    </row>
    <row r="189" spans="1:126" ht="24.95" customHeight="1" thickBot="1" x14ac:dyDescent="0.3">
      <c r="A189" s="29" t="str">
        <f t="shared" si="265"/>
        <v>188º</v>
      </c>
      <c r="B189" s="69" t="str">
        <f t="shared" si="267"/>
        <v>Santos</v>
      </c>
      <c r="C189" s="269" t="str">
        <f t="shared" si="268"/>
        <v>BRA</v>
      </c>
      <c r="D189" s="99" t="str">
        <f t="shared" si="269"/>
        <v>Pé Direito</v>
      </c>
      <c r="E189" s="28" t="str">
        <f t="shared" si="270"/>
        <v>AFC</v>
      </c>
      <c r="F189" s="169">
        <f t="shared" si="271"/>
        <v>17</v>
      </c>
      <c r="G189" s="2" t="str">
        <f t="shared" si="272"/>
        <v>0 €</v>
      </c>
      <c r="H189" s="154">
        <f t="shared" si="273"/>
        <v>1.89</v>
      </c>
      <c r="I189" s="64">
        <f t="shared" si="274"/>
        <v>47118</v>
      </c>
      <c r="J189" s="304" t="str">
        <f t="shared" si="275"/>
        <v>500 € p/m</v>
      </c>
      <c r="K189" s="96">
        <f t="shared" si="266"/>
        <v>3.5222222222222221</v>
      </c>
      <c r="L189" s="146">
        <f t="shared" si="276"/>
        <v>0</v>
      </c>
      <c r="M189" s="6">
        <f t="shared" si="277"/>
        <v>0</v>
      </c>
      <c r="N189" s="5">
        <f t="shared" si="278"/>
        <v>5400</v>
      </c>
      <c r="O189" s="21">
        <f t="shared" si="279"/>
        <v>0</v>
      </c>
      <c r="P189" s="2">
        <f t="shared" si="280"/>
        <v>0</v>
      </c>
      <c r="Q189" s="2">
        <f t="shared" si="281"/>
        <v>0</v>
      </c>
      <c r="R189" s="5">
        <f t="shared" si="282"/>
        <v>0</v>
      </c>
      <c r="S189" s="2">
        <f t="shared" si="283"/>
        <v>0</v>
      </c>
      <c r="T189" s="2">
        <f t="shared" si="284"/>
        <v>0</v>
      </c>
      <c r="U189" s="102">
        <f t="shared" si="285"/>
        <v>0</v>
      </c>
      <c r="V189" s="102">
        <f t="shared" si="286"/>
        <v>0</v>
      </c>
      <c r="W189" s="6">
        <f t="shared" si="287"/>
        <v>0</v>
      </c>
      <c r="X189" s="5">
        <f t="shared" si="288"/>
        <v>0</v>
      </c>
      <c r="Y189" s="6">
        <f t="shared" si="289"/>
        <v>0</v>
      </c>
      <c r="Z189" s="5" t="e">
        <f t="shared" si="290"/>
        <v>#DIV/0!</v>
      </c>
      <c r="AA189" s="21">
        <f t="shared" si="291"/>
        <v>0</v>
      </c>
      <c r="AB189" s="6">
        <f t="shared" si="292"/>
        <v>0</v>
      </c>
      <c r="AC189" s="5" t="e">
        <f t="shared" si="293"/>
        <v>#DIV/0!</v>
      </c>
      <c r="AD189" s="6">
        <f t="shared" si="294"/>
        <v>0</v>
      </c>
      <c r="AE189" s="5">
        <f t="shared" si="295"/>
        <v>0</v>
      </c>
      <c r="AF189" s="21">
        <f t="shared" si="296"/>
        <v>0</v>
      </c>
      <c r="AG189" s="6">
        <f t="shared" si="297"/>
        <v>0</v>
      </c>
      <c r="AH189" s="5">
        <f t="shared" si="298"/>
        <v>0</v>
      </c>
      <c r="AI189" s="21">
        <f t="shared" si="299"/>
        <v>0</v>
      </c>
      <c r="AJ189" s="6">
        <f t="shared" si="300"/>
        <v>0</v>
      </c>
      <c r="AK189" s="5">
        <f t="shared" si="301"/>
        <v>0</v>
      </c>
      <c r="AL189" s="21">
        <f t="shared" si="302"/>
        <v>0</v>
      </c>
      <c r="AM189" s="21">
        <f t="shared" si="303"/>
        <v>0</v>
      </c>
      <c r="AN189" s="6">
        <f t="shared" si="304"/>
        <v>0</v>
      </c>
      <c r="AO189" s="5">
        <f t="shared" si="305"/>
        <v>0</v>
      </c>
      <c r="AP189" s="6">
        <f t="shared" si="306"/>
        <v>0</v>
      </c>
      <c r="AQ189" s="5">
        <f t="shared" si="307"/>
        <v>0</v>
      </c>
      <c r="AR189" s="2">
        <f t="shared" si="308"/>
        <v>0</v>
      </c>
      <c r="AS189" s="5">
        <f t="shared" si="309"/>
        <v>0</v>
      </c>
      <c r="AT189" s="21">
        <f t="shared" si="310"/>
        <v>0</v>
      </c>
      <c r="AU189" s="20">
        <f t="shared" si="311"/>
        <v>0</v>
      </c>
      <c r="AV189" s="20">
        <f t="shared" si="312"/>
        <v>1</v>
      </c>
      <c r="AW189" s="199">
        <f t="shared" si="313"/>
        <v>0</v>
      </c>
      <c r="AX189" s="24">
        <f t="shared" si="314"/>
        <v>0</v>
      </c>
      <c r="AY189" s="5">
        <f t="shared" si="315"/>
        <v>0</v>
      </c>
      <c r="AZ189" s="5">
        <f t="shared" si="316"/>
        <v>0</v>
      </c>
      <c r="BA189" s="5">
        <f t="shared" si="317"/>
        <v>0</v>
      </c>
      <c r="BB189" s="5">
        <f t="shared" si="318"/>
        <v>0</v>
      </c>
      <c r="BC189" s="5">
        <f t="shared" si="319"/>
        <v>0</v>
      </c>
      <c r="BD189" s="5">
        <f t="shared" si="320"/>
        <v>0</v>
      </c>
      <c r="BE189" s="199">
        <f t="shared" si="321"/>
        <v>0</v>
      </c>
      <c r="BF189" s="21">
        <f t="shared" si="322"/>
        <v>0</v>
      </c>
      <c r="BG189" s="6">
        <f t="shared" si="323"/>
        <v>0</v>
      </c>
      <c r="BH189" s="5" t="e">
        <f t="shared" si="324"/>
        <v>#DIV/0!</v>
      </c>
      <c r="BI189" s="6">
        <f t="shared" si="325"/>
        <v>0</v>
      </c>
      <c r="BJ189" s="5" t="e">
        <f t="shared" si="326"/>
        <v>#DIV/0!</v>
      </c>
      <c r="BK189" s="20">
        <f t="shared" si="327"/>
        <v>-9.9999999999999998E-13</v>
      </c>
      <c r="BL189" s="20">
        <f t="shared" si="328"/>
        <v>0</v>
      </c>
      <c r="BM189" s="6">
        <f t="shared" si="329"/>
        <v>0</v>
      </c>
      <c r="BN189" s="5">
        <f t="shared" si="330"/>
        <v>0</v>
      </c>
      <c r="BO189" s="333">
        <f t="shared" si="331"/>
        <v>0</v>
      </c>
      <c r="BP189" s="334">
        <f t="shared" si="332"/>
        <v>0</v>
      </c>
      <c r="BQ189" s="6">
        <f t="shared" si="333"/>
        <v>0</v>
      </c>
      <c r="BR189" s="5">
        <f t="shared" si="334"/>
        <v>0</v>
      </c>
      <c r="BS189" s="6">
        <f t="shared" si="335"/>
        <v>0</v>
      </c>
      <c r="BT189" s="5">
        <f t="shared" si="336"/>
        <v>0</v>
      </c>
      <c r="BU189" s="181">
        <f t="shared" si="337"/>
        <v>0</v>
      </c>
      <c r="BV189" s="154">
        <f t="shared" si="338"/>
        <v>0</v>
      </c>
      <c r="BW189" s="181">
        <f t="shared" si="339"/>
        <v>0</v>
      </c>
      <c r="BX189" s="180">
        <f t="shared" si="340"/>
        <v>0</v>
      </c>
      <c r="BY189" s="181">
        <f t="shared" si="341"/>
        <v>0</v>
      </c>
      <c r="BZ189" s="154">
        <f t="shared" si="342"/>
        <v>0</v>
      </c>
      <c r="CA189" s="182">
        <f t="shared" si="343"/>
        <v>0</v>
      </c>
      <c r="CB189" s="2">
        <f t="shared" si="344"/>
        <v>0</v>
      </c>
      <c r="CC189" s="2">
        <f t="shared" si="345"/>
        <v>0</v>
      </c>
      <c r="CD189" s="2">
        <f t="shared" si="346"/>
        <v>0</v>
      </c>
      <c r="CE189" s="2">
        <f t="shared" si="347"/>
        <v>0</v>
      </c>
      <c r="CF189" s="6">
        <f t="shared" si="348"/>
        <v>0</v>
      </c>
      <c r="CG189" s="6">
        <f t="shared" si="349"/>
        <v>0</v>
      </c>
      <c r="CH189" s="6">
        <f t="shared" si="350"/>
        <v>0</v>
      </c>
      <c r="CI189" s="20">
        <f t="shared" si="351"/>
        <v>0</v>
      </c>
      <c r="CJ189" s="133">
        <f t="shared" si="352"/>
        <v>2521</v>
      </c>
      <c r="CK189" s="5">
        <f t="shared" si="353"/>
        <v>0</v>
      </c>
      <c r="CL189" s="302" t="s">
        <v>640</v>
      </c>
      <c r="CM189" s="298" t="s">
        <v>13</v>
      </c>
      <c r="CN189" s="298" t="s">
        <v>1138</v>
      </c>
      <c r="CO189" s="298">
        <v>17</v>
      </c>
      <c r="CP189" s="298" t="s">
        <v>902</v>
      </c>
      <c r="CQ189" s="298" t="s">
        <v>1131</v>
      </c>
      <c r="CR189" s="298" t="s">
        <v>644</v>
      </c>
      <c r="CS189" s="298" t="s">
        <v>760</v>
      </c>
      <c r="CT189" s="298" t="s">
        <v>593</v>
      </c>
      <c r="CU189" s="299">
        <v>47118</v>
      </c>
      <c r="CV189" s="298">
        <v>0</v>
      </c>
      <c r="CW189" s="298">
        <v>0</v>
      </c>
      <c r="CX189" s="298">
        <v>0</v>
      </c>
      <c r="CY189" s="298">
        <v>0</v>
      </c>
      <c r="CZ189" s="298">
        <v>0</v>
      </c>
      <c r="DA189" s="298">
        <v>0</v>
      </c>
      <c r="DB189" s="298">
        <v>0</v>
      </c>
      <c r="DC189" s="298">
        <v>0</v>
      </c>
      <c r="DD189" s="298">
        <v>0</v>
      </c>
      <c r="DE189" s="298">
        <v>0</v>
      </c>
      <c r="DF189" s="298">
        <v>0</v>
      </c>
      <c r="DG189" s="298">
        <v>0</v>
      </c>
      <c r="DH189" s="298">
        <v>0</v>
      </c>
      <c r="DI189" s="298">
        <v>0</v>
      </c>
      <c r="DJ189" s="298">
        <v>0</v>
      </c>
      <c r="DK189" s="298">
        <v>0</v>
      </c>
      <c r="DL189" s="298">
        <v>0</v>
      </c>
      <c r="DM189" s="298">
        <v>0</v>
      </c>
      <c r="DN189" s="298">
        <v>0</v>
      </c>
      <c r="DO189" s="298">
        <v>0</v>
      </c>
      <c r="DP189" s="298">
        <v>0</v>
      </c>
      <c r="DQ189" s="298">
        <v>0</v>
      </c>
      <c r="DR189" s="298">
        <v>0</v>
      </c>
      <c r="DS189" s="298">
        <v>0</v>
      </c>
      <c r="DT189" s="298">
        <v>0</v>
      </c>
      <c r="DU189" s="298">
        <v>0</v>
      </c>
      <c r="DV189" s="303" t="s">
        <v>548</v>
      </c>
    </row>
    <row r="190" spans="1:126" ht="24.95" customHeight="1" thickBot="1" x14ac:dyDescent="0.3">
      <c r="A190" s="29" t="str">
        <f t="shared" si="265"/>
        <v>189º</v>
      </c>
      <c r="B190" s="69" t="str">
        <f t="shared" si="267"/>
        <v>Guilherme Henrique</v>
      </c>
      <c r="C190" s="269" t="str">
        <f t="shared" si="268"/>
        <v>BRA</v>
      </c>
      <c r="D190" s="99" t="str">
        <f t="shared" si="269"/>
        <v>Pé Esquerdo</v>
      </c>
      <c r="E190" s="28" t="str">
        <f t="shared" si="270"/>
        <v>TOM</v>
      </c>
      <c r="F190" s="169">
        <f t="shared" si="271"/>
        <v>16</v>
      </c>
      <c r="G190" s="2" t="str">
        <f t="shared" si="272"/>
        <v>0 €</v>
      </c>
      <c r="H190" s="154">
        <f t="shared" si="273"/>
        <v>1.87</v>
      </c>
      <c r="I190" s="64">
        <f t="shared" si="274"/>
        <v>47118</v>
      </c>
      <c r="J190" s="304" t="str">
        <f t="shared" si="275"/>
        <v>500 € p/m</v>
      </c>
      <c r="K190" s="96">
        <f t="shared" si="266"/>
        <v>3.5222222222222221</v>
      </c>
      <c r="L190" s="146">
        <f t="shared" si="276"/>
        <v>0</v>
      </c>
      <c r="M190" s="6">
        <f t="shared" si="277"/>
        <v>0</v>
      </c>
      <c r="N190" s="5">
        <f t="shared" si="278"/>
        <v>5400</v>
      </c>
      <c r="O190" s="21">
        <f t="shared" si="279"/>
        <v>0</v>
      </c>
      <c r="P190" s="2">
        <f t="shared" si="280"/>
        <v>0</v>
      </c>
      <c r="Q190" s="2">
        <f t="shared" si="281"/>
        <v>0</v>
      </c>
      <c r="R190" s="5">
        <f t="shared" si="282"/>
        <v>0</v>
      </c>
      <c r="S190" s="2">
        <f t="shared" si="283"/>
        <v>0</v>
      </c>
      <c r="T190" s="2">
        <f t="shared" si="284"/>
        <v>0</v>
      </c>
      <c r="U190" s="102">
        <f t="shared" si="285"/>
        <v>0</v>
      </c>
      <c r="V190" s="102">
        <f t="shared" si="286"/>
        <v>0</v>
      </c>
      <c r="W190" s="6">
        <f t="shared" si="287"/>
        <v>0</v>
      </c>
      <c r="X190" s="5">
        <f t="shared" si="288"/>
        <v>0</v>
      </c>
      <c r="Y190" s="6">
        <f t="shared" si="289"/>
        <v>0</v>
      </c>
      <c r="Z190" s="5" t="e">
        <f t="shared" si="290"/>
        <v>#DIV/0!</v>
      </c>
      <c r="AA190" s="21">
        <f t="shared" si="291"/>
        <v>0</v>
      </c>
      <c r="AB190" s="6">
        <f t="shared" si="292"/>
        <v>0</v>
      </c>
      <c r="AC190" s="5" t="e">
        <f t="shared" si="293"/>
        <v>#DIV/0!</v>
      </c>
      <c r="AD190" s="6">
        <f t="shared" si="294"/>
        <v>0</v>
      </c>
      <c r="AE190" s="5">
        <f t="shared" si="295"/>
        <v>0</v>
      </c>
      <c r="AF190" s="21">
        <f t="shared" si="296"/>
        <v>0</v>
      </c>
      <c r="AG190" s="6">
        <f t="shared" si="297"/>
        <v>0</v>
      </c>
      <c r="AH190" s="5">
        <f t="shared" si="298"/>
        <v>0</v>
      </c>
      <c r="AI190" s="21">
        <f t="shared" si="299"/>
        <v>0</v>
      </c>
      <c r="AJ190" s="6">
        <f t="shared" si="300"/>
        <v>0</v>
      </c>
      <c r="AK190" s="5">
        <f t="shared" si="301"/>
        <v>0</v>
      </c>
      <c r="AL190" s="21">
        <f t="shared" si="302"/>
        <v>0</v>
      </c>
      <c r="AM190" s="21">
        <f t="shared" si="303"/>
        <v>0</v>
      </c>
      <c r="AN190" s="6">
        <f t="shared" si="304"/>
        <v>0</v>
      </c>
      <c r="AO190" s="5">
        <f t="shared" si="305"/>
        <v>0</v>
      </c>
      <c r="AP190" s="6">
        <f t="shared" si="306"/>
        <v>0</v>
      </c>
      <c r="AQ190" s="5">
        <f t="shared" si="307"/>
        <v>0</v>
      </c>
      <c r="AR190" s="2">
        <f t="shared" si="308"/>
        <v>0</v>
      </c>
      <c r="AS190" s="5">
        <f t="shared" si="309"/>
        <v>0</v>
      </c>
      <c r="AT190" s="21">
        <f t="shared" si="310"/>
        <v>0</v>
      </c>
      <c r="AU190" s="20">
        <f t="shared" si="311"/>
        <v>0</v>
      </c>
      <c r="AV190" s="20">
        <f t="shared" si="312"/>
        <v>1</v>
      </c>
      <c r="AW190" s="199">
        <f t="shared" si="313"/>
        <v>0</v>
      </c>
      <c r="AX190" s="24">
        <f t="shared" si="314"/>
        <v>0</v>
      </c>
      <c r="AY190" s="5">
        <f t="shared" si="315"/>
        <v>0</v>
      </c>
      <c r="AZ190" s="5">
        <f t="shared" si="316"/>
        <v>0</v>
      </c>
      <c r="BA190" s="5">
        <f t="shared" si="317"/>
        <v>0</v>
      </c>
      <c r="BB190" s="5">
        <f t="shared" si="318"/>
        <v>0</v>
      </c>
      <c r="BC190" s="5">
        <f t="shared" si="319"/>
        <v>0</v>
      </c>
      <c r="BD190" s="5">
        <f t="shared" si="320"/>
        <v>0</v>
      </c>
      <c r="BE190" s="199">
        <f t="shared" si="321"/>
        <v>0</v>
      </c>
      <c r="BF190" s="21">
        <f t="shared" si="322"/>
        <v>0</v>
      </c>
      <c r="BG190" s="6">
        <f t="shared" si="323"/>
        <v>0</v>
      </c>
      <c r="BH190" s="5" t="e">
        <f t="shared" si="324"/>
        <v>#DIV/0!</v>
      </c>
      <c r="BI190" s="6">
        <f t="shared" si="325"/>
        <v>0</v>
      </c>
      <c r="BJ190" s="5" t="e">
        <f t="shared" si="326"/>
        <v>#DIV/0!</v>
      </c>
      <c r="BK190" s="20">
        <f t="shared" si="327"/>
        <v>-9.9999999999999998E-13</v>
      </c>
      <c r="BL190" s="20">
        <f t="shared" si="328"/>
        <v>0</v>
      </c>
      <c r="BM190" s="6">
        <f t="shared" si="329"/>
        <v>0</v>
      </c>
      <c r="BN190" s="5">
        <f t="shared" si="330"/>
        <v>0</v>
      </c>
      <c r="BO190" s="333">
        <f t="shared" si="331"/>
        <v>0</v>
      </c>
      <c r="BP190" s="334">
        <f t="shared" si="332"/>
        <v>0</v>
      </c>
      <c r="BQ190" s="6">
        <f t="shared" si="333"/>
        <v>0</v>
      </c>
      <c r="BR190" s="5">
        <f t="shared" si="334"/>
        <v>0</v>
      </c>
      <c r="BS190" s="6">
        <f t="shared" si="335"/>
        <v>0</v>
      </c>
      <c r="BT190" s="5">
        <f t="shared" si="336"/>
        <v>0</v>
      </c>
      <c r="BU190" s="181">
        <f t="shared" si="337"/>
        <v>0</v>
      </c>
      <c r="BV190" s="154">
        <f t="shared" si="338"/>
        <v>0</v>
      </c>
      <c r="BW190" s="181">
        <f t="shared" si="339"/>
        <v>0</v>
      </c>
      <c r="BX190" s="180">
        <f t="shared" si="340"/>
        <v>0</v>
      </c>
      <c r="BY190" s="181">
        <f t="shared" si="341"/>
        <v>0</v>
      </c>
      <c r="BZ190" s="154">
        <f t="shared" si="342"/>
        <v>0</v>
      </c>
      <c r="CA190" s="182">
        <f t="shared" si="343"/>
        <v>0</v>
      </c>
      <c r="CB190" s="2">
        <f t="shared" si="344"/>
        <v>0</v>
      </c>
      <c r="CC190" s="2">
        <f t="shared" si="345"/>
        <v>0</v>
      </c>
      <c r="CD190" s="2">
        <f t="shared" si="346"/>
        <v>0</v>
      </c>
      <c r="CE190" s="2">
        <f t="shared" si="347"/>
        <v>0</v>
      </c>
      <c r="CF190" s="6">
        <f t="shared" si="348"/>
        <v>0</v>
      </c>
      <c r="CG190" s="6">
        <f t="shared" si="349"/>
        <v>0</v>
      </c>
      <c r="CH190" s="6">
        <f t="shared" si="350"/>
        <v>0</v>
      </c>
      <c r="CI190" s="20">
        <f t="shared" si="351"/>
        <v>0</v>
      </c>
      <c r="CJ190" s="133">
        <f t="shared" si="352"/>
        <v>2521</v>
      </c>
      <c r="CK190" s="5">
        <f t="shared" si="353"/>
        <v>0</v>
      </c>
      <c r="CL190" s="300" t="s">
        <v>1235</v>
      </c>
      <c r="CM190" s="296" t="s">
        <v>13</v>
      </c>
      <c r="CN190" s="296" t="s">
        <v>1560</v>
      </c>
      <c r="CO190" s="296">
        <v>16</v>
      </c>
      <c r="CP190" s="296" t="s">
        <v>1561</v>
      </c>
      <c r="CQ190" s="296" t="s">
        <v>1131</v>
      </c>
      <c r="CR190" s="296" t="s">
        <v>652</v>
      </c>
      <c r="CS190" s="296" t="s">
        <v>760</v>
      </c>
      <c r="CT190" s="296" t="s">
        <v>911</v>
      </c>
      <c r="CU190" s="297">
        <v>47118</v>
      </c>
      <c r="CV190" s="296">
        <v>0</v>
      </c>
      <c r="CW190" s="296">
        <v>0</v>
      </c>
      <c r="CX190" s="296">
        <v>0</v>
      </c>
      <c r="CY190" s="296">
        <v>0</v>
      </c>
      <c r="CZ190" s="296">
        <v>0</v>
      </c>
      <c r="DA190" s="296">
        <v>0</v>
      </c>
      <c r="DB190" s="296">
        <v>0</v>
      </c>
      <c r="DC190" s="296">
        <v>0</v>
      </c>
      <c r="DD190" s="296">
        <v>0</v>
      </c>
      <c r="DE190" s="296">
        <v>0</v>
      </c>
      <c r="DF190" s="296">
        <v>0</v>
      </c>
      <c r="DG190" s="296">
        <v>0</v>
      </c>
      <c r="DH190" s="296">
        <v>0</v>
      </c>
      <c r="DI190" s="296">
        <v>0</v>
      </c>
      <c r="DJ190" s="296">
        <v>0</v>
      </c>
      <c r="DK190" s="296">
        <v>0</v>
      </c>
      <c r="DL190" s="296">
        <v>0</v>
      </c>
      <c r="DM190" s="296">
        <v>0</v>
      </c>
      <c r="DN190" s="296">
        <v>0</v>
      </c>
      <c r="DO190" s="296">
        <v>0</v>
      </c>
      <c r="DP190" s="296">
        <v>0</v>
      </c>
      <c r="DQ190" s="296">
        <v>0</v>
      </c>
      <c r="DR190" s="296">
        <v>0</v>
      </c>
      <c r="DS190" s="296">
        <v>0</v>
      </c>
      <c r="DT190" s="296">
        <v>0</v>
      </c>
      <c r="DU190" s="296">
        <v>0</v>
      </c>
      <c r="DV190" s="301" t="s">
        <v>548</v>
      </c>
    </row>
    <row r="191" spans="1:126" ht="24.95" customHeight="1" thickBot="1" x14ac:dyDescent="0.3">
      <c r="A191" s="29" t="str">
        <f t="shared" si="265"/>
        <v>190º</v>
      </c>
      <c r="B191" s="69" t="str">
        <f t="shared" si="267"/>
        <v>Nascimento</v>
      </c>
      <c r="C191" s="269" t="str">
        <f t="shared" si="268"/>
        <v>BRA</v>
      </c>
      <c r="D191" s="99" t="str">
        <f t="shared" si="269"/>
        <v>Pé Direito</v>
      </c>
      <c r="E191" s="28" t="str">
        <f t="shared" si="270"/>
        <v>Desportivo Brasil</v>
      </c>
      <c r="F191" s="169">
        <f t="shared" si="271"/>
        <v>17</v>
      </c>
      <c r="G191" s="2" t="str">
        <f t="shared" si="272"/>
        <v>0 €</v>
      </c>
      <c r="H191" s="154">
        <f t="shared" si="273"/>
        <v>1.85</v>
      </c>
      <c r="I191" s="64">
        <f t="shared" si="274"/>
        <v>47118</v>
      </c>
      <c r="J191" s="304" t="str">
        <f t="shared" si="275"/>
        <v>525 € p/m</v>
      </c>
      <c r="K191" s="96">
        <f t="shared" si="266"/>
        <v>3.5222222222222221</v>
      </c>
      <c r="L191" s="146">
        <f t="shared" si="276"/>
        <v>0</v>
      </c>
      <c r="M191" s="6">
        <f t="shared" si="277"/>
        <v>0</v>
      </c>
      <c r="N191" s="5">
        <f t="shared" si="278"/>
        <v>5400</v>
      </c>
      <c r="O191" s="21">
        <f t="shared" si="279"/>
        <v>0</v>
      </c>
      <c r="P191" s="2">
        <f t="shared" si="280"/>
        <v>0</v>
      </c>
      <c r="Q191" s="2">
        <f t="shared" si="281"/>
        <v>0</v>
      </c>
      <c r="R191" s="5">
        <f t="shared" si="282"/>
        <v>0</v>
      </c>
      <c r="S191" s="2">
        <f t="shared" si="283"/>
        <v>0</v>
      </c>
      <c r="T191" s="2">
        <f t="shared" si="284"/>
        <v>0</v>
      </c>
      <c r="U191" s="102">
        <f t="shared" si="285"/>
        <v>0</v>
      </c>
      <c r="V191" s="102">
        <f t="shared" si="286"/>
        <v>0</v>
      </c>
      <c r="W191" s="6">
        <f t="shared" si="287"/>
        <v>0</v>
      </c>
      <c r="X191" s="5">
        <f t="shared" si="288"/>
        <v>0</v>
      </c>
      <c r="Y191" s="6">
        <f t="shared" si="289"/>
        <v>0</v>
      </c>
      <c r="Z191" s="5" t="e">
        <f t="shared" si="290"/>
        <v>#DIV/0!</v>
      </c>
      <c r="AA191" s="21">
        <f t="shared" si="291"/>
        <v>0</v>
      </c>
      <c r="AB191" s="6">
        <f t="shared" si="292"/>
        <v>0</v>
      </c>
      <c r="AC191" s="5" t="e">
        <f t="shared" si="293"/>
        <v>#DIV/0!</v>
      </c>
      <c r="AD191" s="6">
        <f t="shared" si="294"/>
        <v>0</v>
      </c>
      <c r="AE191" s="5">
        <f t="shared" si="295"/>
        <v>0</v>
      </c>
      <c r="AF191" s="21">
        <f t="shared" si="296"/>
        <v>0</v>
      </c>
      <c r="AG191" s="6">
        <f t="shared" si="297"/>
        <v>0</v>
      </c>
      <c r="AH191" s="5">
        <f t="shared" si="298"/>
        <v>0</v>
      </c>
      <c r="AI191" s="21">
        <f t="shared" si="299"/>
        <v>0</v>
      </c>
      <c r="AJ191" s="6">
        <f t="shared" si="300"/>
        <v>0</v>
      </c>
      <c r="AK191" s="5">
        <f t="shared" si="301"/>
        <v>0</v>
      </c>
      <c r="AL191" s="21">
        <f t="shared" si="302"/>
        <v>0</v>
      </c>
      <c r="AM191" s="21">
        <f t="shared" si="303"/>
        <v>0</v>
      </c>
      <c r="AN191" s="6">
        <f t="shared" si="304"/>
        <v>0</v>
      </c>
      <c r="AO191" s="5">
        <f t="shared" si="305"/>
        <v>0</v>
      </c>
      <c r="AP191" s="6">
        <f t="shared" si="306"/>
        <v>0</v>
      </c>
      <c r="AQ191" s="5">
        <f t="shared" si="307"/>
        <v>0</v>
      </c>
      <c r="AR191" s="2">
        <f t="shared" si="308"/>
        <v>0</v>
      </c>
      <c r="AS191" s="5">
        <f t="shared" si="309"/>
        <v>0</v>
      </c>
      <c r="AT191" s="21">
        <f t="shared" si="310"/>
        <v>0</v>
      </c>
      <c r="AU191" s="20">
        <f t="shared" si="311"/>
        <v>0</v>
      </c>
      <c r="AV191" s="20">
        <f t="shared" si="312"/>
        <v>1</v>
      </c>
      <c r="AW191" s="199">
        <f t="shared" si="313"/>
        <v>0</v>
      </c>
      <c r="AX191" s="24">
        <f t="shared" si="314"/>
        <v>0</v>
      </c>
      <c r="AY191" s="5">
        <f t="shared" si="315"/>
        <v>0</v>
      </c>
      <c r="AZ191" s="5">
        <f t="shared" si="316"/>
        <v>0</v>
      </c>
      <c r="BA191" s="5">
        <f t="shared" si="317"/>
        <v>0</v>
      </c>
      <c r="BB191" s="5">
        <f t="shared" si="318"/>
        <v>0</v>
      </c>
      <c r="BC191" s="5">
        <f t="shared" si="319"/>
        <v>0</v>
      </c>
      <c r="BD191" s="5">
        <f t="shared" si="320"/>
        <v>0</v>
      </c>
      <c r="BE191" s="199">
        <f t="shared" si="321"/>
        <v>0</v>
      </c>
      <c r="BF191" s="21">
        <f t="shared" si="322"/>
        <v>0</v>
      </c>
      <c r="BG191" s="6">
        <f t="shared" si="323"/>
        <v>0</v>
      </c>
      <c r="BH191" s="5" t="e">
        <f t="shared" si="324"/>
        <v>#DIV/0!</v>
      </c>
      <c r="BI191" s="6">
        <f t="shared" si="325"/>
        <v>0</v>
      </c>
      <c r="BJ191" s="5" t="e">
        <f t="shared" si="326"/>
        <v>#DIV/0!</v>
      </c>
      <c r="BK191" s="20">
        <f t="shared" si="327"/>
        <v>-9.9999999999999998E-13</v>
      </c>
      <c r="BL191" s="20">
        <f t="shared" si="328"/>
        <v>0</v>
      </c>
      <c r="BM191" s="6">
        <f t="shared" si="329"/>
        <v>0</v>
      </c>
      <c r="BN191" s="5">
        <f t="shared" si="330"/>
        <v>0</v>
      </c>
      <c r="BO191" s="333">
        <f t="shared" si="331"/>
        <v>0</v>
      </c>
      <c r="BP191" s="334">
        <f t="shared" si="332"/>
        <v>0</v>
      </c>
      <c r="BQ191" s="6">
        <f t="shared" si="333"/>
        <v>0</v>
      </c>
      <c r="BR191" s="5">
        <f t="shared" si="334"/>
        <v>0</v>
      </c>
      <c r="BS191" s="6">
        <f t="shared" si="335"/>
        <v>0</v>
      </c>
      <c r="BT191" s="5">
        <f t="shared" si="336"/>
        <v>0</v>
      </c>
      <c r="BU191" s="181">
        <f t="shared" si="337"/>
        <v>0</v>
      </c>
      <c r="BV191" s="154">
        <f t="shared" si="338"/>
        <v>0</v>
      </c>
      <c r="BW191" s="181">
        <f t="shared" si="339"/>
        <v>0</v>
      </c>
      <c r="BX191" s="180">
        <f t="shared" si="340"/>
        <v>0</v>
      </c>
      <c r="BY191" s="181">
        <f t="shared" si="341"/>
        <v>0</v>
      </c>
      <c r="BZ191" s="154">
        <f t="shared" si="342"/>
        <v>0</v>
      </c>
      <c r="CA191" s="182">
        <f t="shared" si="343"/>
        <v>0</v>
      </c>
      <c r="CB191" s="2">
        <f t="shared" si="344"/>
        <v>0</v>
      </c>
      <c r="CC191" s="2">
        <f t="shared" si="345"/>
        <v>0</v>
      </c>
      <c r="CD191" s="2">
        <f t="shared" si="346"/>
        <v>0</v>
      </c>
      <c r="CE191" s="2">
        <f t="shared" si="347"/>
        <v>0</v>
      </c>
      <c r="CF191" s="6">
        <f t="shared" si="348"/>
        <v>0</v>
      </c>
      <c r="CG191" s="6">
        <f t="shared" si="349"/>
        <v>0</v>
      </c>
      <c r="CH191" s="6">
        <f t="shared" si="350"/>
        <v>0</v>
      </c>
      <c r="CI191" s="20">
        <f t="shared" si="351"/>
        <v>0</v>
      </c>
      <c r="CJ191" s="133">
        <f t="shared" si="352"/>
        <v>2521</v>
      </c>
      <c r="CK191" s="5">
        <f t="shared" si="353"/>
        <v>0</v>
      </c>
      <c r="CL191" s="302"/>
      <c r="CM191" s="298" t="s">
        <v>13</v>
      </c>
      <c r="CN191" s="298" t="s">
        <v>1562</v>
      </c>
      <c r="CO191" s="298">
        <v>17</v>
      </c>
      <c r="CP191" s="298" t="s">
        <v>1563</v>
      </c>
      <c r="CQ191" s="298" t="s">
        <v>1131</v>
      </c>
      <c r="CR191" s="298" t="s">
        <v>644</v>
      </c>
      <c r="CS191" s="298" t="s">
        <v>1322</v>
      </c>
      <c r="CT191" s="298" t="s">
        <v>587</v>
      </c>
      <c r="CU191" s="299">
        <v>47118</v>
      </c>
      <c r="CV191" s="298">
        <v>0</v>
      </c>
      <c r="CW191" s="298">
        <v>0</v>
      </c>
      <c r="CX191" s="298">
        <v>0</v>
      </c>
      <c r="CY191" s="298">
        <v>0</v>
      </c>
      <c r="CZ191" s="298">
        <v>0</v>
      </c>
      <c r="DA191" s="298">
        <v>0</v>
      </c>
      <c r="DB191" s="298">
        <v>0</v>
      </c>
      <c r="DC191" s="298">
        <v>0</v>
      </c>
      <c r="DD191" s="298">
        <v>0</v>
      </c>
      <c r="DE191" s="298">
        <v>0</v>
      </c>
      <c r="DF191" s="298">
        <v>0</v>
      </c>
      <c r="DG191" s="298">
        <v>0</v>
      </c>
      <c r="DH191" s="298">
        <v>0</v>
      </c>
      <c r="DI191" s="298">
        <v>0</v>
      </c>
      <c r="DJ191" s="298">
        <v>0</v>
      </c>
      <c r="DK191" s="298">
        <v>0</v>
      </c>
      <c r="DL191" s="298">
        <v>0</v>
      </c>
      <c r="DM191" s="298">
        <v>0</v>
      </c>
      <c r="DN191" s="298">
        <v>0</v>
      </c>
      <c r="DO191" s="298">
        <v>0</v>
      </c>
      <c r="DP191" s="298">
        <v>0</v>
      </c>
      <c r="DQ191" s="298">
        <v>0</v>
      </c>
      <c r="DR191" s="298">
        <v>0</v>
      </c>
      <c r="DS191" s="298">
        <v>0</v>
      </c>
      <c r="DT191" s="298">
        <v>0</v>
      </c>
      <c r="DU191" s="298">
        <v>0</v>
      </c>
      <c r="DV191" s="303" t="s">
        <v>548</v>
      </c>
    </row>
    <row r="192" spans="1:126" ht="24.95" customHeight="1" thickBot="1" x14ac:dyDescent="0.3">
      <c r="A192" s="29" t="str">
        <f t="shared" si="265"/>
        <v>191º</v>
      </c>
      <c r="B192" s="69" t="str">
        <f t="shared" si="267"/>
        <v>Gean Moreira</v>
      </c>
      <c r="C192" s="269" t="str">
        <f t="shared" si="268"/>
        <v>BRA</v>
      </c>
      <c r="D192" s="99" t="str">
        <f t="shared" si="269"/>
        <v>Pé Direito</v>
      </c>
      <c r="E192" s="28" t="str">
        <f t="shared" si="270"/>
        <v>Desportivo Brasil</v>
      </c>
      <c r="F192" s="169">
        <f t="shared" si="271"/>
        <v>17</v>
      </c>
      <c r="G192" s="2" t="str">
        <f t="shared" si="272"/>
        <v>0 €</v>
      </c>
      <c r="H192" s="154">
        <f t="shared" si="273"/>
        <v>1.84</v>
      </c>
      <c r="I192" s="64">
        <f t="shared" si="274"/>
        <v>47118</v>
      </c>
      <c r="J192" s="304" t="str">
        <f t="shared" si="275"/>
        <v>525 € p/m</v>
      </c>
      <c r="K192" s="96">
        <f t="shared" si="266"/>
        <v>3.5222222222222221</v>
      </c>
      <c r="L192" s="146">
        <f t="shared" si="276"/>
        <v>0</v>
      </c>
      <c r="M192" s="6">
        <f t="shared" si="277"/>
        <v>0</v>
      </c>
      <c r="N192" s="5">
        <f t="shared" si="278"/>
        <v>5400</v>
      </c>
      <c r="O192" s="21">
        <f t="shared" si="279"/>
        <v>0</v>
      </c>
      <c r="P192" s="2">
        <f t="shared" si="280"/>
        <v>0</v>
      </c>
      <c r="Q192" s="2">
        <f t="shared" si="281"/>
        <v>0</v>
      </c>
      <c r="R192" s="5">
        <f t="shared" si="282"/>
        <v>0</v>
      </c>
      <c r="S192" s="2">
        <f t="shared" si="283"/>
        <v>0</v>
      </c>
      <c r="T192" s="2">
        <f t="shared" si="284"/>
        <v>0</v>
      </c>
      <c r="U192" s="102">
        <f t="shared" si="285"/>
        <v>0</v>
      </c>
      <c r="V192" s="102">
        <f t="shared" si="286"/>
        <v>0</v>
      </c>
      <c r="W192" s="6">
        <f t="shared" si="287"/>
        <v>0</v>
      </c>
      <c r="X192" s="5">
        <f t="shared" si="288"/>
        <v>0</v>
      </c>
      <c r="Y192" s="6">
        <f t="shared" si="289"/>
        <v>0</v>
      </c>
      <c r="Z192" s="5" t="e">
        <f t="shared" si="290"/>
        <v>#DIV/0!</v>
      </c>
      <c r="AA192" s="21">
        <f t="shared" si="291"/>
        <v>0</v>
      </c>
      <c r="AB192" s="6">
        <f t="shared" si="292"/>
        <v>0</v>
      </c>
      <c r="AC192" s="5" t="e">
        <f t="shared" si="293"/>
        <v>#DIV/0!</v>
      </c>
      <c r="AD192" s="6">
        <f t="shared" si="294"/>
        <v>0</v>
      </c>
      <c r="AE192" s="5">
        <f t="shared" si="295"/>
        <v>0</v>
      </c>
      <c r="AF192" s="21">
        <f t="shared" si="296"/>
        <v>0</v>
      </c>
      <c r="AG192" s="6">
        <f t="shared" si="297"/>
        <v>0</v>
      </c>
      <c r="AH192" s="5">
        <f t="shared" si="298"/>
        <v>0</v>
      </c>
      <c r="AI192" s="21">
        <f t="shared" si="299"/>
        <v>0</v>
      </c>
      <c r="AJ192" s="6">
        <f t="shared" si="300"/>
        <v>0</v>
      </c>
      <c r="AK192" s="5">
        <f t="shared" si="301"/>
        <v>0</v>
      </c>
      <c r="AL192" s="21">
        <f t="shared" si="302"/>
        <v>0</v>
      </c>
      <c r="AM192" s="21">
        <f t="shared" si="303"/>
        <v>0</v>
      </c>
      <c r="AN192" s="6">
        <f t="shared" si="304"/>
        <v>0</v>
      </c>
      <c r="AO192" s="5">
        <f t="shared" si="305"/>
        <v>0</v>
      </c>
      <c r="AP192" s="6">
        <f t="shared" si="306"/>
        <v>0</v>
      </c>
      <c r="AQ192" s="5">
        <f t="shared" si="307"/>
        <v>0</v>
      </c>
      <c r="AR192" s="2">
        <f t="shared" si="308"/>
        <v>0</v>
      </c>
      <c r="AS192" s="5">
        <f t="shared" si="309"/>
        <v>0</v>
      </c>
      <c r="AT192" s="21">
        <f t="shared" si="310"/>
        <v>0</v>
      </c>
      <c r="AU192" s="20">
        <f t="shared" si="311"/>
        <v>0</v>
      </c>
      <c r="AV192" s="20">
        <f t="shared" si="312"/>
        <v>1</v>
      </c>
      <c r="AW192" s="199">
        <f t="shared" si="313"/>
        <v>0</v>
      </c>
      <c r="AX192" s="24">
        <f t="shared" si="314"/>
        <v>0</v>
      </c>
      <c r="AY192" s="5">
        <f t="shared" si="315"/>
        <v>0</v>
      </c>
      <c r="AZ192" s="5">
        <f t="shared" si="316"/>
        <v>0</v>
      </c>
      <c r="BA192" s="5">
        <f t="shared" si="317"/>
        <v>0</v>
      </c>
      <c r="BB192" s="5">
        <f t="shared" si="318"/>
        <v>0</v>
      </c>
      <c r="BC192" s="5">
        <f t="shared" si="319"/>
        <v>0</v>
      </c>
      <c r="BD192" s="5">
        <f t="shared" si="320"/>
        <v>0</v>
      </c>
      <c r="BE192" s="199">
        <f t="shared" si="321"/>
        <v>0</v>
      </c>
      <c r="BF192" s="21">
        <f t="shared" si="322"/>
        <v>0</v>
      </c>
      <c r="BG192" s="6">
        <f t="shared" si="323"/>
        <v>0</v>
      </c>
      <c r="BH192" s="5" t="e">
        <f t="shared" si="324"/>
        <v>#DIV/0!</v>
      </c>
      <c r="BI192" s="6">
        <f t="shared" si="325"/>
        <v>0</v>
      </c>
      <c r="BJ192" s="5" t="e">
        <f t="shared" si="326"/>
        <v>#DIV/0!</v>
      </c>
      <c r="BK192" s="20">
        <f t="shared" si="327"/>
        <v>-9.9999999999999998E-13</v>
      </c>
      <c r="BL192" s="20">
        <f t="shared" si="328"/>
        <v>0</v>
      </c>
      <c r="BM192" s="6">
        <f t="shared" si="329"/>
        <v>0</v>
      </c>
      <c r="BN192" s="5">
        <f t="shared" si="330"/>
        <v>0</v>
      </c>
      <c r="BO192" s="333">
        <f t="shared" si="331"/>
        <v>0</v>
      </c>
      <c r="BP192" s="334">
        <f t="shared" si="332"/>
        <v>0</v>
      </c>
      <c r="BQ192" s="6">
        <f t="shared" si="333"/>
        <v>0</v>
      </c>
      <c r="BR192" s="5">
        <f t="shared" si="334"/>
        <v>0</v>
      </c>
      <c r="BS192" s="6">
        <f t="shared" si="335"/>
        <v>0</v>
      </c>
      <c r="BT192" s="5">
        <f t="shared" si="336"/>
        <v>0</v>
      </c>
      <c r="BU192" s="181">
        <f t="shared" si="337"/>
        <v>0</v>
      </c>
      <c r="BV192" s="154">
        <f t="shared" si="338"/>
        <v>0</v>
      </c>
      <c r="BW192" s="181">
        <f t="shared" si="339"/>
        <v>0</v>
      </c>
      <c r="BX192" s="180">
        <f t="shared" si="340"/>
        <v>0</v>
      </c>
      <c r="BY192" s="181">
        <f t="shared" si="341"/>
        <v>0</v>
      </c>
      <c r="BZ192" s="154">
        <f t="shared" si="342"/>
        <v>0</v>
      </c>
      <c r="CA192" s="182">
        <f t="shared" si="343"/>
        <v>0</v>
      </c>
      <c r="CB192" s="2">
        <f t="shared" si="344"/>
        <v>0</v>
      </c>
      <c r="CC192" s="2">
        <f t="shared" si="345"/>
        <v>0</v>
      </c>
      <c r="CD192" s="2">
        <f t="shared" si="346"/>
        <v>0</v>
      </c>
      <c r="CE192" s="2">
        <f t="shared" si="347"/>
        <v>0</v>
      </c>
      <c r="CF192" s="6">
        <f t="shared" si="348"/>
        <v>0</v>
      </c>
      <c r="CG192" s="6">
        <f t="shared" si="349"/>
        <v>0</v>
      </c>
      <c r="CH192" s="6">
        <f t="shared" si="350"/>
        <v>0</v>
      </c>
      <c r="CI192" s="20">
        <f t="shared" si="351"/>
        <v>0</v>
      </c>
      <c r="CJ192" s="133">
        <f t="shared" si="352"/>
        <v>2521</v>
      </c>
      <c r="CK192" s="5">
        <f t="shared" si="353"/>
        <v>0</v>
      </c>
      <c r="CL192" s="300"/>
      <c r="CM192" s="296" t="s">
        <v>13</v>
      </c>
      <c r="CN192" s="296" t="s">
        <v>1562</v>
      </c>
      <c r="CO192" s="296">
        <v>17</v>
      </c>
      <c r="CP192" s="296" t="s">
        <v>1564</v>
      </c>
      <c r="CQ192" s="296" t="s">
        <v>1131</v>
      </c>
      <c r="CR192" s="296" t="s">
        <v>644</v>
      </c>
      <c r="CS192" s="296" t="s">
        <v>1322</v>
      </c>
      <c r="CT192" s="296" t="s">
        <v>574</v>
      </c>
      <c r="CU192" s="297">
        <v>47118</v>
      </c>
      <c r="CV192" s="296">
        <v>0</v>
      </c>
      <c r="CW192" s="296">
        <v>0</v>
      </c>
      <c r="CX192" s="296">
        <v>0</v>
      </c>
      <c r="CY192" s="296">
        <v>0</v>
      </c>
      <c r="CZ192" s="296">
        <v>0</v>
      </c>
      <c r="DA192" s="296">
        <v>0</v>
      </c>
      <c r="DB192" s="296">
        <v>0</v>
      </c>
      <c r="DC192" s="296">
        <v>0</v>
      </c>
      <c r="DD192" s="296">
        <v>0</v>
      </c>
      <c r="DE192" s="296">
        <v>0</v>
      </c>
      <c r="DF192" s="296">
        <v>0</v>
      </c>
      <c r="DG192" s="296">
        <v>0</v>
      </c>
      <c r="DH192" s="296">
        <v>0</v>
      </c>
      <c r="DI192" s="296">
        <v>0</v>
      </c>
      <c r="DJ192" s="296">
        <v>0</v>
      </c>
      <c r="DK192" s="296">
        <v>0</v>
      </c>
      <c r="DL192" s="296">
        <v>0</v>
      </c>
      <c r="DM192" s="296">
        <v>0</v>
      </c>
      <c r="DN192" s="296">
        <v>0</v>
      </c>
      <c r="DO192" s="296">
        <v>0</v>
      </c>
      <c r="DP192" s="296">
        <v>0</v>
      </c>
      <c r="DQ192" s="296">
        <v>0</v>
      </c>
      <c r="DR192" s="296">
        <v>0</v>
      </c>
      <c r="DS192" s="296">
        <v>0</v>
      </c>
      <c r="DT192" s="296">
        <v>0</v>
      </c>
      <c r="DU192" s="296">
        <v>0</v>
      </c>
      <c r="DV192" s="301" t="s">
        <v>548</v>
      </c>
    </row>
    <row r="193" spans="1:126" ht="24.95" customHeight="1" thickBot="1" x14ac:dyDescent="0.3">
      <c r="A193" s="29" t="str">
        <f t="shared" si="265"/>
        <v>192º</v>
      </c>
      <c r="B193" s="69" t="str">
        <f t="shared" si="267"/>
        <v>Dermival Szermeta</v>
      </c>
      <c r="C193" s="269" t="str">
        <f t="shared" si="268"/>
        <v>BRA</v>
      </c>
      <c r="D193" s="99" t="str">
        <f t="shared" si="269"/>
        <v>Pé Direito</v>
      </c>
      <c r="E193" s="28" t="str">
        <f t="shared" si="270"/>
        <v>PAR</v>
      </c>
      <c r="F193" s="169">
        <f t="shared" si="271"/>
        <v>17</v>
      </c>
      <c r="G193" s="2" t="str">
        <f t="shared" si="272"/>
        <v>0 €</v>
      </c>
      <c r="H193" s="154">
        <f t="shared" si="273"/>
        <v>1.86</v>
      </c>
      <c r="I193" s="64">
        <f t="shared" si="274"/>
        <v>47118</v>
      </c>
      <c r="J193" s="304" t="str">
        <f t="shared" si="275"/>
        <v>525 € p/m</v>
      </c>
      <c r="K193" s="96">
        <f t="shared" si="266"/>
        <v>3.5222222222222221</v>
      </c>
      <c r="L193" s="146">
        <f t="shared" si="276"/>
        <v>0</v>
      </c>
      <c r="M193" s="6">
        <f t="shared" si="277"/>
        <v>0</v>
      </c>
      <c r="N193" s="5">
        <f t="shared" si="278"/>
        <v>5400</v>
      </c>
      <c r="O193" s="21">
        <f t="shared" si="279"/>
        <v>0</v>
      </c>
      <c r="P193" s="2">
        <f t="shared" si="280"/>
        <v>0</v>
      </c>
      <c r="Q193" s="2">
        <f t="shared" si="281"/>
        <v>0</v>
      </c>
      <c r="R193" s="5">
        <f t="shared" si="282"/>
        <v>0</v>
      </c>
      <c r="S193" s="2">
        <f t="shared" si="283"/>
        <v>0</v>
      </c>
      <c r="T193" s="2">
        <f t="shared" si="284"/>
        <v>0</v>
      </c>
      <c r="U193" s="102">
        <f t="shared" si="285"/>
        <v>0</v>
      </c>
      <c r="V193" s="102">
        <f t="shared" si="286"/>
        <v>0</v>
      </c>
      <c r="W193" s="6">
        <f t="shared" si="287"/>
        <v>0</v>
      </c>
      <c r="X193" s="5">
        <f t="shared" si="288"/>
        <v>0</v>
      </c>
      <c r="Y193" s="6">
        <f t="shared" si="289"/>
        <v>0</v>
      </c>
      <c r="Z193" s="5" t="e">
        <f t="shared" si="290"/>
        <v>#DIV/0!</v>
      </c>
      <c r="AA193" s="21">
        <f t="shared" si="291"/>
        <v>0</v>
      </c>
      <c r="AB193" s="6">
        <f t="shared" si="292"/>
        <v>0</v>
      </c>
      <c r="AC193" s="5" t="e">
        <f t="shared" si="293"/>
        <v>#DIV/0!</v>
      </c>
      <c r="AD193" s="6">
        <f t="shared" si="294"/>
        <v>0</v>
      </c>
      <c r="AE193" s="5">
        <f t="shared" si="295"/>
        <v>0</v>
      </c>
      <c r="AF193" s="21">
        <f t="shared" si="296"/>
        <v>0</v>
      </c>
      <c r="AG193" s="6">
        <f t="shared" si="297"/>
        <v>0</v>
      </c>
      <c r="AH193" s="5">
        <f t="shared" si="298"/>
        <v>0</v>
      </c>
      <c r="AI193" s="21">
        <f t="shared" si="299"/>
        <v>0</v>
      </c>
      <c r="AJ193" s="6">
        <f t="shared" si="300"/>
        <v>0</v>
      </c>
      <c r="AK193" s="5">
        <f t="shared" si="301"/>
        <v>0</v>
      </c>
      <c r="AL193" s="21">
        <f t="shared" si="302"/>
        <v>0</v>
      </c>
      <c r="AM193" s="21">
        <f t="shared" si="303"/>
        <v>0</v>
      </c>
      <c r="AN193" s="6">
        <f t="shared" si="304"/>
        <v>0</v>
      </c>
      <c r="AO193" s="5">
        <f t="shared" si="305"/>
        <v>0</v>
      </c>
      <c r="AP193" s="6">
        <f t="shared" si="306"/>
        <v>0</v>
      </c>
      <c r="AQ193" s="5">
        <f t="shared" si="307"/>
        <v>0</v>
      </c>
      <c r="AR193" s="2">
        <f t="shared" si="308"/>
        <v>0</v>
      </c>
      <c r="AS193" s="5">
        <f t="shared" si="309"/>
        <v>0</v>
      </c>
      <c r="AT193" s="21">
        <f t="shared" si="310"/>
        <v>0</v>
      </c>
      <c r="AU193" s="20">
        <f t="shared" si="311"/>
        <v>0</v>
      </c>
      <c r="AV193" s="20">
        <f t="shared" si="312"/>
        <v>1</v>
      </c>
      <c r="AW193" s="199">
        <f t="shared" si="313"/>
        <v>0</v>
      </c>
      <c r="AX193" s="24">
        <f t="shared" si="314"/>
        <v>0</v>
      </c>
      <c r="AY193" s="5">
        <f t="shared" si="315"/>
        <v>0</v>
      </c>
      <c r="AZ193" s="5">
        <f t="shared" si="316"/>
        <v>0</v>
      </c>
      <c r="BA193" s="5">
        <f t="shared" si="317"/>
        <v>0</v>
      </c>
      <c r="BB193" s="5">
        <f t="shared" si="318"/>
        <v>0</v>
      </c>
      <c r="BC193" s="5">
        <f t="shared" si="319"/>
        <v>0</v>
      </c>
      <c r="BD193" s="5">
        <f t="shared" si="320"/>
        <v>0</v>
      </c>
      <c r="BE193" s="199">
        <f t="shared" si="321"/>
        <v>0</v>
      </c>
      <c r="BF193" s="21">
        <f t="shared" si="322"/>
        <v>0</v>
      </c>
      <c r="BG193" s="6">
        <f t="shared" si="323"/>
        <v>0</v>
      </c>
      <c r="BH193" s="5" t="e">
        <f t="shared" si="324"/>
        <v>#DIV/0!</v>
      </c>
      <c r="BI193" s="6">
        <f t="shared" si="325"/>
        <v>0</v>
      </c>
      <c r="BJ193" s="5" t="e">
        <f t="shared" si="326"/>
        <v>#DIV/0!</v>
      </c>
      <c r="BK193" s="20">
        <f t="shared" si="327"/>
        <v>-9.9999999999999998E-13</v>
      </c>
      <c r="BL193" s="20">
        <f t="shared" si="328"/>
        <v>0</v>
      </c>
      <c r="BM193" s="6">
        <f t="shared" si="329"/>
        <v>0</v>
      </c>
      <c r="BN193" s="5">
        <f t="shared" si="330"/>
        <v>0</v>
      </c>
      <c r="BO193" s="333">
        <f t="shared" si="331"/>
        <v>0</v>
      </c>
      <c r="BP193" s="334">
        <f t="shared" si="332"/>
        <v>0</v>
      </c>
      <c r="BQ193" s="6">
        <f t="shared" si="333"/>
        <v>0</v>
      </c>
      <c r="BR193" s="5">
        <f t="shared" si="334"/>
        <v>0</v>
      </c>
      <c r="BS193" s="6">
        <f t="shared" si="335"/>
        <v>0</v>
      </c>
      <c r="BT193" s="5">
        <f t="shared" si="336"/>
        <v>0</v>
      </c>
      <c r="BU193" s="181">
        <f t="shared" si="337"/>
        <v>0</v>
      </c>
      <c r="BV193" s="154">
        <f t="shared" si="338"/>
        <v>0</v>
      </c>
      <c r="BW193" s="181">
        <f t="shared" si="339"/>
        <v>0</v>
      </c>
      <c r="BX193" s="180">
        <f t="shared" si="340"/>
        <v>0</v>
      </c>
      <c r="BY193" s="181">
        <f t="shared" si="341"/>
        <v>0</v>
      </c>
      <c r="BZ193" s="154">
        <f t="shared" si="342"/>
        <v>0</v>
      </c>
      <c r="CA193" s="182">
        <f t="shared" si="343"/>
        <v>0</v>
      </c>
      <c r="CB193" s="2">
        <f t="shared" si="344"/>
        <v>0</v>
      </c>
      <c r="CC193" s="2">
        <f t="shared" si="345"/>
        <v>0</v>
      </c>
      <c r="CD193" s="2">
        <f t="shared" si="346"/>
        <v>0</v>
      </c>
      <c r="CE193" s="2">
        <f t="shared" si="347"/>
        <v>0</v>
      </c>
      <c r="CF193" s="6">
        <f t="shared" si="348"/>
        <v>0</v>
      </c>
      <c r="CG193" s="6">
        <f t="shared" si="349"/>
        <v>0</v>
      </c>
      <c r="CH193" s="6">
        <f t="shared" si="350"/>
        <v>0</v>
      </c>
      <c r="CI193" s="20">
        <f t="shared" si="351"/>
        <v>0</v>
      </c>
      <c r="CJ193" s="133">
        <f t="shared" si="352"/>
        <v>2521</v>
      </c>
      <c r="CK193" s="5">
        <f t="shared" si="353"/>
        <v>0</v>
      </c>
      <c r="CL193" s="302" t="s">
        <v>1235</v>
      </c>
      <c r="CM193" s="298" t="s">
        <v>13</v>
      </c>
      <c r="CN193" s="298" t="s">
        <v>1565</v>
      </c>
      <c r="CO193" s="298">
        <v>17</v>
      </c>
      <c r="CP193" s="298" t="s">
        <v>1566</v>
      </c>
      <c r="CQ193" s="298" t="s">
        <v>1131</v>
      </c>
      <c r="CR193" s="298" t="s">
        <v>644</v>
      </c>
      <c r="CS193" s="298" t="s">
        <v>1322</v>
      </c>
      <c r="CT193" s="298" t="s">
        <v>575</v>
      </c>
      <c r="CU193" s="299">
        <v>47118</v>
      </c>
      <c r="CV193" s="298">
        <v>0</v>
      </c>
      <c r="CW193" s="298">
        <v>0</v>
      </c>
      <c r="CX193" s="298">
        <v>0</v>
      </c>
      <c r="CY193" s="298">
        <v>0</v>
      </c>
      <c r="CZ193" s="298">
        <v>0</v>
      </c>
      <c r="DA193" s="298">
        <v>0</v>
      </c>
      <c r="DB193" s="298">
        <v>0</v>
      </c>
      <c r="DC193" s="298">
        <v>0</v>
      </c>
      <c r="DD193" s="298">
        <v>0</v>
      </c>
      <c r="DE193" s="298">
        <v>0</v>
      </c>
      <c r="DF193" s="298">
        <v>0</v>
      </c>
      <c r="DG193" s="298">
        <v>0</v>
      </c>
      <c r="DH193" s="298">
        <v>0</v>
      </c>
      <c r="DI193" s="298">
        <v>0</v>
      </c>
      <c r="DJ193" s="298">
        <v>0</v>
      </c>
      <c r="DK193" s="298">
        <v>0</v>
      </c>
      <c r="DL193" s="298">
        <v>0</v>
      </c>
      <c r="DM193" s="298">
        <v>0</v>
      </c>
      <c r="DN193" s="298">
        <v>0</v>
      </c>
      <c r="DO193" s="298">
        <v>0</v>
      </c>
      <c r="DP193" s="298">
        <v>0</v>
      </c>
      <c r="DQ193" s="298">
        <v>0</v>
      </c>
      <c r="DR193" s="298">
        <v>0</v>
      </c>
      <c r="DS193" s="298">
        <v>0</v>
      </c>
      <c r="DT193" s="298">
        <v>0</v>
      </c>
      <c r="DU193" s="298">
        <v>0</v>
      </c>
      <c r="DV193" s="303" t="s">
        <v>548</v>
      </c>
    </row>
    <row r="194" spans="1:126" ht="24.95" customHeight="1" thickBot="1" x14ac:dyDescent="0.3">
      <c r="A194" s="29" t="str">
        <f t="shared" ref="A194:A257" si="354">ROW()-1 &amp; "º"</f>
        <v>193º</v>
      </c>
      <c r="B194" s="69" t="str">
        <f t="shared" si="267"/>
        <v>Clóvis Lebeis</v>
      </c>
      <c r="C194" s="269" t="str">
        <f t="shared" si="268"/>
        <v>BRA</v>
      </c>
      <c r="D194" s="99" t="str">
        <f t="shared" si="269"/>
        <v>Pé Direito</v>
      </c>
      <c r="E194" s="28" t="str">
        <f t="shared" si="270"/>
        <v>MAD</v>
      </c>
      <c r="F194" s="169">
        <f t="shared" si="271"/>
        <v>17</v>
      </c>
      <c r="G194" s="2" t="str">
        <f t="shared" si="272"/>
        <v>0 €</v>
      </c>
      <c r="H194" s="154">
        <f t="shared" si="273"/>
        <v>1.78</v>
      </c>
      <c r="I194" s="64">
        <f t="shared" si="274"/>
        <v>47118</v>
      </c>
      <c r="J194" s="304" t="str">
        <f t="shared" si="275"/>
        <v>525 € p/m</v>
      </c>
      <c r="K194" s="96">
        <f t="shared" ref="K194:K257" si="355">IFERROR(AVERAGE(L:L),0)</f>
        <v>3.5222222222222221</v>
      </c>
      <c r="L194" s="146">
        <f t="shared" si="276"/>
        <v>0</v>
      </c>
      <c r="M194" s="6">
        <f t="shared" si="277"/>
        <v>0</v>
      </c>
      <c r="N194" s="5">
        <f t="shared" si="278"/>
        <v>5400</v>
      </c>
      <c r="O194" s="21">
        <f t="shared" si="279"/>
        <v>0</v>
      </c>
      <c r="P194" s="2">
        <f t="shared" si="280"/>
        <v>0</v>
      </c>
      <c r="Q194" s="2">
        <f t="shared" si="281"/>
        <v>0</v>
      </c>
      <c r="R194" s="5">
        <f t="shared" si="282"/>
        <v>0</v>
      </c>
      <c r="S194" s="2">
        <f t="shared" si="283"/>
        <v>0</v>
      </c>
      <c r="T194" s="2">
        <f t="shared" si="284"/>
        <v>0</v>
      </c>
      <c r="U194" s="102">
        <f t="shared" si="285"/>
        <v>0</v>
      </c>
      <c r="V194" s="102">
        <f t="shared" si="286"/>
        <v>0</v>
      </c>
      <c r="W194" s="6">
        <f t="shared" si="287"/>
        <v>0</v>
      </c>
      <c r="X194" s="5">
        <f t="shared" si="288"/>
        <v>0</v>
      </c>
      <c r="Y194" s="6">
        <f t="shared" si="289"/>
        <v>0</v>
      </c>
      <c r="Z194" s="5" t="e">
        <f t="shared" si="290"/>
        <v>#DIV/0!</v>
      </c>
      <c r="AA194" s="21">
        <f t="shared" si="291"/>
        <v>0</v>
      </c>
      <c r="AB194" s="6">
        <f t="shared" si="292"/>
        <v>0</v>
      </c>
      <c r="AC194" s="5" t="e">
        <f t="shared" si="293"/>
        <v>#DIV/0!</v>
      </c>
      <c r="AD194" s="6">
        <f t="shared" si="294"/>
        <v>0</v>
      </c>
      <c r="AE194" s="5">
        <f t="shared" si="295"/>
        <v>0</v>
      </c>
      <c r="AF194" s="21">
        <f t="shared" si="296"/>
        <v>0</v>
      </c>
      <c r="AG194" s="6">
        <f t="shared" si="297"/>
        <v>0</v>
      </c>
      <c r="AH194" s="5">
        <f t="shared" si="298"/>
        <v>0</v>
      </c>
      <c r="AI194" s="21">
        <f t="shared" si="299"/>
        <v>0</v>
      </c>
      <c r="AJ194" s="6">
        <f t="shared" si="300"/>
        <v>0</v>
      </c>
      <c r="AK194" s="5">
        <f t="shared" si="301"/>
        <v>0</v>
      </c>
      <c r="AL194" s="21">
        <f t="shared" si="302"/>
        <v>0</v>
      </c>
      <c r="AM194" s="21">
        <f t="shared" si="303"/>
        <v>0</v>
      </c>
      <c r="AN194" s="6">
        <f t="shared" si="304"/>
        <v>0</v>
      </c>
      <c r="AO194" s="5">
        <f t="shared" si="305"/>
        <v>0</v>
      </c>
      <c r="AP194" s="6">
        <f t="shared" si="306"/>
        <v>0</v>
      </c>
      <c r="AQ194" s="5">
        <f t="shared" si="307"/>
        <v>0</v>
      </c>
      <c r="AR194" s="2">
        <f t="shared" si="308"/>
        <v>0</v>
      </c>
      <c r="AS194" s="5">
        <f t="shared" si="309"/>
        <v>0</v>
      </c>
      <c r="AT194" s="21">
        <f t="shared" si="310"/>
        <v>0</v>
      </c>
      <c r="AU194" s="20">
        <f t="shared" si="311"/>
        <v>0</v>
      </c>
      <c r="AV194" s="20">
        <f t="shared" si="312"/>
        <v>1</v>
      </c>
      <c r="AW194" s="199">
        <f t="shared" si="313"/>
        <v>0</v>
      </c>
      <c r="AX194" s="24">
        <f t="shared" si="314"/>
        <v>0</v>
      </c>
      <c r="AY194" s="5">
        <f t="shared" si="315"/>
        <v>0</v>
      </c>
      <c r="AZ194" s="5">
        <f t="shared" si="316"/>
        <v>0</v>
      </c>
      <c r="BA194" s="5">
        <f t="shared" si="317"/>
        <v>0</v>
      </c>
      <c r="BB194" s="5">
        <f t="shared" si="318"/>
        <v>0</v>
      </c>
      <c r="BC194" s="5">
        <f t="shared" si="319"/>
        <v>0</v>
      </c>
      <c r="BD194" s="5">
        <f t="shared" si="320"/>
        <v>0</v>
      </c>
      <c r="BE194" s="199">
        <f t="shared" si="321"/>
        <v>0</v>
      </c>
      <c r="BF194" s="21">
        <f t="shared" si="322"/>
        <v>0</v>
      </c>
      <c r="BG194" s="6">
        <f t="shared" si="323"/>
        <v>0</v>
      </c>
      <c r="BH194" s="5" t="e">
        <f t="shared" si="324"/>
        <v>#DIV/0!</v>
      </c>
      <c r="BI194" s="6">
        <f t="shared" si="325"/>
        <v>0</v>
      </c>
      <c r="BJ194" s="5" t="e">
        <f t="shared" si="326"/>
        <v>#DIV/0!</v>
      </c>
      <c r="BK194" s="20">
        <f t="shared" si="327"/>
        <v>-9.9999999999999998E-13</v>
      </c>
      <c r="BL194" s="20">
        <f t="shared" si="328"/>
        <v>0</v>
      </c>
      <c r="BM194" s="6">
        <f t="shared" si="329"/>
        <v>0</v>
      </c>
      <c r="BN194" s="5">
        <f t="shared" si="330"/>
        <v>0</v>
      </c>
      <c r="BO194" s="333">
        <f t="shared" si="331"/>
        <v>0</v>
      </c>
      <c r="BP194" s="334">
        <f t="shared" si="332"/>
        <v>0</v>
      </c>
      <c r="BQ194" s="6">
        <f t="shared" si="333"/>
        <v>0</v>
      </c>
      <c r="BR194" s="5">
        <f t="shared" si="334"/>
        <v>0</v>
      </c>
      <c r="BS194" s="6">
        <f t="shared" si="335"/>
        <v>0</v>
      </c>
      <c r="BT194" s="5">
        <f t="shared" si="336"/>
        <v>0</v>
      </c>
      <c r="BU194" s="181">
        <f t="shared" si="337"/>
        <v>0</v>
      </c>
      <c r="BV194" s="154">
        <f t="shared" si="338"/>
        <v>0</v>
      </c>
      <c r="BW194" s="181">
        <f t="shared" si="339"/>
        <v>0</v>
      </c>
      <c r="BX194" s="180">
        <f t="shared" si="340"/>
        <v>0</v>
      </c>
      <c r="BY194" s="181">
        <f t="shared" si="341"/>
        <v>0</v>
      </c>
      <c r="BZ194" s="154">
        <f t="shared" si="342"/>
        <v>0</v>
      </c>
      <c r="CA194" s="182">
        <f t="shared" si="343"/>
        <v>0</v>
      </c>
      <c r="CB194" s="2">
        <f t="shared" si="344"/>
        <v>0</v>
      </c>
      <c r="CC194" s="2">
        <f t="shared" si="345"/>
        <v>0</v>
      </c>
      <c r="CD194" s="2">
        <f t="shared" si="346"/>
        <v>0</v>
      </c>
      <c r="CE194" s="2">
        <f t="shared" si="347"/>
        <v>0</v>
      </c>
      <c r="CF194" s="6">
        <f t="shared" si="348"/>
        <v>0</v>
      </c>
      <c r="CG194" s="6">
        <f t="shared" si="349"/>
        <v>0</v>
      </c>
      <c r="CH194" s="6">
        <f t="shared" si="350"/>
        <v>0</v>
      </c>
      <c r="CI194" s="20">
        <f t="shared" si="351"/>
        <v>0</v>
      </c>
      <c r="CJ194" s="133">
        <f t="shared" si="352"/>
        <v>2521</v>
      </c>
      <c r="CK194" s="5">
        <f t="shared" si="353"/>
        <v>0</v>
      </c>
      <c r="CL194" s="300" t="s">
        <v>1235</v>
      </c>
      <c r="CM194" s="296" t="s">
        <v>13</v>
      </c>
      <c r="CN194" s="296" t="s">
        <v>1567</v>
      </c>
      <c r="CO194" s="296">
        <v>17</v>
      </c>
      <c r="CP194" s="296" t="s">
        <v>1568</v>
      </c>
      <c r="CQ194" s="296" t="s">
        <v>1131</v>
      </c>
      <c r="CR194" s="296" t="s">
        <v>644</v>
      </c>
      <c r="CS194" s="296" t="s">
        <v>1322</v>
      </c>
      <c r="CT194" s="296" t="s">
        <v>550</v>
      </c>
      <c r="CU194" s="297">
        <v>47118</v>
      </c>
      <c r="CV194" s="296">
        <v>0</v>
      </c>
      <c r="CW194" s="296">
        <v>0</v>
      </c>
      <c r="CX194" s="296">
        <v>0</v>
      </c>
      <c r="CY194" s="296">
        <v>0</v>
      </c>
      <c r="CZ194" s="296">
        <v>0</v>
      </c>
      <c r="DA194" s="296">
        <v>0</v>
      </c>
      <c r="DB194" s="296">
        <v>0</v>
      </c>
      <c r="DC194" s="296">
        <v>0</v>
      </c>
      <c r="DD194" s="296">
        <v>0</v>
      </c>
      <c r="DE194" s="296">
        <v>0</v>
      </c>
      <c r="DF194" s="296">
        <v>0</v>
      </c>
      <c r="DG194" s="296">
        <v>0</v>
      </c>
      <c r="DH194" s="296">
        <v>0</v>
      </c>
      <c r="DI194" s="296">
        <v>0</v>
      </c>
      <c r="DJ194" s="296">
        <v>0</v>
      </c>
      <c r="DK194" s="296">
        <v>0</v>
      </c>
      <c r="DL194" s="296">
        <v>0</v>
      </c>
      <c r="DM194" s="296">
        <v>0</v>
      </c>
      <c r="DN194" s="296">
        <v>0</v>
      </c>
      <c r="DO194" s="296">
        <v>0</v>
      </c>
      <c r="DP194" s="296">
        <v>0</v>
      </c>
      <c r="DQ194" s="296">
        <v>0</v>
      </c>
      <c r="DR194" s="296">
        <v>0</v>
      </c>
      <c r="DS194" s="296">
        <v>0</v>
      </c>
      <c r="DT194" s="296">
        <v>0</v>
      </c>
      <c r="DU194" s="296">
        <v>0</v>
      </c>
      <c r="DV194" s="301" t="s">
        <v>548</v>
      </c>
    </row>
    <row r="195" spans="1:126" ht="24.95" customHeight="1" thickBot="1" x14ac:dyDescent="0.3">
      <c r="A195" s="29" t="str">
        <f t="shared" si="354"/>
        <v>194º</v>
      </c>
      <c r="B195" s="69" t="str">
        <f t="shared" si="267"/>
        <v>Francismar Barbosa</v>
      </c>
      <c r="C195" s="269" t="str">
        <f t="shared" si="268"/>
        <v>BRA</v>
      </c>
      <c r="D195" s="99" t="str">
        <f t="shared" si="269"/>
        <v>Somente Pé Direito</v>
      </c>
      <c r="E195" s="28" t="str">
        <f t="shared" si="270"/>
        <v>São Caetano</v>
      </c>
      <c r="F195" s="169">
        <f t="shared" si="271"/>
        <v>17</v>
      </c>
      <c r="G195" s="2" t="str">
        <f t="shared" si="272"/>
        <v>0 €</v>
      </c>
      <c r="H195" s="154">
        <f t="shared" si="273"/>
        <v>1.89</v>
      </c>
      <c r="I195" s="64">
        <f t="shared" si="274"/>
        <v>47118</v>
      </c>
      <c r="J195" s="304" t="str">
        <f t="shared" si="275"/>
        <v>525 € p/m</v>
      </c>
      <c r="K195" s="96">
        <f t="shared" si="355"/>
        <v>3.5222222222222221</v>
      </c>
      <c r="L195" s="146">
        <f t="shared" si="276"/>
        <v>0</v>
      </c>
      <c r="M195" s="6">
        <f t="shared" si="277"/>
        <v>0</v>
      </c>
      <c r="N195" s="5">
        <f t="shared" si="278"/>
        <v>5400</v>
      </c>
      <c r="O195" s="21">
        <f t="shared" si="279"/>
        <v>0</v>
      </c>
      <c r="P195" s="2">
        <f t="shared" si="280"/>
        <v>0</v>
      </c>
      <c r="Q195" s="2">
        <f t="shared" si="281"/>
        <v>0</v>
      </c>
      <c r="R195" s="5">
        <f t="shared" si="282"/>
        <v>0</v>
      </c>
      <c r="S195" s="2">
        <f t="shared" si="283"/>
        <v>0</v>
      </c>
      <c r="T195" s="2">
        <f t="shared" si="284"/>
        <v>0</v>
      </c>
      <c r="U195" s="102">
        <f t="shared" si="285"/>
        <v>0</v>
      </c>
      <c r="V195" s="102">
        <f t="shared" si="286"/>
        <v>0</v>
      </c>
      <c r="W195" s="6">
        <f t="shared" si="287"/>
        <v>0</v>
      </c>
      <c r="X195" s="5">
        <f t="shared" si="288"/>
        <v>0</v>
      </c>
      <c r="Y195" s="6">
        <f t="shared" si="289"/>
        <v>0</v>
      </c>
      <c r="Z195" s="5" t="e">
        <f t="shared" si="290"/>
        <v>#DIV/0!</v>
      </c>
      <c r="AA195" s="21">
        <f t="shared" si="291"/>
        <v>0</v>
      </c>
      <c r="AB195" s="6">
        <f t="shared" si="292"/>
        <v>0</v>
      </c>
      <c r="AC195" s="5" t="e">
        <f t="shared" si="293"/>
        <v>#DIV/0!</v>
      </c>
      <c r="AD195" s="6">
        <f t="shared" si="294"/>
        <v>0</v>
      </c>
      <c r="AE195" s="5">
        <f t="shared" si="295"/>
        <v>0</v>
      </c>
      <c r="AF195" s="21">
        <f t="shared" si="296"/>
        <v>0</v>
      </c>
      <c r="AG195" s="6">
        <f t="shared" si="297"/>
        <v>0</v>
      </c>
      <c r="AH195" s="5">
        <f t="shared" si="298"/>
        <v>0</v>
      </c>
      <c r="AI195" s="21">
        <f t="shared" si="299"/>
        <v>0</v>
      </c>
      <c r="AJ195" s="6">
        <f t="shared" si="300"/>
        <v>0</v>
      </c>
      <c r="AK195" s="5">
        <f t="shared" si="301"/>
        <v>0</v>
      </c>
      <c r="AL195" s="21">
        <f t="shared" si="302"/>
        <v>0</v>
      </c>
      <c r="AM195" s="21">
        <f t="shared" si="303"/>
        <v>0</v>
      </c>
      <c r="AN195" s="6">
        <f t="shared" si="304"/>
        <v>0</v>
      </c>
      <c r="AO195" s="5">
        <f t="shared" si="305"/>
        <v>0</v>
      </c>
      <c r="AP195" s="6">
        <f t="shared" si="306"/>
        <v>0</v>
      </c>
      <c r="AQ195" s="5">
        <f t="shared" si="307"/>
        <v>0</v>
      </c>
      <c r="AR195" s="2">
        <f t="shared" si="308"/>
        <v>0</v>
      </c>
      <c r="AS195" s="5">
        <f t="shared" si="309"/>
        <v>0</v>
      </c>
      <c r="AT195" s="21">
        <f t="shared" si="310"/>
        <v>0</v>
      </c>
      <c r="AU195" s="20">
        <f t="shared" si="311"/>
        <v>0</v>
      </c>
      <c r="AV195" s="20">
        <f t="shared" si="312"/>
        <v>1</v>
      </c>
      <c r="AW195" s="199">
        <f t="shared" si="313"/>
        <v>0</v>
      </c>
      <c r="AX195" s="24">
        <f t="shared" si="314"/>
        <v>0</v>
      </c>
      <c r="AY195" s="5">
        <f t="shared" si="315"/>
        <v>0</v>
      </c>
      <c r="AZ195" s="5">
        <f t="shared" si="316"/>
        <v>0</v>
      </c>
      <c r="BA195" s="5">
        <f t="shared" si="317"/>
        <v>0</v>
      </c>
      <c r="BB195" s="5">
        <f t="shared" si="318"/>
        <v>0</v>
      </c>
      <c r="BC195" s="5">
        <f t="shared" si="319"/>
        <v>0</v>
      </c>
      <c r="BD195" s="5">
        <f t="shared" si="320"/>
        <v>0</v>
      </c>
      <c r="BE195" s="199">
        <f t="shared" si="321"/>
        <v>0</v>
      </c>
      <c r="BF195" s="21">
        <f t="shared" si="322"/>
        <v>0</v>
      </c>
      <c r="BG195" s="6">
        <f t="shared" si="323"/>
        <v>0</v>
      </c>
      <c r="BH195" s="5" t="e">
        <f t="shared" si="324"/>
        <v>#DIV/0!</v>
      </c>
      <c r="BI195" s="6">
        <f t="shared" si="325"/>
        <v>0</v>
      </c>
      <c r="BJ195" s="5" t="e">
        <f t="shared" si="326"/>
        <v>#DIV/0!</v>
      </c>
      <c r="BK195" s="20">
        <f t="shared" si="327"/>
        <v>-9.9999999999999998E-13</v>
      </c>
      <c r="BL195" s="20">
        <f t="shared" si="328"/>
        <v>0</v>
      </c>
      <c r="BM195" s="6">
        <f t="shared" si="329"/>
        <v>0</v>
      </c>
      <c r="BN195" s="5">
        <f t="shared" si="330"/>
        <v>0</v>
      </c>
      <c r="BO195" s="333">
        <f t="shared" si="331"/>
        <v>0</v>
      </c>
      <c r="BP195" s="334">
        <f t="shared" si="332"/>
        <v>0</v>
      </c>
      <c r="BQ195" s="6">
        <f t="shared" si="333"/>
        <v>0</v>
      </c>
      <c r="BR195" s="5">
        <f t="shared" si="334"/>
        <v>0</v>
      </c>
      <c r="BS195" s="6">
        <f t="shared" si="335"/>
        <v>0</v>
      </c>
      <c r="BT195" s="5">
        <f t="shared" si="336"/>
        <v>0</v>
      </c>
      <c r="BU195" s="181">
        <f t="shared" si="337"/>
        <v>0</v>
      </c>
      <c r="BV195" s="154">
        <f t="shared" si="338"/>
        <v>0</v>
      </c>
      <c r="BW195" s="181">
        <f t="shared" si="339"/>
        <v>0</v>
      </c>
      <c r="BX195" s="180">
        <f t="shared" si="340"/>
        <v>0</v>
      </c>
      <c r="BY195" s="181">
        <f t="shared" si="341"/>
        <v>0</v>
      </c>
      <c r="BZ195" s="154">
        <f t="shared" si="342"/>
        <v>0</v>
      </c>
      <c r="CA195" s="182">
        <f t="shared" si="343"/>
        <v>0</v>
      </c>
      <c r="CB195" s="2">
        <f t="shared" si="344"/>
        <v>0</v>
      </c>
      <c r="CC195" s="2">
        <f t="shared" si="345"/>
        <v>0</v>
      </c>
      <c r="CD195" s="2">
        <f t="shared" si="346"/>
        <v>0</v>
      </c>
      <c r="CE195" s="2">
        <f t="shared" si="347"/>
        <v>0</v>
      </c>
      <c r="CF195" s="6">
        <f t="shared" si="348"/>
        <v>0</v>
      </c>
      <c r="CG195" s="6">
        <f t="shared" si="349"/>
        <v>0</v>
      </c>
      <c r="CH195" s="6">
        <f t="shared" si="350"/>
        <v>0</v>
      </c>
      <c r="CI195" s="20">
        <f t="shared" si="351"/>
        <v>0</v>
      </c>
      <c r="CJ195" s="133">
        <f t="shared" si="352"/>
        <v>2521</v>
      </c>
      <c r="CK195" s="5">
        <f t="shared" si="353"/>
        <v>0</v>
      </c>
      <c r="CL195" s="302"/>
      <c r="CM195" s="298" t="s">
        <v>13</v>
      </c>
      <c r="CN195" s="298" t="s">
        <v>1569</v>
      </c>
      <c r="CO195" s="298">
        <v>17</v>
      </c>
      <c r="CP195" s="298" t="s">
        <v>1570</v>
      </c>
      <c r="CQ195" s="298" t="s">
        <v>1131</v>
      </c>
      <c r="CR195" s="298" t="s">
        <v>645</v>
      </c>
      <c r="CS195" s="298" t="s">
        <v>1322</v>
      </c>
      <c r="CT195" s="298" t="s">
        <v>593</v>
      </c>
      <c r="CU195" s="299">
        <v>47118</v>
      </c>
      <c r="CV195" s="298">
        <v>0</v>
      </c>
      <c r="CW195" s="298">
        <v>0</v>
      </c>
      <c r="CX195" s="298">
        <v>0</v>
      </c>
      <c r="CY195" s="298">
        <v>0</v>
      </c>
      <c r="CZ195" s="298">
        <v>0</v>
      </c>
      <c r="DA195" s="298">
        <v>0</v>
      </c>
      <c r="DB195" s="298">
        <v>0</v>
      </c>
      <c r="DC195" s="298">
        <v>0</v>
      </c>
      <c r="DD195" s="298">
        <v>0</v>
      </c>
      <c r="DE195" s="298">
        <v>0</v>
      </c>
      <c r="DF195" s="298">
        <v>0</v>
      </c>
      <c r="DG195" s="298">
        <v>0</v>
      </c>
      <c r="DH195" s="298">
        <v>0</v>
      </c>
      <c r="DI195" s="298">
        <v>0</v>
      </c>
      <c r="DJ195" s="298">
        <v>0</v>
      </c>
      <c r="DK195" s="298">
        <v>0</v>
      </c>
      <c r="DL195" s="298">
        <v>0</v>
      </c>
      <c r="DM195" s="298">
        <v>0</v>
      </c>
      <c r="DN195" s="298">
        <v>0</v>
      </c>
      <c r="DO195" s="298">
        <v>0</v>
      </c>
      <c r="DP195" s="298">
        <v>0</v>
      </c>
      <c r="DQ195" s="298">
        <v>0</v>
      </c>
      <c r="DR195" s="298">
        <v>0</v>
      </c>
      <c r="DS195" s="298">
        <v>0</v>
      </c>
      <c r="DT195" s="298">
        <v>0</v>
      </c>
      <c r="DU195" s="298">
        <v>0</v>
      </c>
      <c r="DV195" s="303" t="s">
        <v>548</v>
      </c>
    </row>
    <row r="196" spans="1:126" ht="24.95" customHeight="1" thickBot="1" x14ac:dyDescent="0.3">
      <c r="A196" s="29" t="str">
        <f t="shared" si="354"/>
        <v>195º</v>
      </c>
      <c r="B196" s="69" t="str">
        <f t="shared" si="267"/>
        <v>Benedito</v>
      </c>
      <c r="C196" s="269" t="str">
        <f t="shared" si="268"/>
        <v>BRA</v>
      </c>
      <c r="D196" s="99" t="str">
        <f t="shared" si="269"/>
        <v>Pé Direito</v>
      </c>
      <c r="E196" s="28" t="str">
        <f t="shared" si="270"/>
        <v>União São João</v>
      </c>
      <c r="F196" s="169">
        <f t="shared" si="271"/>
        <v>17</v>
      </c>
      <c r="G196" s="2" t="str">
        <f t="shared" si="272"/>
        <v>0 €</v>
      </c>
      <c r="H196" s="154">
        <f t="shared" si="273"/>
        <v>1.83</v>
      </c>
      <c r="I196" s="64">
        <f t="shared" si="274"/>
        <v>47118</v>
      </c>
      <c r="J196" s="304" t="str">
        <f t="shared" si="275"/>
        <v>525 € p/m</v>
      </c>
      <c r="K196" s="96">
        <f t="shared" si="355"/>
        <v>3.5222222222222221</v>
      </c>
      <c r="L196" s="146">
        <f t="shared" si="276"/>
        <v>20</v>
      </c>
      <c r="M196" s="6">
        <f t="shared" si="277"/>
        <v>0</v>
      </c>
      <c r="N196" s="5">
        <f t="shared" si="278"/>
        <v>5400</v>
      </c>
      <c r="O196" s="21">
        <f t="shared" si="279"/>
        <v>0</v>
      </c>
      <c r="P196" s="2">
        <f t="shared" si="280"/>
        <v>400</v>
      </c>
      <c r="Q196" s="2">
        <f t="shared" si="281"/>
        <v>226</v>
      </c>
      <c r="R196" s="5">
        <f t="shared" si="282"/>
        <v>11.3</v>
      </c>
      <c r="S196" s="2">
        <f t="shared" si="283"/>
        <v>174</v>
      </c>
      <c r="T196" s="2">
        <f t="shared" si="284"/>
        <v>52</v>
      </c>
      <c r="U196" s="102">
        <f t="shared" si="285"/>
        <v>0.435</v>
      </c>
      <c r="V196" s="102">
        <f t="shared" si="286"/>
        <v>0.56499999999999995</v>
      </c>
      <c r="W196" s="6">
        <f t="shared" si="287"/>
        <v>400</v>
      </c>
      <c r="X196" s="5">
        <f t="shared" si="288"/>
        <v>20</v>
      </c>
      <c r="Y196" s="6">
        <f t="shared" si="289"/>
        <v>0</v>
      </c>
      <c r="Z196" s="5">
        <f t="shared" si="290"/>
        <v>0</v>
      </c>
      <c r="AA196" s="21">
        <f t="shared" si="291"/>
        <v>0</v>
      </c>
      <c r="AB196" s="6">
        <f t="shared" si="292"/>
        <v>0</v>
      </c>
      <c r="AC196" s="5">
        <f t="shared" si="293"/>
        <v>0</v>
      </c>
      <c r="AD196" s="6">
        <f t="shared" si="294"/>
        <v>0</v>
      </c>
      <c r="AE196" s="5">
        <f t="shared" si="295"/>
        <v>0</v>
      </c>
      <c r="AF196" s="21">
        <f t="shared" si="296"/>
        <v>0</v>
      </c>
      <c r="AG196" s="6">
        <f t="shared" si="297"/>
        <v>0</v>
      </c>
      <c r="AH196" s="5">
        <f t="shared" si="298"/>
        <v>0</v>
      </c>
      <c r="AI196" s="21">
        <f t="shared" si="299"/>
        <v>0</v>
      </c>
      <c r="AJ196" s="6">
        <f t="shared" si="300"/>
        <v>0</v>
      </c>
      <c r="AK196" s="5">
        <f t="shared" si="301"/>
        <v>0</v>
      </c>
      <c r="AL196" s="21">
        <f t="shared" si="302"/>
        <v>0</v>
      </c>
      <c r="AM196" s="21">
        <f t="shared" si="303"/>
        <v>0.25</v>
      </c>
      <c r="AN196" s="6">
        <f t="shared" si="304"/>
        <v>5</v>
      </c>
      <c r="AO196" s="5">
        <f t="shared" si="305"/>
        <v>0.25</v>
      </c>
      <c r="AP196" s="6">
        <f t="shared" si="306"/>
        <v>0</v>
      </c>
      <c r="AQ196" s="5">
        <f t="shared" si="307"/>
        <v>0</v>
      </c>
      <c r="AR196" s="2">
        <f t="shared" si="308"/>
        <v>28</v>
      </c>
      <c r="AS196" s="5">
        <f t="shared" si="309"/>
        <v>1.4</v>
      </c>
      <c r="AT196" s="21">
        <f t="shared" si="310"/>
        <v>0</v>
      </c>
      <c r="AU196" s="20">
        <f t="shared" si="311"/>
        <v>0</v>
      </c>
      <c r="AV196" s="20">
        <f t="shared" si="312"/>
        <v>1</v>
      </c>
      <c r="AW196" s="199">
        <f t="shared" si="313"/>
        <v>0</v>
      </c>
      <c r="AX196" s="24">
        <f t="shared" si="314"/>
        <v>64.285714285714292</v>
      </c>
      <c r="AY196" s="5">
        <f t="shared" si="315"/>
        <v>1</v>
      </c>
      <c r="AZ196" s="5">
        <f t="shared" si="316"/>
        <v>1</v>
      </c>
      <c r="BA196" s="5">
        <f t="shared" si="317"/>
        <v>0</v>
      </c>
      <c r="BB196" s="5">
        <f t="shared" si="318"/>
        <v>0</v>
      </c>
      <c r="BC196" s="5">
        <f t="shared" si="319"/>
        <v>0</v>
      </c>
      <c r="BD196" s="5">
        <f t="shared" si="320"/>
        <v>0</v>
      </c>
      <c r="BE196" s="199">
        <f t="shared" si="321"/>
        <v>0</v>
      </c>
      <c r="BF196" s="21">
        <f t="shared" si="322"/>
        <v>0</v>
      </c>
      <c r="BG196" s="6">
        <f t="shared" si="323"/>
        <v>0</v>
      </c>
      <c r="BH196" s="5">
        <f t="shared" si="324"/>
        <v>0</v>
      </c>
      <c r="BI196" s="6">
        <f t="shared" si="325"/>
        <v>0</v>
      </c>
      <c r="BJ196" s="5">
        <f t="shared" si="326"/>
        <v>0</v>
      </c>
      <c r="BK196" s="20">
        <f t="shared" si="327"/>
        <v>-9.9999999999999998E-13</v>
      </c>
      <c r="BL196" s="20">
        <f t="shared" si="328"/>
        <v>1.8880647336480108E-2</v>
      </c>
      <c r="BM196" s="6">
        <f t="shared" si="329"/>
        <v>28</v>
      </c>
      <c r="BN196" s="5">
        <f t="shared" si="330"/>
        <v>1.4</v>
      </c>
      <c r="BO196" s="333">
        <f t="shared" si="331"/>
        <v>0</v>
      </c>
      <c r="BP196" s="334">
        <f t="shared" si="332"/>
        <v>0</v>
      </c>
      <c r="BQ196" s="6">
        <f t="shared" si="333"/>
        <v>0</v>
      </c>
      <c r="BR196" s="5">
        <f t="shared" si="334"/>
        <v>0</v>
      </c>
      <c r="BS196" s="6">
        <f t="shared" si="335"/>
        <v>0</v>
      </c>
      <c r="BT196" s="5">
        <f t="shared" si="336"/>
        <v>0</v>
      </c>
      <c r="BU196" s="181">
        <f t="shared" si="337"/>
        <v>0</v>
      </c>
      <c r="BV196" s="154">
        <f t="shared" si="338"/>
        <v>0</v>
      </c>
      <c r="BW196" s="181">
        <f t="shared" si="339"/>
        <v>0</v>
      </c>
      <c r="BX196" s="180">
        <f t="shared" si="340"/>
        <v>0</v>
      </c>
      <c r="BY196" s="181">
        <f t="shared" si="341"/>
        <v>0</v>
      </c>
      <c r="BZ196" s="154">
        <f t="shared" si="342"/>
        <v>0</v>
      </c>
      <c r="CA196" s="182">
        <f t="shared" si="343"/>
        <v>0</v>
      </c>
      <c r="CB196" s="2">
        <f t="shared" si="344"/>
        <v>0</v>
      </c>
      <c r="CC196" s="2">
        <f t="shared" si="345"/>
        <v>0</v>
      </c>
      <c r="CD196" s="2">
        <f t="shared" si="346"/>
        <v>0</v>
      </c>
      <c r="CE196" s="2">
        <f t="shared" si="347"/>
        <v>5</v>
      </c>
      <c r="CF196" s="6">
        <f t="shared" si="348"/>
        <v>0</v>
      </c>
      <c r="CG196" s="6">
        <f t="shared" si="349"/>
        <v>438</v>
      </c>
      <c r="CH196" s="6">
        <f t="shared" si="350"/>
        <v>226</v>
      </c>
      <c r="CI196" s="20">
        <f t="shared" si="351"/>
        <v>0.51598173515981738</v>
      </c>
      <c r="CJ196" s="133">
        <f t="shared" si="352"/>
        <v>2521</v>
      </c>
      <c r="CK196" s="5">
        <f t="shared" si="353"/>
        <v>6.56</v>
      </c>
      <c r="CL196" s="300"/>
      <c r="CM196" s="296" t="s">
        <v>13</v>
      </c>
      <c r="CN196" s="296" t="s">
        <v>1571</v>
      </c>
      <c r="CO196" s="296">
        <v>17</v>
      </c>
      <c r="CP196" s="296" t="s">
        <v>1572</v>
      </c>
      <c r="CQ196" s="296" t="s">
        <v>1131</v>
      </c>
      <c r="CR196" s="296" t="s">
        <v>644</v>
      </c>
      <c r="CS196" s="296" t="s">
        <v>1322</v>
      </c>
      <c r="CT196" s="296" t="s">
        <v>586</v>
      </c>
      <c r="CU196" s="297">
        <v>47118</v>
      </c>
      <c r="CV196" s="296">
        <v>0</v>
      </c>
      <c r="CW196" s="296">
        <v>1800</v>
      </c>
      <c r="CX196" s="296">
        <v>28</v>
      </c>
      <c r="CY196" s="296">
        <v>0</v>
      </c>
      <c r="CZ196" s="296">
        <v>0</v>
      </c>
      <c r="DA196" s="296">
        <v>0</v>
      </c>
      <c r="DB196" s="296">
        <v>0</v>
      </c>
      <c r="DC196" s="296">
        <v>0</v>
      </c>
      <c r="DD196" s="296">
        <v>0</v>
      </c>
      <c r="DE196" s="296">
        <v>5</v>
      </c>
      <c r="DF196" s="296">
        <v>0</v>
      </c>
      <c r="DG196" s="296">
        <v>0</v>
      </c>
      <c r="DH196" s="296">
        <v>0</v>
      </c>
      <c r="DI196" s="296">
        <v>5</v>
      </c>
      <c r="DJ196" s="296">
        <v>0</v>
      </c>
      <c r="DK196" s="296">
        <v>0</v>
      </c>
      <c r="DL196" s="296">
        <v>400</v>
      </c>
      <c r="DM196" s="296">
        <v>226</v>
      </c>
      <c r="DN196" s="296">
        <v>0</v>
      </c>
      <c r="DO196" s="296">
        <v>0</v>
      </c>
      <c r="DP196" s="296">
        <v>0</v>
      </c>
      <c r="DQ196" s="296">
        <v>0</v>
      </c>
      <c r="DR196" s="296">
        <v>0</v>
      </c>
      <c r="DS196" s="296">
        <v>0</v>
      </c>
      <c r="DT196" s="296">
        <v>0</v>
      </c>
      <c r="DU196" s="296">
        <v>0</v>
      </c>
      <c r="DV196" s="301">
        <v>6.56</v>
      </c>
    </row>
    <row r="197" spans="1:126" ht="24.95" customHeight="1" thickBot="1" x14ac:dyDescent="0.3">
      <c r="A197" s="29" t="str">
        <f t="shared" si="354"/>
        <v>196º</v>
      </c>
      <c r="B197" s="69" t="str">
        <f t="shared" si="267"/>
        <v>Ramon Dassie</v>
      </c>
      <c r="C197" s="269" t="str">
        <f t="shared" si="268"/>
        <v>BRA</v>
      </c>
      <c r="D197" s="99" t="str">
        <f t="shared" si="269"/>
        <v>Pé Direito</v>
      </c>
      <c r="E197" s="28" t="str">
        <f t="shared" si="270"/>
        <v>Nova Iguaçu</v>
      </c>
      <c r="F197" s="169">
        <f t="shared" si="271"/>
        <v>17</v>
      </c>
      <c r="G197" s="2" t="str">
        <f t="shared" si="272"/>
        <v>0 €</v>
      </c>
      <c r="H197" s="154">
        <f t="shared" si="273"/>
        <v>1.79</v>
      </c>
      <c r="I197" s="64">
        <f t="shared" si="274"/>
        <v>47118</v>
      </c>
      <c r="J197" s="304" t="str">
        <f t="shared" si="275"/>
        <v>525 € p/m</v>
      </c>
      <c r="K197" s="96">
        <f t="shared" si="355"/>
        <v>3.5222222222222221</v>
      </c>
      <c r="L197" s="146">
        <f t="shared" si="276"/>
        <v>0</v>
      </c>
      <c r="M197" s="6">
        <f t="shared" si="277"/>
        <v>0</v>
      </c>
      <c r="N197" s="5">
        <f t="shared" si="278"/>
        <v>5400</v>
      </c>
      <c r="O197" s="21">
        <f t="shared" si="279"/>
        <v>0</v>
      </c>
      <c r="P197" s="2">
        <f t="shared" si="280"/>
        <v>0</v>
      </c>
      <c r="Q197" s="2">
        <f t="shared" si="281"/>
        <v>0</v>
      </c>
      <c r="R197" s="5">
        <f t="shared" si="282"/>
        <v>0</v>
      </c>
      <c r="S197" s="2">
        <f t="shared" si="283"/>
        <v>0</v>
      </c>
      <c r="T197" s="2">
        <f t="shared" si="284"/>
        <v>0</v>
      </c>
      <c r="U197" s="102">
        <f t="shared" si="285"/>
        <v>0</v>
      </c>
      <c r="V197" s="102">
        <f t="shared" si="286"/>
        <v>0</v>
      </c>
      <c r="W197" s="6">
        <f t="shared" si="287"/>
        <v>0</v>
      </c>
      <c r="X197" s="5">
        <f t="shared" si="288"/>
        <v>0</v>
      </c>
      <c r="Y197" s="6">
        <f t="shared" si="289"/>
        <v>0</v>
      </c>
      <c r="Z197" s="5" t="e">
        <f t="shared" si="290"/>
        <v>#DIV/0!</v>
      </c>
      <c r="AA197" s="21">
        <f t="shared" si="291"/>
        <v>0</v>
      </c>
      <c r="AB197" s="6">
        <f t="shared" si="292"/>
        <v>0</v>
      </c>
      <c r="AC197" s="5" t="e">
        <f t="shared" si="293"/>
        <v>#DIV/0!</v>
      </c>
      <c r="AD197" s="6">
        <f t="shared" si="294"/>
        <v>0</v>
      </c>
      <c r="AE197" s="5">
        <f t="shared" si="295"/>
        <v>0</v>
      </c>
      <c r="AF197" s="21">
        <f t="shared" si="296"/>
        <v>0</v>
      </c>
      <c r="AG197" s="6">
        <f t="shared" si="297"/>
        <v>0</v>
      </c>
      <c r="AH197" s="5">
        <f t="shared" si="298"/>
        <v>0</v>
      </c>
      <c r="AI197" s="21">
        <f t="shared" si="299"/>
        <v>0</v>
      </c>
      <c r="AJ197" s="6">
        <f t="shared" si="300"/>
        <v>0</v>
      </c>
      <c r="AK197" s="5">
        <f t="shared" si="301"/>
        <v>0</v>
      </c>
      <c r="AL197" s="21">
        <f t="shared" si="302"/>
        <v>0</v>
      </c>
      <c r="AM197" s="21">
        <f t="shared" si="303"/>
        <v>0</v>
      </c>
      <c r="AN197" s="6">
        <f t="shared" si="304"/>
        <v>0</v>
      </c>
      <c r="AO197" s="5">
        <f t="shared" si="305"/>
        <v>0</v>
      </c>
      <c r="AP197" s="6">
        <f t="shared" si="306"/>
        <v>0</v>
      </c>
      <c r="AQ197" s="5">
        <f t="shared" si="307"/>
        <v>0</v>
      </c>
      <c r="AR197" s="2">
        <f t="shared" si="308"/>
        <v>0</v>
      </c>
      <c r="AS197" s="5">
        <f t="shared" si="309"/>
        <v>0</v>
      </c>
      <c r="AT197" s="21">
        <f t="shared" si="310"/>
        <v>0</v>
      </c>
      <c r="AU197" s="20">
        <f t="shared" si="311"/>
        <v>0</v>
      </c>
      <c r="AV197" s="20">
        <f t="shared" si="312"/>
        <v>1</v>
      </c>
      <c r="AW197" s="199">
        <f t="shared" si="313"/>
        <v>0</v>
      </c>
      <c r="AX197" s="24">
        <f t="shared" si="314"/>
        <v>0</v>
      </c>
      <c r="AY197" s="5">
        <f t="shared" si="315"/>
        <v>0</v>
      </c>
      <c r="AZ197" s="5">
        <f t="shared" si="316"/>
        <v>0</v>
      </c>
      <c r="BA197" s="5">
        <f t="shared" si="317"/>
        <v>0</v>
      </c>
      <c r="BB197" s="5">
        <f t="shared" si="318"/>
        <v>0</v>
      </c>
      <c r="BC197" s="5">
        <f t="shared" si="319"/>
        <v>0</v>
      </c>
      <c r="BD197" s="5">
        <f t="shared" si="320"/>
        <v>0</v>
      </c>
      <c r="BE197" s="199">
        <f t="shared" si="321"/>
        <v>0</v>
      </c>
      <c r="BF197" s="21">
        <f t="shared" si="322"/>
        <v>0</v>
      </c>
      <c r="BG197" s="6">
        <f t="shared" si="323"/>
        <v>0</v>
      </c>
      <c r="BH197" s="5" t="e">
        <f t="shared" si="324"/>
        <v>#DIV/0!</v>
      </c>
      <c r="BI197" s="6">
        <f t="shared" si="325"/>
        <v>0</v>
      </c>
      <c r="BJ197" s="5" t="e">
        <f t="shared" si="326"/>
        <v>#DIV/0!</v>
      </c>
      <c r="BK197" s="20">
        <f t="shared" si="327"/>
        <v>-9.9999999999999998E-13</v>
      </c>
      <c r="BL197" s="20">
        <f t="shared" si="328"/>
        <v>0</v>
      </c>
      <c r="BM197" s="6">
        <f t="shared" si="329"/>
        <v>0</v>
      </c>
      <c r="BN197" s="5">
        <f t="shared" si="330"/>
        <v>0</v>
      </c>
      <c r="BO197" s="333">
        <f t="shared" si="331"/>
        <v>0</v>
      </c>
      <c r="BP197" s="334">
        <f t="shared" si="332"/>
        <v>0</v>
      </c>
      <c r="BQ197" s="6">
        <f t="shared" si="333"/>
        <v>0</v>
      </c>
      <c r="BR197" s="5">
        <f t="shared" si="334"/>
        <v>0</v>
      </c>
      <c r="BS197" s="6">
        <f t="shared" si="335"/>
        <v>0</v>
      </c>
      <c r="BT197" s="5">
        <f t="shared" si="336"/>
        <v>0</v>
      </c>
      <c r="BU197" s="181">
        <f t="shared" si="337"/>
        <v>0</v>
      </c>
      <c r="BV197" s="154">
        <f t="shared" si="338"/>
        <v>0</v>
      </c>
      <c r="BW197" s="181">
        <f t="shared" si="339"/>
        <v>0</v>
      </c>
      <c r="BX197" s="180">
        <f t="shared" si="340"/>
        <v>0</v>
      </c>
      <c r="BY197" s="181">
        <f t="shared" si="341"/>
        <v>0</v>
      </c>
      <c r="BZ197" s="154">
        <f t="shared" si="342"/>
        <v>0</v>
      </c>
      <c r="CA197" s="182">
        <f t="shared" si="343"/>
        <v>0</v>
      </c>
      <c r="CB197" s="2">
        <f t="shared" si="344"/>
        <v>0</v>
      </c>
      <c r="CC197" s="2">
        <f t="shared" si="345"/>
        <v>0</v>
      </c>
      <c r="CD197" s="2">
        <f t="shared" si="346"/>
        <v>0</v>
      </c>
      <c r="CE197" s="2">
        <f t="shared" si="347"/>
        <v>0</v>
      </c>
      <c r="CF197" s="6">
        <f t="shared" si="348"/>
        <v>0</v>
      </c>
      <c r="CG197" s="6">
        <f t="shared" si="349"/>
        <v>0</v>
      </c>
      <c r="CH197" s="6">
        <f t="shared" si="350"/>
        <v>0</v>
      </c>
      <c r="CI197" s="20">
        <f t="shared" si="351"/>
        <v>0</v>
      </c>
      <c r="CJ197" s="133">
        <f t="shared" si="352"/>
        <v>2521</v>
      </c>
      <c r="CK197" s="5">
        <f t="shared" si="353"/>
        <v>0</v>
      </c>
      <c r="CL197" s="302" t="s">
        <v>19</v>
      </c>
      <c r="CM197" s="298" t="s">
        <v>13</v>
      </c>
      <c r="CN197" s="298" t="s">
        <v>1573</v>
      </c>
      <c r="CO197" s="298">
        <v>17</v>
      </c>
      <c r="CP197" s="298" t="s">
        <v>1574</v>
      </c>
      <c r="CQ197" s="298" t="s">
        <v>1131</v>
      </c>
      <c r="CR197" s="298" t="s">
        <v>644</v>
      </c>
      <c r="CS197" s="298" t="s">
        <v>1322</v>
      </c>
      <c r="CT197" s="298" t="s">
        <v>617</v>
      </c>
      <c r="CU197" s="299">
        <v>47118</v>
      </c>
      <c r="CV197" s="298">
        <v>0</v>
      </c>
      <c r="CW197" s="298">
        <v>0</v>
      </c>
      <c r="CX197" s="298">
        <v>0</v>
      </c>
      <c r="CY197" s="298">
        <v>0</v>
      </c>
      <c r="CZ197" s="298">
        <v>0</v>
      </c>
      <c r="DA197" s="298">
        <v>0</v>
      </c>
      <c r="DB197" s="298">
        <v>0</v>
      </c>
      <c r="DC197" s="298">
        <v>0</v>
      </c>
      <c r="DD197" s="298">
        <v>0</v>
      </c>
      <c r="DE197" s="298">
        <v>0</v>
      </c>
      <c r="DF197" s="298">
        <v>0</v>
      </c>
      <c r="DG197" s="298">
        <v>0</v>
      </c>
      <c r="DH197" s="298">
        <v>0</v>
      </c>
      <c r="DI197" s="298">
        <v>0</v>
      </c>
      <c r="DJ197" s="298">
        <v>0</v>
      </c>
      <c r="DK197" s="298">
        <v>0</v>
      </c>
      <c r="DL197" s="298">
        <v>0</v>
      </c>
      <c r="DM197" s="298">
        <v>0</v>
      </c>
      <c r="DN197" s="298">
        <v>0</v>
      </c>
      <c r="DO197" s="298">
        <v>0</v>
      </c>
      <c r="DP197" s="298">
        <v>0</v>
      </c>
      <c r="DQ197" s="298">
        <v>0</v>
      </c>
      <c r="DR197" s="298">
        <v>0</v>
      </c>
      <c r="DS197" s="298">
        <v>0</v>
      </c>
      <c r="DT197" s="298">
        <v>0</v>
      </c>
      <c r="DU197" s="298">
        <v>0</v>
      </c>
      <c r="DV197" s="303" t="s">
        <v>548</v>
      </c>
    </row>
    <row r="198" spans="1:126" ht="24.95" customHeight="1" thickBot="1" x14ac:dyDescent="0.3">
      <c r="A198" s="29" t="str">
        <f t="shared" si="354"/>
        <v>197º</v>
      </c>
      <c r="B198" s="69" t="str">
        <f t="shared" si="267"/>
        <v>Osmair</v>
      </c>
      <c r="C198" s="269" t="str">
        <f t="shared" si="268"/>
        <v>BRA</v>
      </c>
      <c r="D198" s="99" t="str">
        <f t="shared" si="269"/>
        <v>Pé Esquerdo</v>
      </c>
      <c r="E198" s="28" t="str">
        <f t="shared" si="270"/>
        <v>Brasiliense</v>
      </c>
      <c r="F198" s="169">
        <f t="shared" si="271"/>
        <v>17</v>
      </c>
      <c r="G198" s="2" t="str">
        <f t="shared" si="272"/>
        <v>0 €</v>
      </c>
      <c r="H198" s="154">
        <f t="shared" si="273"/>
        <v>1.87</v>
      </c>
      <c r="I198" s="64">
        <f t="shared" si="274"/>
        <v>47118</v>
      </c>
      <c r="J198" s="304" t="str">
        <f t="shared" si="275"/>
        <v>550 € p/m</v>
      </c>
      <c r="K198" s="96">
        <f t="shared" si="355"/>
        <v>3.5222222222222221</v>
      </c>
      <c r="L198" s="146">
        <f t="shared" si="276"/>
        <v>0</v>
      </c>
      <c r="M198" s="6">
        <f t="shared" si="277"/>
        <v>0</v>
      </c>
      <c r="N198" s="5">
        <f t="shared" si="278"/>
        <v>5400</v>
      </c>
      <c r="O198" s="21">
        <f t="shared" si="279"/>
        <v>0</v>
      </c>
      <c r="P198" s="2">
        <f t="shared" si="280"/>
        <v>0</v>
      </c>
      <c r="Q198" s="2">
        <f t="shared" si="281"/>
        <v>0</v>
      </c>
      <c r="R198" s="5">
        <f t="shared" si="282"/>
        <v>0</v>
      </c>
      <c r="S198" s="2">
        <f t="shared" si="283"/>
        <v>0</v>
      </c>
      <c r="T198" s="2">
        <f t="shared" si="284"/>
        <v>0</v>
      </c>
      <c r="U198" s="102">
        <f t="shared" si="285"/>
        <v>0</v>
      </c>
      <c r="V198" s="102">
        <f t="shared" si="286"/>
        <v>0</v>
      </c>
      <c r="W198" s="6">
        <f t="shared" si="287"/>
        <v>0</v>
      </c>
      <c r="X198" s="5">
        <f t="shared" si="288"/>
        <v>0</v>
      </c>
      <c r="Y198" s="6">
        <f t="shared" si="289"/>
        <v>0</v>
      </c>
      <c r="Z198" s="5" t="e">
        <f t="shared" si="290"/>
        <v>#DIV/0!</v>
      </c>
      <c r="AA198" s="21">
        <f t="shared" si="291"/>
        <v>0</v>
      </c>
      <c r="AB198" s="6">
        <f t="shared" si="292"/>
        <v>0</v>
      </c>
      <c r="AC198" s="5" t="e">
        <f t="shared" si="293"/>
        <v>#DIV/0!</v>
      </c>
      <c r="AD198" s="6">
        <f t="shared" si="294"/>
        <v>0</v>
      </c>
      <c r="AE198" s="5">
        <f t="shared" si="295"/>
        <v>0</v>
      </c>
      <c r="AF198" s="21">
        <f t="shared" si="296"/>
        <v>0</v>
      </c>
      <c r="AG198" s="6">
        <f t="shared" si="297"/>
        <v>0</v>
      </c>
      <c r="AH198" s="5">
        <f t="shared" si="298"/>
        <v>0</v>
      </c>
      <c r="AI198" s="21">
        <f t="shared" si="299"/>
        <v>0</v>
      </c>
      <c r="AJ198" s="6">
        <f t="shared" si="300"/>
        <v>0</v>
      </c>
      <c r="AK198" s="5">
        <f t="shared" si="301"/>
        <v>0</v>
      </c>
      <c r="AL198" s="21">
        <f t="shared" si="302"/>
        <v>0</v>
      </c>
      <c r="AM198" s="21">
        <f t="shared" si="303"/>
        <v>0</v>
      </c>
      <c r="AN198" s="6">
        <f t="shared" si="304"/>
        <v>0</v>
      </c>
      <c r="AO198" s="5">
        <f t="shared" si="305"/>
        <v>0</v>
      </c>
      <c r="AP198" s="6">
        <f t="shared" si="306"/>
        <v>0</v>
      </c>
      <c r="AQ198" s="5">
        <f t="shared" si="307"/>
        <v>0</v>
      </c>
      <c r="AR198" s="2">
        <f t="shared" si="308"/>
        <v>0</v>
      </c>
      <c r="AS198" s="5">
        <f t="shared" si="309"/>
        <v>0</v>
      </c>
      <c r="AT198" s="21">
        <f t="shared" si="310"/>
        <v>0</v>
      </c>
      <c r="AU198" s="20">
        <f t="shared" si="311"/>
        <v>0</v>
      </c>
      <c r="AV198" s="20">
        <f t="shared" si="312"/>
        <v>1</v>
      </c>
      <c r="AW198" s="199">
        <f t="shared" si="313"/>
        <v>0</v>
      </c>
      <c r="AX198" s="24">
        <f t="shared" si="314"/>
        <v>0</v>
      </c>
      <c r="AY198" s="5">
        <f t="shared" si="315"/>
        <v>0</v>
      </c>
      <c r="AZ198" s="5">
        <f t="shared" si="316"/>
        <v>0</v>
      </c>
      <c r="BA198" s="5">
        <f t="shared" si="317"/>
        <v>0</v>
      </c>
      <c r="BB198" s="5">
        <f t="shared" si="318"/>
        <v>0</v>
      </c>
      <c r="BC198" s="5">
        <f t="shared" si="319"/>
        <v>0</v>
      </c>
      <c r="BD198" s="5">
        <f t="shared" si="320"/>
        <v>0</v>
      </c>
      <c r="BE198" s="199">
        <f t="shared" si="321"/>
        <v>0</v>
      </c>
      <c r="BF198" s="21">
        <f t="shared" si="322"/>
        <v>0</v>
      </c>
      <c r="BG198" s="6">
        <f t="shared" si="323"/>
        <v>0</v>
      </c>
      <c r="BH198" s="5" t="e">
        <f t="shared" si="324"/>
        <v>#DIV/0!</v>
      </c>
      <c r="BI198" s="6">
        <f t="shared" si="325"/>
        <v>0</v>
      </c>
      <c r="BJ198" s="5" t="e">
        <f t="shared" si="326"/>
        <v>#DIV/0!</v>
      </c>
      <c r="BK198" s="20">
        <f t="shared" si="327"/>
        <v>-9.9999999999999998E-13</v>
      </c>
      <c r="BL198" s="20">
        <f t="shared" si="328"/>
        <v>0</v>
      </c>
      <c r="BM198" s="6">
        <f t="shared" si="329"/>
        <v>0</v>
      </c>
      <c r="BN198" s="5">
        <f t="shared" si="330"/>
        <v>0</v>
      </c>
      <c r="BO198" s="333">
        <f t="shared" si="331"/>
        <v>0</v>
      </c>
      <c r="BP198" s="334">
        <f t="shared" si="332"/>
        <v>0</v>
      </c>
      <c r="BQ198" s="6">
        <f t="shared" si="333"/>
        <v>0</v>
      </c>
      <c r="BR198" s="5">
        <f t="shared" si="334"/>
        <v>0</v>
      </c>
      <c r="BS198" s="6">
        <f t="shared" si="335"/>
        <v>0</v>
      </c>
      <c r="BT198" s="5">
        <f t="shared" si="336"/>
        <v>0</v>
      </c>
      <c r="BU198" s="181">
        <f t="shared" si="337"/>
        <v>0</v>
      </c>
      <c r="BV198" s="154">
        <f t="shared" si="338"/>
        <v>0</v>
      </c>
      <c r="BW198" s="181">
        <f t="shared" si="339"/>
        <v>0</v>
      </c>
      <c r="BX198" s="180">
        <f t="shared" si="340"/>
        <v>0</v>
      </c>
      <c r="BY198" s="181">
        <f t="shared" si="341"/>
        <v>0</v>
      </c>
      <c r="BZ198" s="154">
        <f t="shared" si="342"/>
        <v>0</v>
      </c>
      <c r="CA198" s="182">
        <f t="shared" si="343"/>
        <v>0</v>
      </c>
      <c r="CB198" s="2">
        <f t="shared" si="344"/>
        <v>0</v>
      </c>
      <c r="CC198" s="2">
        <f t="shared" si="345"/>
        <v>0</v>
      </c>
      <c r="CD198" s="2">
        <f t="shared" si="346"/>
        <v>0</v>
      </c>
      <c r="CE198" s="2">
        <f t="shared" si="347"/>
        <v>0</v>
      </c>
      <c r="CF198" s="6">
        <f t="shared" si="348"/>
        <v>0</v>
      </c>
      <c r="CG198" s="6">
        <f t="shared" si="349"/>
        <v>0</v>
      </c>
      <c r="CH198" s="6">
        <f t="shared" si="350"/>
        <v>0</v>
      </c>
      <c r="CI198" s="20">
        <f t="shared" si="351"/>
        <v>0</v>
      </c>
      <c r="CJ198" s="133">
        <f t="shared" si="352"/>
        <v>2521</v>
      </c>
      <c r="CK198" s="5">
        <f t="shared" si="353"/>
        <v>0</v>
      </c>
      <c r="CL198" s="300" t="s">
        <v>1235</v>
      </c>
      <c r="CM198" s="296" t="s">
        <v>13</v>
      </c>
      <c r="CN198" s="296" t="s">
        <v>1575</v>
      </c>
      <c r="CO198" s="296">
        <v>17</v>
      </c>
      <c r="CP198" s="296" t="s">
        <v>1576</v>
      </c>
      <c r="CQ198" s="296" t="s">
        <v>1131</v>
      </c>
      <c r="CR198" s="296" t="s">
        <v>652</v>
      </c>
      <c r="CS198" s="296" t="s">
        <v>1375</v>
      </c>
      <c r="CT198" s="296" t="s">
        <v>911</v>
      </c>
      <c r="CU198" s="297">
        <v>47118</v>
      </c>
      <c r="CV198" s="296">
        <v>0</v>
      </c>
      <c r="CW198" s="296">
        <v>0</v>
      </c>
      <c r="CX198" s="296">
        <v>0</v>
      </c>
      <c r="CY198" s="296">
        <v>0</v>
      </c>
      <c r="CZ198" s="296">
        <v>0</v>
      </c>
      <c r="DA198" s="296">
        <v>0</v>
      </c>
      <c r="DB198" s="296">
        <v>0</v>
      </c>
      <c r="DC198" s="296">
        <v>0</v>
      </c>
      <c r="DD198" s="296">
        <v>0</v>
      </c>
      <c r="DE198" s="296">
        <v>0</v>
      </c>
      <c r="DF198" s="296">
        <v>0</v>
      </c>
      <c r="DG198" s="296">
        <v>0</v>
      </c>
      <c r="DH198" s="296">
        <v>0</v>
      </c>
      <c r="DI198" s="296">
        <v>0</v>
      </c>
      <c r="DJ198" s="296">
        <v>0</v>
      </c>
      <c r="DK198" s="296">
        <v>0</v>
      </c>
      <c r="DL198" s="296">
        <v>0</v>
      </c>
      <c r="DM198" s="296">
        <v>0</v>
      </c>
      <c r="DN198" s="296">
        <v>0</v>
      </c>
      <c r="DO198" s="296">
        <v>0</v>
      </c>
      <c r="DP198" s="296">
        <v>0</v>
      </c>
      <c r="DQ198" s="296">
        <v>0</v>
      </c>
      <c r="DR198" s="296">
        <v>0</v>
      </c>
      <c r="DS198" s="296">
        <v>0</v>
      </c>
      <c r="DT198" s="296">
        <v>0</v>
      </c>
      <c r="DU198" s="296">
        <v>0</v>
      </c>
      <c r="DV198" s="301" t="s">
        <v>548</v>
      </c>
    </row>
    <row r="199" spans="1:126" ht="24.95" customHeight="1" thickBot="1" x14ac:dyDescent="0.3">
      <c r="A199" s="29" t="str">
        <f t="shared" si="354"/>
        <v>198º</v>
      </c>
      <c r="B199" s="69" t="str">
        <f t="shared" si="267"/>
        <v>Leonardo Pinho</v>
      </c>
      <c r="C199" s="269" t="str">
        <f t="shared" si="268"/>
        <v>BRA</v>
      </c>
      <c r="D199" s="99" t="str">
        <f t="shared" si="269"/>
        <v>Pé Direito</v>
      </c>
      <c r="E199" s="28" t="str">
        <f t="shared" si="270"/>
        <v>JOI</v>
      </c>
      <c r="F199" s="169">
        <f t="shared" si="271"/>
        <v>17</v>
      </c>
      <c r="G199" s="2" t="str">
        <f t="shared" si="272"/>
        <v>0 €</v>
      </c>
      <c r="H199" s="154">
        <f t="shared" si="273"/>
        <v>1.85</v>
      </c>
      <c r="I199" s="64">
        <f t="shared" si="274"/>
        <v>47118</v>
      </c>
      <c r="J199" s="304" t="str">
        <f t="shared" si="275"/>
        <v>525 € p/m</v>
      </c>
      <c r="K199" s="96">
        <f t="shared" si="355"/>
        <v>3.5222222222222221</v>
      </c>
      <c r="L199" s="146">
        <f t="shared" si="276"/>
        <v>1</v>
      </c>
      <c r="M199" s="6">
        <f t="shared" si="277"/>
        <v>0</v>
      </c>
      <c r="N199" s="5">
        <f t="shared" si="278"/>
        <v>5400</v>
      </c>
      <c r="O199" s="21">
        <f t="shared" si="279"/>
        <v>0</v>
      </c>
      <c r="P199" s="2">
        <f t="shared" si="280"/>
        <v>29</v>
      </c>
      <c r="Q199" s="2">
        <f t="shared" si="281"/>
        <v>22</v>
      </c>
      <c r="R199" s="5">
        <f t="shared" si="282"/>
        <v>22</v>
      </c>
      <c r="S199" s="2">
        <f t="shared" si="283"/>
        <v>7</v>
      </c>
      <c r="T199" s="2">
        <f t="shared" si="284"/>
        <v>15</v>
      </c>
      <c r="U199" s="102">
        <f t="shared" si="285"/>
        <v>0.2413793103448276</v>
      </c>
      <c r="V199" s="102">
        <f t="shared" si="286"/>
        <v>0.75862068965517238</v>
      </c>
      <c r="W199" s="6">
        <f t="shared" si="287"/>
        <v>29</v>
      </c>
      <c r="X199" s="5">
        <f t="shared" si="288"/>
        <v>29</v>
      </c>
      <c r="Y199" s="6">
        <f t="shared" si="289"/>
        <v>0</v>
      </c>
      <c r="Z199" s="5">
        <f t="shared" si="290"/>
        <v>0</v>
      </c>
      <c r="AA199" s="21">
        <f t="shared" si="291"/>
        <v>0</v>
      </c>
      <c r="AB199" s="6">
        <f t="shared" si="292"/>
        <v>0</v>
      </c>
      <c r="AC199" s="5">
        <f t="shared" si="293"/>
        <v>0</v>
      </c>
      <c r="AD199" s="6">
        <f t="shared" si="294"/>
        <v>0</v>
      </c>
      <c r="AE199" s="5">
        <f t="shared" si="295"/>
        <v>0</v>
      </c>
      <c r="AF199" s="21">
        <f t="shared" si="296"/>
        <v>0</v>
      </c>
      <c r="AG199" s="6">
        <f t="shared" si="297"/>
        <v>0</v>
      </c>
      <c r="AH199" s="5">
        <f t="shared" si="298"/>
        <v>0</v>
      </c>
      <c r="AI199" s="21">
        <f t="shared" si="299"/>
        <v>0</v>
      </c>
      <c r="AJ199" s="6">
        <f t="shared" si="300"/>
        <v>1</v>
      </c>
      <c r="AK199" s="5">
        <f t="shared" si="301"/>
        <v>4.5454545454545456E-2</v>
      </c>
      <c r="AL199" s="21">
        <f t="shared" si="302"/>
        <v>1</v>
      </c>
      <c r="AM199" s="21">
        <f t="shared" si="303"/>
        <v>1</v>
      </c>
      <c r="AN199" s="6">
        <f t="shared" si="304"/>
        <v>1</v>
      </c>
      <c r="AO199" s="5">
        <f t="shared" si="305"/>
        <v>1</v>
      </c>
      <c r="AP199" s="6">
        <f t="shared" si="306"/>
        <v>1</v>
      </c>
      <c r="AQ199" s="5">
        <f t="shared" si="307"/>
        <v>1</v>
      </c>
      <c r="AR199" s="2">
        <f t="shared" si="308"/>
        <v>1</v>
      </c>
      <c r="AS199" s="5">
        <f t="shared" si="309"/>
        <v>1</v>
      </c>
      <c r="AT199" s="21">
        <f t="shared" si="310"/>
        <v>1</v>
      </c>
      <c r="AU199" s="20">
        <f t="shared" si="311"/>
        <v>1</v>
      </c>
      <c r="AV199" s="20">
        <f t="shared" si="312"/>
        <v>0</v>
      </c>
      <c r="AW199" s="199">
        <f t="shared" si="313"/>
        <v>1.5</v>
      </c>
      <c r="AX199" s="24">
        <f t="shared" si="314"/>
        <v>0</v>
      </c>
      <c r="AY199" s="5">
        <f t="shared" si="315"/>
        <v>0</v>
      </c>
      <c r="AZ199" s="5">
        <f t="shared" si="316"/>
        <v>0</v>
      </c>
      <c r="BA199" s="5">
        <f t="shared" si="317"/>
        <v>0.32</v>
      </c>
      <c r="BB199" s="5">
        <f t="shared" si="318"/>
        <v>0.32</v>
      </c>
      <c r="BC199" s="5">
        <f t="shared" si="319"/>
        <v>0.32</v>
      </c>
      <c r="BD199" s="5">
        <f t="shared" si="320"/>
        <v>0.32</v>
      </c>
      <c r="BE199" s="199">
        <f t="shared" si="321"/>
        <v>0.32</v>
      </c>
      <c r="BF199" s="21">
        <f t="shared" si="322"/>
        <v>1</v>
      </c>
      <c r="BG199" s="6">
        <f t="shared" si="323"/>
        <v>0</v>
      </c>
      <c r="BH199" s="5">
        <f t="shared" si="324"/>
        <v>0</v>
      </c>
      <c r="BI199" s="6">
        <f t="shared" si="325"/>
        <v>0</v>
      </c>
      <c r="BJ199" s="5">
        <f t="shared" si="326"/>
        <v>0</v>
      </c>
      <c r="BK199" s="20">
        <f t="shared" si="327"/>
        <v>-9.9999999999999998E-13</v>
      </c>
      <c r="BL199" s="20">
        <f t="shared" si="328"/>
        <v>0</v>
      </c>
      <c r="BM199" s="6">
        <f t="shared" si="329"/>
        <v>0</v>
      </c>
      <c r="BN199" s="5">
        <f t="shared" si="330"/>
        <v>0</v>
      </c>
      <c r="BO199" s="333">
        <f t="shared" si="331"/>
        <v>0</v>
      </c>
      <c r="BP199" s="334">
        <f t="shared" si="332"/>
        <v>0</v>
      </c>
      <c r="BQ199" s="6">
        <f t="shared" si="333"/>
        <v>0</v>
      </c>
      <c r="BR199" s="5">
        <f t="shared" si="334"/>
        <v>0</v>
      </c>
      <c r="BS199" s="6">
        <f t="shared" si="335"/>
        <v>6</v>
      </c>
      <c r="BT199" s="5">
        <f t="shared" si="336"/>
        <v>6</v>
      </c>
      <c r="BU199" s="181">
        <f t="shared" si="337"/>
        <v>0</v>
      </c>
      <c r="BV199" s="154">
        <f t="shared" si="338"/>
        <v>0</v>
      </c>
      <c r="BW199" s="181">
        <f t="shared" si="339"/>
        <v>0</v>
      </c>
      <c r="BX199" s="180">
        <f t="shared" si="340"/>
        <v>0</v>
      </c>
      <c r="BY199" s="181">
        <f t="shared" si="341"/>
        <v>0</v>
      </c>
      <c r="BZ199" s="154">
        <f t="shared" si="342"/>
        <v>0</v>
      </c>
      <c r="CA199" s="182">
        <f t="shared" si="343"/>
        <v>0</v>
      </c>
      <c r="CB199" s="2">
        <f t="shared" si="344"/>
        <v>0</v>
      </c>
      <c r="CC199" s="2">
        <f t="shared" si="345"/>
        <v>0</v>
      </c>
      <c r="CD199" s="2">
        <f t="shared" si="346"/>
        <v>0</v>
      </c>
      <c r="CE199" s="2">
        <f t="shared" si="347"/>
        <v>0</v>
      </c>
      <c r="CF199" s="6">
        <f t="shared" si="348"/>
        <v>0</v>
      </c>
      <c r="CG199" s="6">
        <f t="shared" si="349"/>
        <v>39.980000000000004</v>
      </c>
      <c r="CH199" s="6">
        <f t="shared" si="350"/>
        <v>23</v>
      </c>
      <c r="CI199" s="20">
        <f t="shared" si="351"/>
        <v>0.57528764382191089</v>
      </c>
      <c r="CJ199" s="133">
        <f t="shared" si="352"/>
        <v>2521</v>
      </c>
      <c r="CK199" s="5">
        <f t="shared" si="353"/>
        <v>7.6</v>
      </c>
      <c r="CL199" s="302" t="s">
        <v>1235</v>
      </c>
      <c r="CM199" s="298" t="s">
        <v>13</v>
      </c>
      <c r="CN199" s="298" t="s">
        <v>1577</v>
      </c>
      <c r="CO199" s="298">
        <v>17</v>
      </c>
      <c r="CP199" s="298" t="s">
        <v>1578</v>
      </c>
      <c r="CQ199" s="298" t="s">
        <v>1131</v>
      </c>
      <c r="CR199" s="298" t="s">
        <v>644</v>
      </c>
      <c r="CS199" s="298" t="s">
        <v>1322</v>
      </c>
      <c r="CT199" s="298" t="s">
        <v>587</v>
      </c>
      <c r="CU199" s="299">
        <v>47118</v>
      </c>
      <c r="CV199" s="298">
        <v>0</v>
      </c>
      <c r="CW199" s="298">
        <v>90</v>
      </c>
      <c r="CX199" s="298">
        <v>0</v>
      </c>
      <c r="CY199" s="298">
        <v>0</v>
      </c>
      <c r="CZ199" s="298">
        <v>0</v>
      </c>
      <c r="DA199" s="298">
        <v>1</v>
      </c>
      <c r="DB199" s="298">
        <v>0</v>
      </c>
      <c r="DC199" s="298">
        <v>0</v>
      </c>
      <c r="DD199" s="298">
        <v>6</v>
      </c>
      <c r="DE199" s="298">
        <v>1</v>
      </c>
      <c r="DF199" s="298">
        <v>0</v>
      </c>
      <c r="DG199" s="298">
        <v>0</v>
      </c>
      <c r="DH199" s="298">
        <v>0</v>
      </c>
      <c r="DI199" s="298">
        <v>0</v>
      </c>
      <c r="DJ199" s="298">
        <v>0</v>
      </c>
      <c r="DK199" s="298">
        <v>0</v>
      </c>
      <c r="DL199" s="298">
        <v>29</v>
      </c>
      <c r="DM199" s="298">
        <v>22</v>
      </c>
      <c r="DN199" s="298" t="s">
        <v>1579</v>
      </c>
      <c r="DO199" s="298">
        <v>0</v>
      </c>
      <c r="DP199" s="298">
        <v>0</v>
      </c>
      <c r="DQ199" s="298">
        <v>0</v>
      </c>
      <c r="DR199" s="298">
        <v>0</v>
      </c>
      <c r="DS199" s="298">
        <v>0</v>
      </c>
      <c r="DT199" s="298">
        <v>0</v>
      </c>
      <c r="DU199" s="298">
        <v>0</v>
      </c>
      <c r="DV199" s="303">
        <v>7.6</v>
      </c>
    </row>
    <row r="200" spans="1:126" ht="24.95" customHeight="1" thickBot="1" x14ac:dyDescent="0.3">
      <c r="A200" s="29" t="str">
        <f t="shared" si="354"/>
        <v>199º</v>
      </c>
      <c r="B200" s="69" t="str">
        <f t="shared" si="267"/>
        <v>Vânder Félix</v>
      </c>
      <c r="C200" s="269" t="str">
        <f t="shared" si="268"/>
        <v>BRA</v>
      </c>
      <c r="D200" s="99" t="str">
        <f t="shared" si="269"/>
        <v>Pé Direito</v>
      </c>
      <c r="E200" s="28" t="str">
        <f t="shared" si="270"/>
        <v>LUV</v>
      </c>
      <c r="F200" s="169">
        <f t="shared" si="271"/>
        <v>16</v>
      </c>
      <c r="G200" s="2" t="str">
        <f t="shared" si="272"/>
        <v>0 €</v>
      </c>
      <c r="H200" s="154">
        <f t="shared" si="273"/>
        <v>1.78</v>
      </c>
      <c r="I200" s="64">
        <f t="shared" si="274"/>
        <v>47118</v>
      </c>
      <c r="J200" s="304" t="str">
        <f t="shared" si="275"/>
        <v>525 € p/m</v>
      </c>
      <c r="K200" s="96">
        <f t="shared" si="355"/>
        <v>3.5222222222222221</v>
      </c>
      <c r="L200" s="146">
        <f t="shared" si="276"/>
        <v>0</v>
      </c>
      <c r="M200" s="6">
        <f t="shared" si="277"/>
        <v>0</v>
      </c>
      <c r="N200" s="5">
        <f t="shared" si="278"/>
        <v>5400</v>
      </c>
      <c r="O200" s="21">
        <f t="shared" si="279"/>
        <v>0</v>
      </c>
      <c r="P200" s="2">
        <f t="shared" si="280"/>
        <v>0</v>
      </c>
      <c r="Q200" s="2">
        <f t="shared" si="281"/>
        <v>0</v>
      </c>
      <c r="R200" s="5">
        <f t="shared" si="282"/>
        <v>0</v>
      </c>
      <c r="S200" s="2">
        <f t="shared" si="283"/>
        <v>0</v>
      </c>
      <c r="T200" s="2">
        <f t="shared" si="284"/>
        <v>0</v>
      </c>
      <c r="U200" s="102">
        <f t="shared" si="285"/>
        <v>0</v>
      </c>
      <c r="V200" s="102">
        <f t="shared" si="286"/>
        <v>0</v>
      </c>
      <c r="W200" s="6">
        <f t="shared" si="287"/>
        <v>0</v>
      </c>
      <c r="X200" s="5">
        <f t="shared" si="288"/>
        <v>0</v>
      </c>
      <c r="Y200" s="6">
        <f t="shared" si="289"/>
        <v>0</v>
      </c>
      <c r="Z200" s="5" t="e">
        <f t="shared" si="290"/>
        <v>#DIV/0!</v>
      </c>
      <c r="AA200" s="21">
        <f t="shared" si="291"/>
        <v>0</v>
      </c>
      <c r="AB200" s="6">
        <f t="shared" si="292"/>
        <v>0</v>
      </c>
      <c r="AC200" s="5" t="e">
        <f t="shared" si="293"/>
        <v>#DIV/0!</v>
      </c>
      <c r="AD200" s="6">
        <f t="shared" si="294"/>
        <v>0</v>
      </c>
      <c r="AE200" s="5">
        <f t="shared" si="295"/>
        <v>0</v>
      </c>
      <c r="AF200" s="21">
        <f t="shared" si="296"/>
        <v>0</v>
      </c>
      <c r="AG200" s="6">
        <f t="shared" si="297"/>
        <v>0</v>
      </c>
      <c r="AH200" s="5">
        <f t="shared" si="298"/>
        <v>0</v>
      </c>
      <c r="AI200" s="21">
        <f t="shared" si="299"/>
        <v>0</v>
      </c>
      <c r="AJ200" s="6">
        <f t="shared" si="300"/>
        <v>0</v>
      </c>
      <c r="AK200" s="5">
        <f t="shared" si="301"/>
        <v>0</v>
      </c>
      <c r="AL200" s="21">
        <f t="shared" si="302"/>
        <v>0</v>
      </c>
      <c r="AM200" s="21">
        <f t="shared" si="303"/>
        <v>0</v>
      </c>
      <c r="AN200" s="6">
        <f t="shared" si="304"/>
        <v>0</v>
      </c>
      <c r="AO200" s="5">
        <f t="shared" si="305"/>
        <v>0</v>
      </c>
      <c r="AP200" s="6">
        <f t="shared" si="306"/>
        <v>0</v>
      </c>
      <c r="AQ200" s="5">
        <f t="shared" si="307"/>
        <v>0</v>
      </c>
      <c r="AR200" s="2">
        <f t="shared" si="308"/>
        <v>0</v>
      </c>
      <c r="AS200" s="5">
        <f t="shared" si="309"/>
        <v>0</v>
      </c>
      <c r="AT200" s="21">
        <f t="shared" si="310"/>
        <v>0</v>
      </c>
      <c r="AU200" s="20">
        <f t="shared" si="311"/>
        <v>0</v>
      </c>
      <c r="AV200" s="20">
        <f t="shared" si="312"/>
        <v>1</v>
      </c>
      <c r="AW200" s="199">
        <f t="shared" si="313"/>
        <v>0</v>
      </c>
      <c r="AX200" s="24">
        <f t="shared" si="314"/>
        <v>0</v>
      </c>
      <c r="AY200" s="5">
        <f t="shared" si="315"/>
        <v>0</v>
      </c>
      <c r="AZ200" s="5">
        <f t="shared" si="316"/>
        <v>0</v>
      </c>
      <c r="BA200" s="5">
        <f t="shared" si="317"/>
        <v>0</v>
      </c>
      <c r="BB200" s="5">
        <f t="shared" si="318"/>
        <v>0</v>
      </c>
      <c r="BC200" s="5">
        <f t="shared" si="319"/>
        <v>0</v>
      </c>
      <c r="BD200" s="5">
        <f t="shared" si="320"/>
        <v>0</v>
      </c>
      <c r="BE200" s="199">
        <f t="shared" si="321"/>
        <v>0</v>
      </c>
      <c r="BF200" s="21">
        <f t="shared" si="322"/>
        <v>0</v>
      </c>
      <c r="BG200" s="6">
        <f t="shared" si="323"/>
        <v>0</v>
      </c>
      <c r="BH200" s="5" t="e">
        <f t="shared" si="324"/>
        <v>#DIV/0!</v>
      </c>
      <c r="BI200" s="6">
        <f t="shared" si="325"/>
        <v>0</v>
      </c>
      <c r="BJ200" s="5" t="e">
        <f t="shared" si="326"/>
        <v>#DIV/0!</v>
      </c>
      <c r="BK200" s="20">
        <f t="shared" si="327"/>
        <v>-9.9999999999999998E-13</v>
      </c>
      <c r="BL200" s="20">
        <f t="shared" si="328"/>
        <v>0</v>
      </c>
      <c r="BM200" s="6">
        <f t="shared" si="329"/>
        <v>0</v>
      </c>
      <c r="BN200" s="5">
        <f t="shared" si="330"/>
        <v>0</v>
      </c>
      <c r="BO200" s="333">
        <f t="shared" si="331"/>
        <v>0</v>
      </c>
      <c r="BP200" s="334">
        <f t="shared" si="332"/>
        <v>0</v>
      </c>
      <c r="BQ200" s="6">
        <f t="shared" si="333"/>
        <v>0</v>
      </c>
      <c r="BR200" s="5">
        <f t="shared" si="334"/>
        <v>0</v>
      </c>
      <c r="BS200" s="6">
        <f t="shared" si="335"/>
        <v>0</v>
      </c>
      <c r="BT200" s="5">
        <f t="shared" si="336"/>
        <v>0</v>
      </c>
      <c r="BU200" s="181">
        <f t="shared" si="337"/>
        <v>0</v>
      </c>
      <c r="BV200" s="154">
        <f t="shared" si="338"/>
        <v>0</v>
      </c>
      <c r="BW200" s="181">
        <f t="shared" si="339"/>
        <v>0</v>
      </c>
      <c r="BX200" s="180">
        <f t="shared" si="340"/>
        <v>0</v>
      </c>
      <c r="BY200" s="181">
        <f t="shared" si="341"/>
        <v>0</v>
      </c>
      <c r="BZ200" s="154">
        <f t="shared" si="342"/>
        <v>0</v>
      </c>
      <c r="CA200" s="182">
        <f t="shared" si="343"/>
        <v>0</v>
      </c>
      <c r="CB200" s="2">
        <f t="shared" si="344"/>
        <v>0</v>
      </c>
      <c r="CC200" s="2">
        <f t="shared" si="345"/>
        <v>0</v>
      </c>
      <c r="CD200" s="2">
        <f t="shared" si="346"/>
        <v>0</v>
      </c>
      <c r="CE200" s="2">
        <f t="shared" si="347"/>
        <v>0</v>
      </c>
      <c r="CF200" s="6">
        <f t="shared" si="348"/>
        <v>0</v>
      </c>
      <c r="CG200" s="6">
        <f t="shared" si="349"/>
        <v>0</v>
      </c>
      <c r="CH200" s="6">
        <f t="shared" si="350"/>
        <v>0</v>
      </c>
      <c r="CI200" s="20">
        <f t="shared" si="351"/>
        <v>0</v>
      </c>
      <c r="CJ200" s="133">
        <f t="shared" si="352"/>
        <v>2521</v>
      </c>
      <c r="CK200" s="5">
        <f t="shared" si="353"/>
        <v>0</v>
      </c>
      <c r="CL200" s="300" t="s">
        <v>1235</v>
      </c>
      <c r="CM200" s="296" t="s">
        <v>13</v>
      </c>
      <c r="CN200" s="296" t="s">
        <v>1199</v>
      </c>
      <c r="CO200" s="296">
        <v>16</v>
      </c>
      <c r="CP200" s="296" t="s">
        <v>1580</v>
      </c>
      <c r="CQ200" s="296" t="s">
        <v>1131</v>
      </c>
      <c r="CR200" s="296" t="s">
        <v>644</v>
      </c>
      <c r="CS200" s="296" t="s">
        <v>1322</v>
      </c>
      <c r="CT200" s="296" t="s">
        <v>550</v>
      </c>
      <c r="CU200" s="297">
        <v>47118</v>
      </c>
      <c r="CV200" s="296">
        <v>0</v>
      </c>
      <c r="CW200" s="296">
        <v>0</v>
      </c>
      <c r="CX200" s="296">
        <v>0</v>
      </c>
      <c r="CY200" s="296">
        <v>0</v>
      </c>
      <c r="CZ200" s="296">
        <v>0</v>
      </c>
      <c r="DA200" s="296">
        <v>0</v>
      </c>
      <c r="DB200" s="296">
        <v>0</v>
      </c>
      <c r="DC200" s="296">
        <v>0</v>
      </c>
      <c r="DD200" s="296">
        <v>0</v>
      </c>
      <c r="DE200" s="296">
        <v>0</v>
      </c>
      <c r="DF200" s="296">
        <v>0</v>
      </c>
      <c r="DG200" s="296">
        <v>0</v>
      </c>
      <c r="DH200" s="296">
        <v>0</v>
      </c>
      <c r="DI200" s="296">
        <v>0</v>
      </c>
      <c r="DJ200" s="296">
        <v>0</v>
      </c>
      <c r="DK200" s="296">
        <v>0</v>
      </c>
      <c r="DL200" s="296">
        <v>0</v>
      </c>
      <c r="DM200" s="296">
        <v>0</v>
      </c>
      <c r="DN200" s="296">
        <v>0</v>
      </c>
      <c r="DO200" s="296">
        <v>0</v>
      </c>
      <c r="DP200" s="296">
        <v>0</v>
      </c>
      <c r="DQ200" s="296">
        <v>0</v>
      </c>
      <c r="DR200" s="296">
        <v>0</v>
      </c>
      <c r="DS200" s="296">
        <v>0</v>
      </c>
      <c r="DT200" s="296">
        <v>0</v>
      </c>
      <c r="DU200" s="296">
        <v>0</v>
      </c>
      <c r="DV200" s="301" t="s">
        <v>548</v>
      </c>
    </row>
    <row r="201" spans="1:126" ht="24.95" customHeight="1" thickBot="1" x14ac:dyDescent="0.3">
      <c r="A201" s="29" t="str">
        <f t="shared" si="354"/>
        <v>200º</v>
      </c>
      <c r="B201" s="69" t="str">
        <f t="shared" si="267"/>
        <v>José Maria</v>
      </c>
      <c r="C201" s="269" t="str">
        <f t="shared" si="268"/>
        <v>BRA</v>
      </c>
      <c r="D201" s="99" t="str">
        <f t="shared" si="269"/>
        <v>Somente Pé Direito</v>
      </c>
      <c r="E201" s="28" t="str">
        <f t="shared" si="270"/>
        <v>POR</v>
      </c>
      <c r="F201" s="169">
        <f t="shared" si="271"/>
        <v>17</v>
      </c>
      <c r="G201" s="2" t="str">
        <f t="shared" si="272"/>
        <v>0 €</v>
      </c>
      <c r="H201" s="154">
        <f t="shared" si="273"/>
        <v>1.95</v>
      </c>
      <c r="I201" s="64">
        <f t="shared" si="274"/>
        <v>47118</v>
      </c>
      <c r="J201" s="304" t="str">
        <f t="shared" si="275"/>
        <v>525 € p/m</v>
      </c>
      <c r="K201" s="96">
        <f t="shared" si="355"/>
        <v>3.5222222222222221</v>
      </c>
      <c r="L201" s="146">
        <f t="shared" si="276"/>
        <v>2.2777777777777777</v>
      </c>
      <c r="M201" s="6">
        <f t="shared" si="277"/>
        <v>0</v>
      </c>
      <c r="N201" s="5">
        <f t="shared" si="278"/>
        <v>5400</v>
      </c>
      <c r="O201" s="21">
        <f t="shared" si="279"/>
        <v>0</v>
      </c>
      <c r="P201" s="2">
        <f t="shared" si="280"/>
        <v>61</v>
      </c>
      <c r="Q201" s="2">
        <f t="shared" si="281"/>
        <v>51</v>
      </c>
      <c r="R201" s="5">
        <f t="shared" si="282"/>
        <v>22.390243902439025</v>
      </c>
      <c r="S201" s="2">
        <f t="shared" si="283"/>
        <v>10</v>
      </c>
      <c r="T201" s="2">
        <f t="shared" si="284"/>
        <v>41</v>
      </c>
      <c r="U201" s="102">
        <f t="shared" si="285"/>
        <v>0.16393442622950818</v>
      </c>
      <c r="V201" s="102">
        <f t="shared" si="286"/>
        <v>0.83606557377049184</v>
      </c>
      <c r="W201" s="6">
        <f t="shared" si="287"/>
        <v>61</v>
      </c>
      <c r="X201" s="5">
        <f t="shared" si="288"/>
        <v>26.780487804878049</v>
      </c>
      <c r="Y201" s="6">
        <f t="shared" si="289"/>
        <v>0</v>
      </c>
      <c r="Z201" s="5">
        <f t="shared" si="290"/>
        <v>0</v>
      </c>
      <c r="AA201" s="21">
        <f t="shared" si="291"/>
        <v>0</v>
      </c>
      <c r="AB201" s="6">
        <f t="shared" si="292"/>
        <v>0</v>
      </c>
      <c r="AC201" s="5">
        <f t="shared" si="293"/>
        <v>0</v>
      </c>
      <c r="AD201" s="6">
        <f t="shared" si="294"/>
        <v>1</v>
      </c>
      <c r="AE201" s="5">
        <f t="shared" si="295"/>
        <v>0.43902439024390244</v>
      </c>
      <c r="AF201" s="21">
        <f t="shared" si="296"/>
        <v>0.1111111111111111</v>
      </c>
      <c r="AG201" s="6">
        <f t="shared" si="297"/>
        <v>2</v>
      </c>
      <c r="AH201" s="5">
        <f t="shared" si="298"/>
        <v>0.87804878048780488</v>
      </c>
      <c r="AI201" s="21">
        <f t="shared" si="299"/>
        <v>0.22222222222222221</v>
      </c>
      <c r="AJ201" s="6">
        <f t="shared" si="300"/>
        <v>6</v>
      </c>
      <c r="AK201" s="5">
        <f t="shared" si="301"/>
        <v>0.26797385620915032</v>
      </c>
      <c r="AL201" s="21">
        <f t="shared" si="302"/>
        <v>0.66666666666666663</v>
      </c>
      <c r="AM201" s="21">
        <f t="shared" si="303"/>
        <v>0</v>
      </c>
      <c r="AN201" s="6">
        <f t="shared" si="304"/>
        <v>0</v>
      </c>
      <c r="AO201" s="5">
        <f t="shared" si="305"/>
        <v>0</v>
      </c>
      <c r="AP201" s="6">
        <f t="shared" si="306"/>
        <v>9</v>
      </c>
      <c r="AQ201" s="5">
        <f t="shared" si="307"/>
        <v>3.9512195121951219</v>
      </c>
      <c r="AR201" s="2">
        <f t="shared" si="308"/>
        <v>17</v>
      </c>
      <c r="AS201" s="5">
        <f t="shared" si="309"/>
        <v>7.4634146341463419</v>
      </c>
      <c r="AT201" s="21">
        <f t="shared" si="310"/>
        <v>0.52941176470588236</v>
      </c>
      <c r="AU201" s="20">
        <f t="shared" si="311"/>
        <v>0.5</v>
      </c>
      <c r="AV201" s="20">
        <f t="shared" si="312"/>
        <v>0.47058823529411764</v>
      </c>
      <c r="AW201" s="199">
        <f t="shared" si="313"/>
        <v>0.82352941176470584</v>
      </c>
      <c r="AX201" s="24">
        <f t="shared" si="314"/>
        <v>25.625</v>
      </c>
      <c r="AY201" s="5">
        <f t="shared" si="315"/>
        <v>2.125</v>
      </c>
      <c r="AZ201" s="5">
        <f t="shared" si="316"/>
        <v>2</v>
      </c>
      <c r="BA201" s="5">
        <f t="shared" si="317"/>
        <v>-3.59</v>
      </c>
      <c r="BB201" s="5">
        <f t="shared" si="318"/>
        <v>-1.5760975609756098</v>
      </c>
      <c r="BC201" s="5">
        <f t="shared" si="319"/>
        <v>-3.59</v>
      </c>
      <c r="BD201" s="5">
        <f t="shared" si="320"/>
        <v>-1.5760975609756098</v>
      </c>
      <c r="BE201" s="199">
        <f t="shared" si="321"/>
        <v>-1.5760975609756098</v>
      </c>
      <c r="BF201" s="21">
        <f t="shared" si="322"/>
        <v>-0.81405895691609975</v>
      </c>
      <c r="BG201" s="6">
        <f t="shared" si="323"/>
        <v>1</v>
      </c>
      <c r="BH201" s="5">
        <f t="shared" si="324"/>
        <v>0.43902439024390244</v>
      </c>
      <c r="BI201" s="6">
        <f t="shared" si="325"/>
        <v>0</v>
      </c>
      <c r="BJ201" s="5">
        <f t="shared" si="326"/>
        <v>0</v>
      </c>
      <c r="BK201" s="20">
        <f t="shared" si="327"/>
        <v>0</v>
      </c>
      <c r="BL201" s="20">
        <f t="shared" si="328"/>
        <v>5.394470667565745E-3</v>
      </c>
      <c r="BM201" s="6">
        <f t="shared" si="329"/>
        <v>8</v>
      </c>
      <c r="BN201" s="5">
        <f t="shared" si="330"/>
        <v>3.5121951219512195</v>
      </c>
      <c r="BO201" s="333">
        <f t="shared" si="331"/>
        <v>0</v>
      </c>
      <c r="BP201" s="334">
        <f t="shared" si="332"/>
        <v>0</v>
      </c>
      <c r="BQ201" s="6">
        <f t="shared" si="333"/>
        <v>0</v>
      </c>
      <c r="BR201" s="5">
        <f t="shared" si="334"/>
        <v>0</v>
      </c>
      <c r="BS201" s="6">
        <f t="shared" si="335"/>
        <v>30.066666666666663</v>
      </c>
      <c r="BT201" s="5">
        <f t="shared" si="336"/>
        <v>13.2</v>
      </c>
      <c r="BU201" s="181">
        <f t="shared" si="337"/>
        <v>1</v>
      </c>
      <c r="BV201" s="154">
        <f t="shared" si="338"/>
        <v>0.43902439024390244</v>
      </c>
      <c r="BW201" s="181">
        <f t="shared" si="339"/>
        <v>0</v>
      </c>
      <c r="BX201" s="180">
        <f t="shared" si="340"/>
        <v>0</v>
      </c>
      <c r="BY201" s="181">
        <f t="shared" si="341"/>
        <v>1</v>
      </c>
      <c r="BZ201" s="154">
        <f t="shared" si="342"/>
        <v>0.43902439024390244</v>
      </c>
      <c r="CA201" s="182">
        <f t="shared" si="343"/>
        <v>0</v>
      </c>
      <c r="CB201" s="2">
        <f t="shared" si="344"/>
        <v>0</v>
      </c>
      <c r="CC201" s="2">
        <f t="shared" si="345"/>
        <v>0</v>
      </c>
      <c r="CD201" s="2">
        <f t="shared" si="346"/>
        <v>0</v>
      </c>
      <c r="CE201" s="2">
        <f t="shared" si="347"/>
        <v>1</v>
      </c>
      <c r="CF201" s="6">
        <f t="shared" si="348"/>
        <v>0</v>
      </c>
      <c r="CG201" s="6">
        <f t="shared" si="349"/>
        <v>97.555999999999997</v>
      </c>
      <c r="CH201" s="6">
        <f t="shared" si="350"/>
        <v>60</v>
      </c>
      <c r="CI201" s="20">
        <f t="shared" si="351"/>
        <v>0.61503136659969659</v>
      </c>
      <c r="CJ201" s="133">
        <f t="shared" si="352"/>
        <v>2521</v>
      </c>
      <c r="CK201" s="5">
        <f t="shared" si="353"/>
        <v>5.9</v>
      </c>
      <c r="CL201" s="302" t="s">
        <v>1235</v>
      </c>
      <c r="CM201" s="298" t="s">
        <v>13</v>
      </c>
      <c r="CN201" s="298" t="s">
        <v>789</v>
      </c>
      <c r="CO201" s="298">
        <v>17</v>
      </c>
      <c r="CP201" s="298" t="s">
        <v>1581</v>
      </c>
      <c r="CQ201" s="298" t="s">
        <v>1131</v>
      </c>
      <c r="CR201" s="298" t="s">
        <v>645</v>
      </c>
      <c r="CS201" s="298" t="s">
        <v>1322</v>
      </c>
      <c r="CT201" s="298" t="s">
        <v>680</v>
      </c>
      <c r="CU201" s="299">
        <v>47118</v>
      </c>
      <c r="CV201" s="298">
        <v>0</v>
      </c>
      <c r="CW201" s="298">
        <v>205</v>
      </c>
      <c r="CX201" s="298">
        <v>8</v>
      </c>
      <c r="CY201" s="298">
        <v>1</v>
      </c>
      <c r="CZ201" s="298">
        <v>2</v>
      </c>
      <c r="DA201" s="298">
        <v>6</v>
      </c>
      <c r="DB201" s="298">
        <v>0</v>
      </c>
      <c r="DC201" s="298">
        <v>0</v>
      </c>
      <c r="DD201" s="298">
        <v>13.2</v>
      </c>
      <c r="DE201" s="298">
        <v>0</v>
      </c>
      <c r="DF201" s="298">
        <v>0</v>
      </c>
      <c r="DG201" s="298">
        <v>0</v>
      </c>
      <c r="DH201" s="298">
        <v>0</v>
      </c>
      <c r="DI201" s="298">
        <v>1</v>
      </c>
      <c r="DJ201" s="298">
        <v>0</v>
      </c>
      <c r="DK201" s="298">
        <v>0</v>
      </c>
      <c r="DL201" s="298">
        <v>61</v>
      </c>
      <c r="DM201" s="298">
        <v>51</v>
      </c>
      <c r="DN201" s="298" t="s">
        <v>1582</v>
      </c>
      <c r="DO201" s="298">
        <v>0</v>
      </c>
      <c r="DP201" s="298">
        <v>0</v>
      </c>
      <c r="DQ201" s="298">
        <v>1</v>
      </c>
      <c r="DR201" s="298">
        <v>0</v>
      </c>
      <c r="DS201" s="298">
        <v>0</v>
      </c>
      <c r="DT201" s="298">
        <v>1</v>
      </c>
      <c r="DU201" s="298">
        <v>0</v>
      </c>
      <c r="DV201" s="303">
        <v>5.9</v>
      </c>
    </row>
    <row r="202" spans="1:126" ht="24.95" customHeight="1" thickBot="1" x14ac:dyDescent="0.3">
      <c r="A202" s="29" t="str">
        <f t="shared" si="354"/>
        <v>201º</v>
      </c>
      <c r="B202" s="69" t="str">
        <f t="shared" si="267"/>
        <v>Gabriel</v>
      </c>
      <c r="C202" s="269" t="str">
        <f t="shared" si="268"/>
        <v>BRA</v>
      </c>
      <c r="D202" s="99" t="str">
        <f t="shared" si="269"/>
        <v>Pé Direito</v>
      </c>
      <c r="E202" s="28" t="str">
        <f t="shared" si="270"/>
        <v>Resende</v>
      </c>
      <c r="F202" s="169">
        <f t="shared" si="271"/>
        <v>17</v>
      </c>
      <c r="G202" s="2" t="str">
        <f t="shared" si="272"/>
        <v>0 €</v>
      </c>
      <c r="H202" s="154">
        <f t="shared" si="273"/>
        <v>1.93</v>
      </c>
      <c r="I202" s="64">
        <f t="shared" si="274"/>
        <v>47118</v>
      </c>
      <c r="J202" s="304" t="str">
        <f t="shared" si="275"/>
        <v>550 € p/m</v>
      </c>
      <c r="K202" s="96">
        <f t="shared" si="355"/>
        <v>3.5222222222222221</v>
      </c>
      <c r="L202" s="146">
        <f t="shared" si="276"/>
        <v>0</v>
      </c>
      <c r="M202" s="6">
        <f t="shared" si="277"/>
        <v>0</v>
      </c>
      <c r="N202" s="5">
        <f t="shared" si="278"/>
        <v>5400</v>
      </c>
      <c r="O202" s="21">
        <f t="shared" si="279"/>
        <v>0</v>
      </c>
      <c r="P202" s="2">
        <f t="shared" si="280"/>
        <v>0</v>
      </c>
      <c r="Q202" s="2">
        <f t="shared" si="281"/>
        <v>0</v>
      </c>
      <c r="R202" s="5">
        <f t="shared" si="282"/>
        <v>0</v>
      </c>
      <c r="S202" s="2">
        <f t="shared" si="283"/>
        <v>0</v>
      </c>
      <c r="T202" s="2">
        <f t="shared" si="284"/>
        <v>0</v>
      </c>
      <c r="U202" s="102">
        <f t="shared" si="285"/>
        <v>0</v>
      </c>
      <c r="V202" s="102">
        <f t="shared" si="286"/>
        <v>0</v>
      </c>
      <c r="W202" s="6">
        <f t="shared" si="287"/>
        <v>0</v>
      </c>
      <c r="X202" s="5">
        <f t="shared" si="288"/>
        <v>0</v>
      </c>
      <c r="Y202" s="6">
        <f t="shared" si="289"/>
        <v>0</v>
      </c>
      <c r="Z202" s="5" t="e">
        <f t="shared" si="290"/>
        <v>#DIV/0!</v>
      </c>
      <c r="AA202" s="21">
        <f t="shared" si="291"/>
        <v>0</v>
      </c>
      <c r="AB202" s="6">
        <f t="shared" si="292"/>
        <v>0</v>
      </c>
      <c r="AC202" s="5" t="e">
        <f t="shared" si="293"/>
        <v>#DIV/0!</v>
      </c>
      <c r="AD202" s="6">
        <f t="shared" si="294"/>
        <v>0</v>
      </c>
      <c r="AE202" s="5">
        <f t="shared" si="295"/>
        <v>0</v>
      </c>
      <c r="AF202" s="21">
        <f t="shared" si="296"/>
        <v>0</v>
      </c>
      <c r="AG202" s="6">
        <f t="shared" si="297"/>
        <v>0</v>
      </c>
      <c r="AH202" s="5">
        <f t="shared" si="298"/>
        <v>0</v>
      </c>
      <c r="AI202" s="21">
        <f t="shared" si="299"/>
        <v>0</v>
      </c>
      <c r="AJ202" s="6">
        <f t="shared" si="300"/>
        <v>0</v>
      </c>
      <c r="AK202" s="5">
        <f t="shared" si="301"/>
        <v>0</v>
      </c>
      <c r="AL202" s="21">
        <f t="shared" si="302"/>
        <v>0</v>
      </c>
      <c r="AM202" s="21">
        <f t="shared" si="303"/>
        <v>0</v>
      </c>
      <c r="AN202" s="6">
        <f t="shared" si="304"/>
        <v>0</v>
      </c>
      <c r="AO202" s="5">
        <f t="shared" si="305"/>
        <v>0</v>
      </c>
      <c r="AP202" s="6">
        <f t="shared" si="306"/>
        <v>0</v>
      </c>
      <c r="AQ202" s="5">
        <f t="shared" si="307"/>
        <v>0</v>
      </c>
      <c r="AR202" s="2">
        <f t="shared" si="308"/>
        <v>0</v>
      </c>
      <c r="AS202" s="5">
        <f t="shared" si="309"/>
        <v>0</v>
      </c>
      <c r="AT202" s="21">
        <f t="shared" si="310"/>
        <v>0</v>
      </c>
      <c r="AU202" s="20">
        <f t="shared" si="311"/>
        <v>0</v>
      </c>
      <c r="AV202" s="20">
        <f t="shared" si="312"/>
        <v>1</v>
      </c>
      <c r="AW202" s="199">
        <f t="shared" si="313"/>
        <v>0</v>
      </c>
      <c r="AX202" s="24">
        <f t="shared" si="314"/>
        <v>0</v>
      </c>
      <c r="AY202" s="5">
        <f t="shared" si="315"/>
        <v>0</v>
      </c>
      <c r="AZ202" s="5">
        <f t="shared" si="316"/>
        <v>0</v>
      </c>
      <c r="BA202" s="5">
        <f t="shared" si="317"/>
        <v>0</v>
      </c>
      <c r="BB202" s="5">
        <f t="shared" si="318"/>
        <v>0</v>
      </c>
      <c r="BC202" s="5">
        <f t="shared" si="319"/>
        <v>0</v>
      </c>
      <c r="BD202" s="5">
        <f t="shared" si="320"/>
        <v>0</v>
      </c>
      <c r="BE202" s="199">
        <f t="shared" si="321"/>
        <v>0</v>
      </c>
      <c r="BF202" s="21">
        <f t="shared" si="322"/>
        <v>0</v>
      </c>
      <c r="BG202" s="6">
        <f t="shared" si="323"/>
        <v>0</v>
      </c>
      <c r="BH202" s="5" t="e">
        <f t="shared" si="324"/>
        <v>#DIV/0!</v>
      </c>
      <c r="BI202" s="6">
        <f t="shared" si="325"/>
        <v>0</v>
      </c>
      <c r="BJ202" s="5" t="e">
        <f t="shared" si="326"/>
        <v>#DIV/0!</v>
      </c>
      <c r="BK202" s="20">
        <f t="shared" si="327"/>
        <v>-9.9999999999999998E-13</v>
      </c>
      <c r="BL202" s="20">
        <f t="shared" si="328"/>
        <v>0</v>
      </c>
      <c r="BM202" s="6">
        <f t="shared" si="329"/>
        <v>0</v>
      </c>
      <c r="BN202" s="5">
        <f t="shared" si="330"/>
        <v>0</v>
      </c>
      <c r="BO202" s="333">
        <f t="shared" si="331"/>
        <v>0</v>
      </c>
      <c r="BP202" s="334">
        <f t="shared" si="332"/>
        <v>0</v>
      </c>
      <c r="BQ202" s="6">
        <f t="shared" si="333"/>
        <v>0</v>
      </c>
      <c r="BR202" s="5">
        <f t="shared" si="334"/>
        <v>0</v>
      </c>
      <c r="BS202" s="6">
        <f t="shared" si="335"/>
        <v>0</v>
      </c>
      <c r="BT202" s="5">
        <f t="shared" si="336"/>
        <v>0</v>
      </c>
      <c r="BU202" s="181">
        <f t="shared" si="337"/>
        <v>0</v>
      </c>
      <c r="BV202" s="154">
        <f t="shared" si="338"/>
        <v>0</v>
      </c>
      <c r="BW202" s="181">
        <f t="shared" si="339"/>
        <v>0</v>
      </c>
      <c r="BX202" s="180">
        <f t="shared" si="340"/>
        <v>0</v>
      </c>
      <c r="BY202" s="181">
        <f t="shared" si="341"/>
        <v>0</v>
      </c>
      <c r="BZ202" s="154">
        <f t="shared" si="342"/>
        <v>0</v>
      </c>
      <c r="CA202" s="182">
        <f t="shared" si="343"/>
        <v>0</v>
      </c>
      <c r="CB202" s="2">
        <f t="shared" si="344"/>
        <v>0</v>
      </c>
      <c r="CC202" s="2">
        <f t="shared" si="345"/>
        <v>0</v>
      </c>
      <c r="CD202" s="2">
        <f t="shared" si="346"/>
        <v>0</v>
      </c>
      <c r="CE202" s="2">
        <f t="shared" si="347"/>
        <v>0</v>
      </c>
      <c r="CF202" s="6">
        <f t="shared" si="348"/>
        <v>0</v>
      </c>
      <c r="CG202" s="6">
        <f t="shared" si="349"/>
        <v>0</v>
      </c>
      <c r="CH202" s="6">
        <f t="shared" si="350"/>
        <v>0</v>
      </c>
      <c r="CI202" s="20">
        <f t="shared" si="351"/>
        <v>0</v>
      </c>
      <c r="CJ202" s="133">
        <f t="shared" si="352"/>
        <v>2521</v>
      </c>
      <c r="CK202" s="5">
        <f t="shared" si="353"/>
        <v>0</v>
      </c>
      <c r="CL202" s="300"/>
      <c r="CM202" s="296" t="s">
        <v>13</v>
      </c>
      <c r="CN202" s="296" t="s">
        <v>1161</v>
      </c>
      <c r="CO202" s="296">
        <v>17</v>
      </c>
      <c r="CP202" s="296" t="s">
        <v>1583</v>
      </c>
      <c r="CQ202" s="296" t="s">
        <v>1131</v>
      </c>
      <c r="CR202" s="296" t="s">
        <v>644</v>
      </c>
      <c r="CS202" s="296" t="s">
        <v>1375</v>
      </c>
      <c r="CT202" s="296" t="s">
        <v>1123</v>
      </c>
      <c r="CU202" s="297">
        <v>47118</v>
      </c>
      <c r="CV202" s="296">
        <v>0</v>
      </c>
      <c r="CW202" s="296">
        <v>0</v>
      </c>
      <c r="CX202" s="296">
        <v>0</v>
      </c>
      <c r="CY202" s="296">
        <v>0</v>
      </c>
      <c r="CZ202" s="296">
        <v>0</v>
      </c>
      <c r="DA202" s="296">
        <v>0</v>
      </c>
      <c r="DB202" s="296">
        <v>0</v>
      </c>
      <c r="DC202" s="296">
        <v>0</v>
      </c>
      <c r="DD202" s="296">
        <v>0</v>
      </c>
      <c r="DE202" s="296">
        <v>0</v>
      </c>
      <c r="DF202" s="296">
        <v>0</v>
      </c>
      <c r="DG202" s="296">
        <v>0</v>
      </c>
      <c r="DH202" s="296">
        <v>0</v>
      </c>
      <c r="DI202" s="296">
        <v>0</v>
      </c>
      <c r="DJ202" s="296">
        <v>0</v>
      </c>
      <c r="DK202" s="296">
        <v>0</v>
      </c>
      <c r="DL202" s="296">
        <v>0</v>
      </c>
      <c r="DM202" s="296">
        <v>0</v>
      </c>
      <c r="DN202" s="296">
        <v>0</v>
      </c>
      <c r="DO202" s="296">
        <v>0</v>
      </c>
      <c r="DP202" s="296">
        <v>0</v>
      </c>
      <c r="DQ202" s="296">
        <v>0</v>
      </c>
      <c r="DR202" s="296">
        <v>0</v>
      </c>
      <c r="DS202" s="296">
        <v>0</v>
      </c>
      <c r="DT202" s="296">
        <v>0</v>
      </c>
      <c r="DU202" s="296">
        <v>0</v>
      </c>
      <c r="DV202" s="301" t="s">
        <v>548</v>
      </c>
    </row>
    <row r="203" spans="1:126" ht="24.95" customHeight="1" thickBot="1" x14ac:dyDescent="0.3">
      <c r="A203" s="29" t="str">
        <f t="shared" si="354"/>
        <v>202º</v>
      </c>
      <c r="B203" s="69" t="str">
        <f t="shared" si="267"/>
        <v>Diego Careca</v>
      </c>
      <c r="C203" s="269" t="str">
        <f t="shared" si="268"/>
        <v>BRA</v>
      </c>
      <c r="D203" s="99" t="str">
        <f t="shared" si="269"/>
        <v>Pé Direito</v>
      </c>
      <c r="E203" s="28" t="str">
        <f t="shared" si="270"/>
        <v>Gama</v>
      </c>
      <c r="F203" s="169">
        <f t="shared" si="271"/>
        <v>17</v>
      </c>
      <c r="G203" s="2" t="str">
        <f t="shared" si="272"/>
        <v>0 €</v>
      </c>
      <c r="H203" s="154">
        <f t="shared" si="273"/>
        <v>1.84</v>
      </c>
      <c r="I203" s="64">
        <f t="shared" si="274"/>
        <v>47118</v>
      </c>
      <c r="J203" s="304" t="str">
        <f t="shared" si="275"/>
        <v>525 € p/m</v>
      </c>
      <c r="K203" s="96">
        <f t="shared" si="355"/>
        <v>3.5222222222222221</v>
      </c>
      <c r="L203" s="146">
        <f t="shared" si="276"/>
        <v>1.1222222222222222</v>
      </c>
      <c r="M203" s="6">
        <f t="shared" si="277"/>
        <v>0</v>
      </c>
      <c r="N203" s="5">
        <f t="shared" si="278"/>
        <v>5400</v>
      </c>
      <c r="O203" s="21">
        <f t="shared" si="279"/>
        <v>0</v>
      </c>
      <c r="P203" s="2">
        <f t="shared" si="280"/>
        <v>30</v>
      </c>
      <c r="Q203" s="2">
        <f t="shared" si="281"/>
        <v>26</v>
      </c>
      <c r="R203" s="5">
        <f t="shared" si="282"/>
        <v>23.168316831683168</v>
      </c>
      <c r="S203" s="2">
        <f t="shared" si="283"/>
        <v>4</v>
      </c>
      <c r="T203" s="2">
        <f t="shared" si="284"/>
        <v>22</v>
      </c>
      <c r="U203" s="102">
        <f t="shared" si="285"/>
        <v>0.13333333333333333</v>
      </c>
      <c r="V203" s="102">
        <f t="shared" si="286"/>
        <v>0.8666666666666667</v>
      </c>
      <c r="W203" s="6">
        <f t="shared" si="287"/>
        <v>30</v>
      </c>
      <c r="X203" s="5">
        <f t="shared" si="288"/>
        <v>26.732673267326732</v>
      </c>
      <c r="Y203" s="6">
        <f t="shared" si="289"/>
        <v>0</v>
      </c>
      <c r="Z203" s="5">
        <f t="shared" si="290"/>
        <v>0</v>
      </c>
      <c r="AA203" s="21">
        <f t="shared" si="291"/>
        <v>0</v>
      </c>
      <c r="AB203" s="6">
        <f t="shared" si="292"/>
        <v>0</v>
      </c>
      <c r="AC203" s="5">
        <f t="shared" si="293"/>
        <v>0</v>
      </c>
      <c r="AD203" s="6">
        <f t="shared" si="294"/>
        <v>0</v>
      </c>
      <c r="AE203" s="5">
        <f t="shared" si="295"/>
        <v>0</v>
      </c>
      <c r="AF203" s="21">
        <f t="shared" si="296"/>
        <v>0</v>
      </c>
      <c r="AG203" s="6">
        <f t="shared" si="297"/>
        <v>0</v>
      </c>
      <c r="AH203" s="5">
        <f t="shared" si="298"/>
        <v>0</v>
      </c>
      <c r="AI203" s="21">
        <f t="shared" si="299"/>
        <v>0</v>
      </c>
      <c r="AJ203" s="6">
        <f t="shared" si="300"/>
        <v>0</v>
      </c>
      <c r="AK203" s="5">
        <f t="shared" si="301"/>
        <v>0</v>
      </c>
      <c r="AL203" s="21">
        <f t="shared" si="302"/>
        <v>0</v>
      </c>
      <c r="AM203" s="21">
        <f t="shared" si="303"/>
        <v>1.7821782178217822</v>
      </c>
      <c r="AN203" s="6">
        <f t="shared" si="304"/>
        <v>2</v>
      </c>
      <c r="AO203" s="5">
        <f t="shared" si="305"/>
        <v>1.7821782178217822</v>
      </c>
      <c r="AP203" s="6">
        <f t="shared" si="306"/>
        <v>0</v>
      </c>
      <c r="AQ203" s="5">
        <f t="shared" si="307"/>
        <v>0</v>
      </c>
      <c r="AR203" s="2">
        <f t="shared" si="308"/>
        <v>0</v>
      </c>
      <c r="AS203" s="5">
        <f t="shared" si="309"/>
        <v>0</v>
      </c>
      <c r="AT203" s="21">
        <f t="shared" si="310"/>
        <v>0</v>
      </c>
      <c r="AU203" s="20">
        <f t="shared" si="311"/>
        <v>0</v>
      </c>
      <c r="AV203" s="20">
        <f t="shared" si="312"/>
        <v>1</v>
      </c>
      <c r="AW203" s="199">
        <f t="shared" si="313"/>
        <v>0</v>
      </c>
      <c r="AX203" s="24">
        <f t="shared" si="314"/>
        <v>0</v>
      </c>
      <c r="AY203" s="5">
        <f t="shared" si="315"/>
        <v>0</v>
      </c>
      <c r="AZ203" s="5">
        <f t="shared" si="316"/>
        <v>0</v>
      </c>
      <c r="BA203" s="5">
        <f t="shared" si="317"/>
        <v>0.52</v>
      </c>
      <c r="BB203" s="5">
        <f t="shared" si="318"/>
        <v>0.46336633663366339</v>
      </c>
      <c r="BC203" s="5">
        <f t="shared" si="319"/>
        <v>0.52</v>
      </c>
      <c r="BD203" s="5">
        <f t="shared" si="320"/>
        <v>0.46336633663366339</v>
      </c>
      <c r="BE203" s="199">
        <f t="shared" si="321"/>
        <v>0.26</v>
      </c>
      <c r="BF203" s="21">
        <f t="shared" si="322"/>
        <v>1</v>
      </c>
      <c r="BG203" s="6">
        <f t="shared" si="323"/>
        <v>0</v>
      </c>
      <c r="BH203" s="5">
        <f t="shared" si="324"/>
        <v>0</v>
      </c>
      <c r="BI203" s="6">
        <f t="shared" si="325"/>
        <v>0</v>
      </c>
      <c r="BJ203" s="5">
        <f t="shared" si="326"/>
        <v>0</v>
      </c>
      <c r="BK203" s="20">
        <f t="shared" si="327"/>
        <v>-9.9999999999999998E-13</v>
      </c>
      <c r="BL203" s="20">
        <f t="shared" si="328"/>
        <v>0</v>
      </c>
      <c r="BM203" s="6">
        <f t="shared" si="329"/>
        <v>0</v>
      </c>
      <c r="BN203" s="5">
        <f t="shared" si="330"/>
        <v>0</v>
      </c>
      <c r="BO203" s="333">
        <f t="shared" si="331"/>
        <v>0</v>
      </c>
      <c r="BP203" s="334">
        <f t="shared" si="332"/>
        <v>0</v>
      </c>
      <c r="BQ203" s="6">
        <f t="shared" si="333"/>
        <v>0</v>
      </c>
      <c r="BR203" s="5">
        <f t="shared" si="334"/>
        <v>0</v>
      </c>
      <c r="BS203" s="6">
        <f t="shared" si="335"/>
        <v>7.9677777777777772</v>
      </c>
      <c r="BT203" s="5">
        <f t="shared" si="336"/>
        <v>7.1</v>
      </c>
      <c r="BU203" s="181">
        <f t="shared" si="337"/>
        <v>0</v>
      </c>
      <c r="BV203" s="154">
        <f t="shared" si="338"/>
        <v>0</v>
      </c>
      <c r="BW203" s="181">
        <f t="shared" si="339"/>
        <v>0</v>
      </c>
      <c r="BX203" s="180">
        <f t="shared" si="340"/>
        <v>0</v>
      </c>
      <c r="BY203" s="181">
        <f t="shared" si="341"/>
        <v>0</v>
      </c>
      <c r="BZ203" s="154">
        <f t="shared" si="342"/>
        <v>0</v>
      </c>
      <c r="CA203" s="182">
        <f t="shared" si="343"/>
        <v>0</v>
      </c>
      <c r="CB203" s="2">
        <f t="shared" si="344"/>
        <v>0</v>
      </c>
      <c r="CC203" s="2">
        <f t="shared" si="345"/>
        <v>0</v>
      </c>
      <c r="CD203" s="2">
        <f t="shared" si="346"/>
        <v>0</v>
      </c>
      <c r="CE203" s="2">
        <f t="shared" si="347"/>
        <v>0</v>
      </c>
      <c r="CF203" s="6">
        <f t="shared" si="348"/>
        <v>0</v>
      </c>
      <c r="CG203" s="6">
        <f t="shared" si="349"/>
        <v>43.442999999999998</v>
      </c>
      <c r="CH203" s="6">
        <f t="shared" si="350"/>
        <v>26</v>
      </c>
      <c r="CI203" s="20">
        <f t="shared" si="351"/>
        <v>0.59848537163639715</v>
      </c>
      <c r="CJ203" s="133">
        <f t="shared" si="352"/>
        <v>2521</v>
      </c>
      <c r="CK203" s="5">
        <f t="shared" si="353"/>
        <v>6.8</v>
      </c>
      <c r="CL203" s="302" t="s">
        <v>1235</v>
      </c>
      <c r="CM203" s="298" t="s">
        <v>13</v>
      </c>
      <c r="CN203" s="298" t="s">
        <v>1584</v>
      </c>
      <c r="CO203" s="298">
        <v>17</v>
      </c>
      <c r="CP203" s="298" t="s">
        <v>1585</v>
      </c>
      <c r="CQ203" s="298" t="s">
        <v>1131</v>
      </c>
      <c r="CR203" s="298" t="s">
        <v>644</v>
      </c>
      <c r="CS203" s="298" t="s">
        <v>1322</v>
      </c>
      <c r="CT203" s="298" t="s">
        <v>574</v>
      </c>
      <c r="CU203" s="299">
        <v>47118</v>
      </c>
      <c r="CV203" s="298">
        <v>0</v>
      </c>
      <c r="CW203" s="298">
        <v>101</v>
      </c>
      <c r="CX203" s="298">
        <v>0</v>
      </c>
      <c r="CY203" s="298">
        <v>0</v>
      </c>
      <c r="CZ203" s="298">
        <v>0</v>
      </c>
      <c r="DA203" s="298">
        <v>0</v>
      </c>
      <c r="DB203" s="298">
        <v>0</v>
      </c>
      <c r="DC203" s="298">
        <v>0</v>
      </c>
      <c r="DD203" s="298">
        <v>7.1</v>
      </c>
      <c r="DE203" s="298">
        <v>2</v>
      </c>
      <c r="DF203" s="298">
        <v>0</v>
      </c>
      <c r="DG203" s="298">
        <v>0</v>
      </c>
      <c r="DH203" s="298">
        <v>0</v>
      </c>
      <c r="DI203" s="298">
        <v>0</v>
      </c>
      <c r="DJ203" s="298">
        <v>0</v>
      </c>
      <c r="DK203" s="298">
        <v>0</v>
      </c>
      <c r="DL203" s="298">
        <v>30</v>
      </c>
      <c r="DM203" s="298">
        <v>26</v>
      </c>
      <c r="DN203" s="298" t="s">
        <v>1586</v>
      </c>
      <c r="DO203" s="298">
        <v>0</v>
      </c>
      <c r="DP203" s="298">
        <v>0</v>
      </c>
      <c r="DQ203" s="298">
        <v>0</v>
      </c>
      <c r="DR203" s="298">
        <v>0</v>
      </c>
      <c r="DS203" s="298">
        <v>0</v>
      </c>
      <c r="DT203" s="298">
        <v>0</v>
      </c>
      <c r="DU203" s="298">
        <v>0</v>
      </c>
      <c r="DV203" s="303">
        <v>6.8</v>
      </c>
    </row>
    <row r="204" spans="1:126" ht="24.95" customHeight="1" thickBot="1" x14ac:dyDescent="0.3">
      <c r="A204" s="29" t="str">
        <f t="shared" si="354"/>
        <v>203º</v>
      </c>
      <c r="B204" s="69" t="str">
        <f t="shared" ref="B204:B266" si="356">CP204</f>
        <v>Maicon Douglas</v>
      </c>
      <c r="C204" s="269" t="str">
        <f t="shared" ref="C204:C266" si="357">CM204</f>
        <v>BRA</v>
      </c>
      <c r="D204" s="99" t="str">
        <f t="shared" ref="D204:D266" si="358">CR204</f>
        <v>Pé Direito</v>
      </c>
      <c r="E204" s="28" t="str">
        <f t="shared" ref="E204:E266" si="359">CN204</f>
        <v>Santo André</v>
      </c>
      <c r="F204" s="169">
        <f t="shared" ref="F204:F266" si="360">CO204</f>
        <v>17</v>
      </c>
      <c r="G204" s="2" t="str">
        <f t="shared" ref="G204:G266" si="361">CQ204</f>
        <v>0 €</v>
      </c>
      <c r="H204" s="154">
        <f t="shared" ref="H204:H266" si="362">IFERROR(SUBSTITUTE(CT204," cm","")/100,0)</f>
        <v>1.88</v>
      </c>
      <c r="I204" s="64">
        <f t="shared" ref="I204:I266" si="363">IF(CU204="-", "Sem Data Final", CU204)</f>
        <v>47118</v>
      </c>
      <c r="J204" s="304" t="str">
        <f t="shared" ref="J204:J266" si="364">IFERROR(CS204,0)</f>
        <v>525 € p/m</v>
      </c>
      <c r="K204" s="96">
        <f t="shared" si="355"/>
        <v>3.5222222222222221</v>
      </c>
      <c r="L204" s="146">
        <f t="shared" ref="L204:L266" si="365">IFERROR(CW204/90,0)</f>
        <v>0</v>
      </c>
      <c r="M204" s="6">
        <f t="shared" ref="M204:M266" si="366">CV204</f>
        <v>0</v>
      </c>
      <c r="N204" s="5">
        <f t="shared" ref="N204:N266" si="367">IFERROR((CW204/M204),5400)</f>
        <v>5400</v>
      </c>
      <c r="O204" s="21">
        <f t="shared" ref="O204:O266" si="368">IFERROR((M204*1)/L204,0)</f>
        <v>0</v>
      </c>
      <c r="P204" s="2">
        <f t="shared" ref="P204:P266" si="369">DL204</f>
        <v>0</v>
      </c>
      <c r="Q204" s="2">
        <f t="shared" ref="Q204:Q266" si="370">DM204</f>
        <v>0</v>
      </c>
      <c r="R204" s="5">
        <f t="shared" ref="R204:R266" si="371">IFERROR((Q204/L204),0)</f>
        <v>0</v>
      </c>
      <c r="S204" s="2">
        <f t="shared" ref="S204:S266" si="372">IFERROR(P204-Q204,0)</f>
        <v>0</v>
      </c>
      <c r="T204" s="2">
        <f t="shared" ref="T204:T266" si="373">IFERROR(Q204-S204,0)</f>
        <v>0</v>
      </c>
      <c r="U204" s="102">
        <f t="shared" ref="U204:U266" si="374">IFERROR(((P204-Q204)*1)/P204,0)</f>
        <v>0</v>
      </c>
      <c r="V204" s="102">
        <f t="shared" ref="V204:V266" si="375">IFERROR((Q204*1)/P204,0)</f>
        <v>0</v>
      </c>
      <c r="W204" s="6">
        <f t="shared" ref="W204:W266" si="376">DL204-DJ204</f>
        <v>0</v>
      </c>
      <c r="X204" s="5">
        <f t="shared" ref="X204:X266" si="377">IFERROR(W204/L204,0)</f>
        <v>0</v>
      </c>
      <c r="Y204" s="6">
        <f t="shared" ref="Y204:Y266" si="378">DJ204</f>
        <v>0</v>
      </c>
      <c r="Z204" s="5" t="e">
        <f t="shared" ref="Z204:Z266" si="379">Y204/L204</f>
        <v>#DIV/0!</v>
      </c>
      <c r="AA204" s="21">
        <f t="shared" ref="AA204:AA266" si="380">IFERROR(Y204/W204,0)</f>
        <v>0</v>
      </c>
      <c r="AB204" s="6">
        <f t="shared" ref="AB204:AB266" si="381">DK204</f>
        <v>0</v>
      </c>
      <c r="AC204" s="5" t="e">
        <f t="shared" ref="AC204:AC266" si="382">AB204/L204</f>
        <v>#DIV/0!</v>
      </c>
      <c r="AD204" s="6">
        <f t="shared" ref="AD204:AD266" si="383">CY204</f>
        <v>0</v>
      </c>
      <c r="AE204" s="5">
        <f t="shared" ref="AE204:AE266" si="384">IFERROR(AD204/L204,0)</f>
        <v>0</v>
      </c>
      <c r="AF204" s="21">
        <f t="shared" ref="AF204:AF266" si="385">IFERROR((AD204*1)/AP204,0)</f>
        <v>0</v>
      </c>
      <c r="AG204" s="6">
        <f t="shared" ref="AG204:AG266" si="386">CZ204</f>
        <v>0</v>
      </c>
      <c r="AH204" s="5">
        <f t="shared" ref="AH204:AH266" si="387">IFERROR(AG204/L204,0)</f>
        <v>0</v>
      </c>
      <c r="AI204" s="21">
        <f t="shared" ref="AI204:AI266" si="388">IFERROR((AG204*1)/AP204,0)</f>
        <v>0</v>
      </c>
      <c r="AJ204" s="6">
        <f t="shared" ref="AJ204:AJ266" si="389">DA204</f>
        <v>0</v>
      </c>
      <c r="AK204" s="5">
        <f t="shared" ref="AK204:AK266" si="390">IFERROR(AJ204/R204,0)</f>
        <v>0</v>
      </c>
      <c r="AL204" s="21">
        <f t="shared" ref="AL204:AL266" si="391">IFERROR((AJ204*1)/AP204,0)</f>
        <v>0</v>
      </c>
      <c r="AM204" s="21">
        <f t="shared" ref="AM204:AM266" si="392">IFERROR((AN204*1)/L204,0)</f>
        <v>0</v>
      </c>
      <c r="AN204" s="6">
        <f t="shared" ref="AN204:AN266" si="393">DE204</f>
        <v>0</v>
      </c>
      <c r="AO204" s="5">
        <f t="shared" ref="AO204:AO266" si="394">IFERROR(AN204/L204,0)</f>
        <v>0</v>
      </c>
      <c r="AP204" s="6">
        <f t="shared" ref="AP204:AP266" si="395">IFERROR(CY204+CZ204+DA204,0)</f>
        <v>0</v>
      </c>
      <c r="AQ204" s="5">
        <f t="shared" ref="AQ204:AQ266" si="396">IFERROR(AP204/L204,0)</f>
        <v>0</v>
      </c>
      <c r="AR204" s="2">
        <f t="shared" ref="AR204:AR266" si="397">IFERROR((CZ204+DA204+CY204+CX204),0)</f>
        <v>0</v>
      </c>
      <c r="AS204" s="5">
        <f t="shared" ref="AS204:AS266" si="398">IFERROR(AR204/L204,0)</f>
        <v>0</v>
      </c>
      <c r="AT204" s="21">
        <f t="shared" ref="AT204:AT266" si="399">IFERROR(AP204/AR204,0)</f>
        <v>0</v>
      </c>
      <c r="AU204" s="20">
        <f t="shared" ref="AU204:AU266" si="400">IFERROR(((CZ204+DA204+BI204)*1)/(AR204-CY204),0)</f>
        <v>0</v>
      </c>
      <c r="AV204" s="20">
        <f t="shared" ref="AV204:AV266" si="401">IFERROR((BN204*1)/AS204,1)</f>
        <v>1</v>
      </c>
      <c r="AW204" s="199">
        <f t="shared" ref="AW204:AW266" si="402">IFERROR((AG204*2+AJ204*1.5+AD204*1)/AR204,0)</f>
        <v>0</v>
      </c>
      <c r="AX204" s="24">
        <f t="shared" ref="AX204:AX266" si="403">IFERROR(CW204/CX204,0)</f>
        <v>0</v>
      </c>
      <c r="AY204" s="5">
        <f t="shared" ref="AY204:AY266" si="404">IFERROR((CX204+CY204+CZ204+DA204)/CX204,0)</f>
        <v>0</v>
      </c>
      <c r="AZ204" s="5">
        <f t="shared" ref="AZ204:AZ266" si="405">IFERROR((CX204+CZ204+DA204)/CX204,0)</f>
        <v>0</v>
      </c>
      <c r="BA204" s="5">
        <f t="shared" ref="BA204:BA266" si="406">IF(DN204="-","Sem Dados",VALUE(SUBSTITUTE(DN204,".",","))
)</f>
        <v>0</v>
      </c>
      <c r="BB204" s="5">
        <f t="shared" ref="BB204:BB266" si="407">IFERROR(BA204/L204,0)</f>
        <v>0</v>
      </c>
      <c r="BC204" s="5">
        <f t="shared" ref="BC204:BC266" si="408">IFERROR(BA204-(BI204*0.79),-100)</f>
        <v>0</v>
      </c>
      <c r="BD204" s="5">
        <f t="shared" ref="BD204:BD266" si="409">IFERROR(BC204/L204,0)</f>
        <v>0</v>
      </c>
      <c r="BE204" s="199">
        <f t="shared" ref="BE204:BE266" si="410">IFERROR(BB204/AO204,BB204)</f>
        <v>0</v>
      </c>
      <c r="BF204" s="21">
        <f t="shared" ref="BF204:BF266" si="411">IFERROR(BA204/(BA204+CX204),0)</f>
        <v>0</v>
      </c>
      <c r="BG204" s="6">
        <f t="shared" ref="BG204:BG266" si="412">DT204</f>
        <v>0</v>
      </c>
      <c r="BH204" s="5" t="e">
        <f t="shared" ref="BH204:BH266" si="413">BG204/L204</f>
        <v>#DIV/0!</v>
      </c>
      <c r="BI204" s="6">
        <f t="shared" ref="BI204:BI266" si="414">DU204</f>
        <v>0</v>
      </c>
      <c r="BJ204" s="5" t="e">
        <f t="shared" ref="BJ204:BJ266" si="415">BI204/L204</f>
        <v>#DIV/0!</v>
      </c>
      <c r="BK204" s="20">
        <f t="shared" ref="BK204:BK266" si="416">IFERROR((DU204*1)/DT204,-0.000000000001)</f>
        <v>-9.9999999999999998E-13</v>
      </c>
      <c r="BL204" s="20">
        <f t="shared" ref="BL204:BL266" si="417">IFERROR((CX204*1)/SUM(CX:CX),0)</f>
        <v>0</v>
      </c>
      <c r="BM204" s="6">
        <f t="shared" ref="BM204:BM266" si="418">CX204</f>
        <v>0</v>
      </c>
      <c r="BN204" s="5">
        <f t="shared" ref="BN204:BN266" si="419">IFERROR(BM204/L204,0)</f>
        <v>0</v>
      </c>
      <c r="BO204" s="333">
        <f t="shared" ref="BO204:BO266" si="420">DP204</f>
        <v>0</v>
      </c>
      <c r="BP204" s="334">
        <f t="shared" ref="BP204:BP266" si="421">IFERROR(BO204/L204,0)</f>
        <v>0</v>
      </c>
      <c r="BQ204" s="6">
        <f t="shared" ref="BQ204:BQ266" si="422">IFERROR(BR204*L204,0)</f>
        <v>0</v>
      </c>
      <c r="BR204" s="5">
        <f t="shared" ref="BR204:BR266" si="423">DC204</f>
        <v>0</v>
      </c>
      <c r="BS204" s="6">
        <f t="shared" ref="BS204:BS266" si="424">IFERROR(BT204*L204,0)</f>
        <v>0</v>
      </c>
      <c r="BT204" s="5">
        <f t="shared" ref="BT204:BT266" si="425">DD204</f>
        <v>0</v>
      </c>
      <c r="BU204" s="181">
        <f t="shared" ref="BU204:BU266" si="426">IFERROR((DB204+DQ204+(DS204*2.5)+DF204+DP204),0)</f>
        <v>0</v>
      </c>
      <c r="BV204" s="154">
        <f t="shared" ref="BV204:BV266" si="427">IFERROR(BU204/L204,0)</f>
        <v>0</v>
      </c>
      <c r="BW204" s="181">
        <f t="shared" ref="BW204:BW266" si="428">IFERROR((DO204+DR204+(DS204*2.5)),0)</f>
        <v>0</v>
      </c>
      <c r="BX204" s="180">
        <f t="shared" ref="BX204:BX266" si="429">IFERROR(BW204/L204,0)</f>
        <v>0</v>
      </c>
      <c r="BY204" s="181">
        <f t="shared" ref="BY204:BY266" si="430">IFERROR((DB204-DO204)+(DQ204-DR204)+(DS204*2.5)+(DF204),0)</f>
        <v>0</v>
      </c>
      <c r="BZ204" s="154">
        <f t="shared" ref="BZ204:BZ266" si="431">IFERROR(BY204/L204,0)</f>
        <v>0</v>
      </c>
      <c r="CA204" s="182">
        <f t="shared" ref="CA204:CA266" si="432">IFERROR((BW204*1)/BU204,0)</f>
        <v>0</v>
      </c>
      <c r="CB204" s="2">
        <f t="shared" ref="CB204:CB266" si="433">DF204</f>
        <v>0</v>
      </c>
      <c r="CC204" s="2">
        <f t="shared" ref="CC204:CC266" si="434">DG204</f>
        <v>0</v>
      </c>
      <c r="CD204" s="2">
        <f t="shared" ref="CD204:CD266" si="435">IFERROR(CB204+CC204,0)</f>
        <v>0</v>
      </c>
      <c r="CE204" s="2">
        <f t="shared" ref="CE204:CE266" si="436">DI204</f>
        <v>0</v>
      </c>
      <c r="CF204" s="6">
        <f t="shared" ref="CF204:CF266" si="437">DH204</f>
        <v>0</v>
      </c>
      <c r="CG204" s="6">
        <f t="shared" ref="CG204:CG266" si="438">IFERROR(CY204+CX204+CZ204+DA204+DT204+DL204+DF204+(DD204*1.33)+(DE204*2)+(DP204*2.5)+DQ204+DB204,0)</f>
        <v>0</v>
      </c>
      <c r="CH204" s="6">
        <f t="shared" ref="CH204:CH266" si="439">IFERROR(CY204+CZ204+DA204+DU204+DM204+DR204+DO204,0)</f>
        <v>0</v>
      </c>
      <c r="CI204" s="20">
        <f t="shared" ref="CI204:CI266" si="440">IFERROR((CH204*1)/CG204,0)</f>
        <v>0</v>
      </c>
      <c r="CJ204" s="133">
        <f t="shared" ref="CJ204:CJ266" si="441">SUM(AR:AR)</f>
        <v>2521</v>
      </c>
      <c r="CK204" s="5">
        <f t="shared" ref="CK204:CK266" si="442">IFERROR(VALUE(SUBSTITUTE(DV204, ".", ",")),0)</f>
        <v>0</v>
      </c>
      <c r="CL204" s="300"/>
      <c r="CM204" s="296" t="s">
        <v>13</v>
      </c>
      <c r="CN204" s="296" t="s">
        <v>1587</v>
      </c>
      <c r="CO204" s="296">
        <v>17</v>
      </c>
      <c r="CP204" s="296" t="s">
        <v>1588</v>
      </c>
      <c r="CQ204" s="296" t="s">
        <v>1131</v>
      </c>
      <c r="CR204" s="296" t="s">
        <v>644</v>
      </c>
      <c r="CS204" s="296" t="s">
        <v>1322</v>
      </c>
      <c r="CT204" s="296" t="s">
        <v>552</v>
      </c>
      <c r="CU204" s="297">
        <v>47118</v>
      </c>
      <c r="CV204" s="296">
        <v>0</v>
      </c>
      <c r="CW204" s="296">
        <v>0</v>
      </c>
      <c r="CX204" s="296">
        <v>0</v>
      </c>
      <c r="CY204" s="296">
        <v>0</v>
      </c>
      <c r="CZ204" s="296">
        <v>0</v>
      </c>
      <c r="DA204" s="296">
        <v>0</v>
      </c>
      <c r="DB204" s="296">
        <v>0</v>
      </c>
      <c r="DC204" s="296">
        <v>0</v>
      </c>
      <c r="DD204" s="296">
        <v>0</v>
      </c>
      <c r="DE204" s="296">
        <v>0</v>
      </c>
      <c r="DF204" s="296">
        <v>0</v>
      </c>
      <c r="DG204" s="296">
        <v>0</v>
      </c>
      <c r="DH204" s="296">
        <v>0</v>
      </c>
      <c r="DI204" s="296">
        <v>0</v>
      </c>
      <c r="DJ204" s="296">
        <v>0</v>
      </c>
      <c r="DK204" s="296">
        <v>0</v>
      </c>
      <c r="DL204" s="296">
        <v>0</v>
      </c>
      <c r="DM204" s="296">
        <v>0</v>
      </c>
      <c r="DN204" s="296">
        <v>0</v>
      </c>
      <c r="DO204" s="296">
        <v>0</v>
      </c>
      <c r="DP204" s="296">
        <v>0</v>
      </c>
      <c r="DQ204" s="296">
        <v>0</v>
      </c>
      <c r="DR204" s="296">
        <v>0</v>
      </c>
      <c r="DS204" s="296">
        <v>0</v>
      </c>
      <c r="DT204" s="296">
        <v>0</v>
      </c>
      <c r="DU204" s="296">
        <v>0</v>
      </c>
      <c r="DV204" s="301" t="s">
        <v>548</v>
      </c>
    </row>
    <row r="205" spans="1:126" ht="24.95" customHeight="1" thickBot="1" x14ac:dyDescent="0.3">
      <c r="A205" s="29" t="str">
        <f t="shared" si="354"/>
        <v>204º</v>
      </c>
      <c r="B205" s="69" t="str">
        <f t="shared" si="356"/>
        <v>Spencer Pereira</v>
      </c>
      <c r="C205" s="269" t="str">
        <f t="shared" si="357"/>
        <v>BRA</v>
      </c>
      <c r="D205" s="99" t="str">
        <f t="shared" si="358"/>
        <v>Pé Direito</v>
      </c>
      <c r="E205" s="28" t="str">
        <f t="shared" si="359"/>
        <v>Fluminense de Feira</v>
      </c>
      <c r="F205" s="169">
        <f t="shared" si="360"/>
        <v>17</v>
      </c>
      <c r="G205" s="2" t="str">
        <f t="shared" si="361"/>
        <v>0 €</v>
      </c>
      <c r="H205" s="154">
        <f t="shared" si="362"/>
        <v>1.83</v>
      </c>
      <c r="I205" s="64">
        <f t="shared" si="363"/>
        <v>47118</v>
      </c>
      <c r="J205" s="304" t="str">
        <f t="shared" si="364"/>
        <v>525 € p/m</v>
      </c>
      <c r="K205" s="96">
        <f t="shared" si="355"/>
        <v>3.5222222222222221</v>
      </c>
      <c r="L205" s="146">
        <f t="shared" si="365"/>
        <v>0</v>
      </c>
      <c r="M205" s="6">
        <f t="shared" si="366"/>
        <v>0</v>
      </c>
      <c r="N205" s="5">
        <f t="shared" si="367"/>
        <v>5400</v>
      </c>
      <c r="O205" s="21">
        <f t="shared" si="368"/>
        <v>0</v>
      </c>
      <c r="P205" s="2">
        <f t="shared" si="369"/>
        <v>0</v>
      </c>
      <c r="Q205" s="2">
        <f t="shared" si="370"/>
        <v>0</v>
      </c>
      <c r="R205" s="5">
        <f t="shared" si="371"/>
        <v>0</v>
      </c>
      <c r="S205" s="2">
        <f t="shared" si="372"/>
        <v>0</v>
      </c>
      <c r="T205" s="2">
        <f t="shared" si="373"/>
        <v>0</v>
      </c>
      <c r="U205" s="102">
        <f t="shared" si="374"/>
        <v>0</v>
      </c>
      <c r="V205" s="102">
        <f t="shared" si="375"/>
        <v>0</v>
      </c>
      <c r="W205" s="6">
        <f t="shared" si="376"/>
        <v>0</v>
      </c>
      <c r="X205" s="5">
        <f t="shared" si="377"/>
        <v>0</v>
      </c>
      <c r="Y205" s="6">
        <f t="shared" si="378"/>
        <v>0</v>
      </c>
      <c r="Z205" s="5" t="e">
        <f t="shared" si="379"/>
        <v>#DIV/0!</v>
      </c>
      <c r="AA205" s="21">
        <f t="shared" si="380"/>
        <v>0</v>
      </c>
      <c r="AB205" s="6">
        <f t="shared" si="381"/>
        <v>0</v>
      </c>
      <c r="AC205" s="5" t="e">
        <f t="shared" si="382"/>
        <v>#DIV/0!</v>
      </c>
      <c r="AD205" s="6">
        <f t="shared" si="383"/>
        <v>0</v>
      </c>
      <c r="AE205" s="5">
        <f t="shared" si="384"/>
        <v>0</v>
      </c>
      <c r="AF205" s="21">
        <f t="shared" si="385"/>
        <v>0</v>
      </c>
      <c r="AG205" s="6">
        <f t="shared" si="386"/>
        <v>0</v>
      </c>
      <c r="AH205" s="5">
        <f t="shared" si="387"/>
        <v>0</v>
      </c>
      <c r="AI205" s="21">
        <f t="shared" si="388"/>
        <v>0</v>
      </c>
      <c r="AJ205" s="6">
        <f t="shared" si="389"/>
        <v>0</v>
      </c>
      <c r="AK205" s="5">
        <f t="shared" si="390"/>
        <v>0</v>
      </c>
      <c r="AL205" s="21">
        <f t="shared" si="391"/>
        <v>0</v>
      </c>
      <c r="AM205" s="21">
        <f t="shared" si="392"/>
        <v>0</v>
      </c>
      <c r="AN205" s="6">
        <f t="shared" si="393"/>
        <v>0</v>
      </c>
      <c r="AO205" s="5">
        <f t="shared" si="394"/>
        <v>0</v>
      </c>
      <c r="AP205" s="6">
        <f t="shared" si="395"/>
        <v>0</v>
      </c>
      <c r="AQ205" s="5">
        <f t="shared" si="396"/>
        <v>0</v>
      </c>
      <c r="AR205" s="2">
        <f t="shared" si="397"/>
        <v>0</v>
      </c>
      <c r="AS205" s="5">
        <f t="shared" si="398"/>
        <v>0</v>
      </c>
      <c r="AT205" s="21">
        <f t="shared" si="399"/>
        <v>0</v>
      </c>
      <c r="AU205" s="20">
        <f t="shared" si="400"/>
        <v>0</v>
      </c>
      <c r="AV205" s="20">
        <f t="shared" si="401"/>
        <v>1</v>
      </c>
      <c r="AW205" s="199">
        <f t="shared" si="402"/>
        <v>0</v>
      </c>
      <c r="AX205" s="24">
        <f t="shared" si="403"/>
        <v>0</v>
      </c>
      <c r="AY205" s="5">
        <f t="shared" si="404"/>
        <v>0</v>
      </c>
      <c r="AZ205" s="5">
        <f t="shared" si="405"/>
        <v>0</v>
      </c>
      <c r="BA205" s="5">
        <f t="shared" si="406"/>
        <v>0</v>
      </c>
      <c r="BB205" s="5">
        <f t="shared" si="407"/>
        <v>0</v>
      </c>
      <c r="BC205" s="5">
        <f t="shared" si="408"/>
        <v>0</v>
      </c>
      <c r="BD205" s="5">
        <f t="shared" si="409"/>
        <v>0</v>
      </c>
      <c r="BE205" s="199">
        <f t="shared" si="410"/>
        <v>0</v>
      </c>
      <c r="BF205" s="21">
        <f t="shared" si="411"/>
        <v>0</v>
      </c>
      <c r="BG205" s="6">
        <f t="shared" si="412"/>
        <v>0</v>
      </c>
      <c r="BH205" s="5" t="e">
        <f t="shared" si="413"/>
        <v>#DIV/0!</v>
      </c>
      <c r="BI205" s="6">
        <f t="shared" si="414"/>
        <v>0</v>
      </c>
      <c r="BJ205" s="5" t="e">
        <f t="shared" si="415"/>
        <v>#DIV/0!</v>
      </c>
      <c r="BK205" s="20">
        <f t="shared" si="416"/>
        <v>-9.9999999999999998E-13</v>
      </c>
      <c r="BL205" s="20">
        <f t="shared" si="417"/>
        <v>0</v>
      </c>
      <c r="BM205" s="6">
        <f t="shared" si="418"/>
        <v>0</v>
      </c>
      <c r="BN205" s="5">
        <f t="shared" si="419"/>
        <v>0</v>
      </c>
      <c r="BO205" s="333">
        <f t="shared" si="420"/>
        <v>0</v>
      </c>
      <c r="BP205" s="334">
        <f t="shared" si="421"/>
        <v>0</v>
      </c>
      <c r="BQ205" s="6">
        <f t="shared" si="422"/>
        <v>0</v>
      </c>
      <c r="BR205" s="5">
        <f t="shared" si="423"/>
        <v>0</v>
      </c>
      <c r="BS205" s="6">
        <f t="shared" si="424"/>
        <v>0</v>
      </c>
      <c r="BT205" s="5">
        <f t="shared" si="425"/>
        <v>0</v>
      </c>
      <c r="BU205" s="181">
        <f t="shared" si="426"/>
        <v>0</v>
      </c>
      <c r="BV205" s="154">
        <f t="shared" si="427"/>
        <v>0</v>
      </c>
      <c r="BW205" s="181">
        <f t="shared" si="428"/>
        <v>0</v>
      </c>
      <c r="BX205" s="180">
        <f t="shared" si="429"/>
        <v>0</v>
      </c>
      <c r="BY205" s="181">
        <f t="shared" si="430"/>
        <v>0</v>
      </c>
      <c r="BZ205" s="154">
        <f t="shared" si="431"/>
        <v>0</v>
      </c>
      <c r="CA205" s="182">
        <f t="shared" si="432"/>
        <v>0</v>
      </c>
      <c r="CB205" s="2">
        <f t="shared" si="433"/>
        <v>0</v>
      </c>
      <c r="CC205" s="2">
        <f t="shared" si="434"/>
        <v>0</v>
      </c>
      <c r="CD205" s="2">
        <f t="shared" si="435"/>
        <v>0</v>
      </c>
      <c r="CE205" s="2">
        <f t="shared" si="436"/>
        <v>0</v>
      </c>
      <c r="CF205" s="6">
        <f t="shared" si="437"/>
        <v>0</v>
      </c>
      <c r="CG205" s="6">
        <f t="shared" si="438"/>
        <v>0</v>
      </c>
      <c r="CH205" s="6">
        <f t="shared" si="439"/>
        <v>0</v>
      </c>
      <c r="CI205" s="20">
        <f t="shared" si="440"/>
        <v>0</v>
      </c>
      <c r="CJ205" s="133">
        <f t="shared" si="441"/>
        <v>2521</v>
      </c>
      <c r="CK205" s="5">
        <f t="shared" si="442"/>
        <v>0</v>
      </c>
      <c r="CL205" s="302"/>
      <c r="CM205" s="298" t="s">
        <v>13</v>
      </c>
      <c r="CN205" s="298" t="s">
        <v>1589</v>
      </c>
      <c r="CO205" s="298">
        <v>17</v>
      </c>
      <c r="CP205" s="298" t="s">
        <v>1590</v>
      </c>
      <c r="CQ205" s="298" t="s">
        <v>1131</v>
      </c>
      <c r="CR205" s="298" t="s">
        <v>644</v>
      </c>
      <c r="CS205" s="298" t="s">
        <v>1322</v>
      </c>
      <c r="CT205" s="298" t="s">
        <v>586</v>
      </c>
      <c r="CU205" s="299">
        <v>47118</v>
      </c>
      <c r="CV205" s="298">
        <v>0</v>
      </c>
      <c r="CW205" s="298">
        <v>0</v>
      </c>
      <c r="CX205" s="298">
        <v>0</v>
      </c>
      <c r="CY205" s="298">
        <v>0</v>
      </c>
      <c r="CZ205" s="298">
        <v>0</v>
      </c>
      <c r="DA205" s="298">
        <v>0</v>
      </c>
      <c r="DB205" s="298">
        <v>0</v>
      </c>
      <c r="DC205" s="298">
        <v>0</v>
      </c>
      <c r="DD205" s="298">
        <v>0</v>
      </c>
      <c r="DE205" s="298">
        <v>0</v>
      </c>
      <c r="DF205" s="298">
        <v>0</v>
      </c>
      <c r="DG205" s="298">
        <v>0</v>
      </c>
      <c r="DH205" s="298">
        <v>0</v>
      </c>
      <c r="DI205" s="298">
        <v>0</v>
      </c>
      <c r="DJ205" s="298">
        <v>0</v>
      </c>
      <c r="DK205" s="298">
        <v>0</v>
      </c>
      <c r="DL205" s="298">
        <v>0</v>
      </c>
      <c r="DM205" s="298">
        <v>0</v>
      </c>
      <c r="DN205" s="298">
        <v>0</v>
      </c>
      <c r="DO205" s="298">
        <v>0</v>
      </c>
      <c r="DP205" s="298">
        <v>0</v>
      </c>
      <c r="DQ205" s="298">
        <v>0</v>
      </c>
      <c r="DR205" s="298">
        <v>0</v>
      </c>
      <c r="DS205" s="298">
        <v>0</v>
      </c>
      <c r="DT205" s="298">
        <v>0</v>
      </c>
      <c r="DU205" s="298">
        <v>0</v>
      </c>
      <c r="DV205" s="303" t="s">
        <v>548</v>
      </c>
    </row>
    <row r="206" spans="1:126" ht="24.95" customHeight="1" thickBot="1" x14ac:dyDescent="0.3">
      <c r="A206" s="29" t="str">
        <f t="shared" si="354"/>
        <v>205º</v>
      </c>
      <c r="B206" s="69" t="str">
        <f t="shared" si="356"/>
        <v>Álvaro</v>
      </c>
      <c r="C206" s="269" t="str">
        <f t="shared" si="357"/>
        <v>BRA</v>
      </c>
      <c r="D206" s="99" t="str">
        <f t="shared" si="358"/>
        <v>Pé Direito</v>
      </c>
      <c r="E206" s="28" t="str">
        <f t="shared" si="359"/>
        <v>Votuporanguense</v>
      </c>
      <c r="F206" s="169">
        <f t="shared" si="360"/>
        <v>17</v>
      </c>
      <c r="G206" s="2" t="str">
        <f t="shared" si="361"/>
        <v>0 €</v>
      </c>
      <c r="H206" s="154">
        <f t="shared" si="362"/>
        <v>1.93</v>
      </c>
      <c r="I206" s="64">
        <f t="shared" si="363"/>
        <v>47118</v>
      </c>
      <c r="J206" s="304" t="str">
        <f t="shared" si="364"/>
        <v>525 € p/m</v>
      </c>
      <c r="K206" s="96">
        <f t="shared" si="355"/>
        <v>3.5222222222222221</v>
      </c>
      <c r="L206" s="146">
        <f t="shared" si="365"/>
        <v>0</v>
      </c>
      <c r="M206" s="6">
        <f t="shared" si="366"/>
        <v>0</v>
      </c>
      <c r="N206" s="5">
        <f t="shared" si="367"/>
        <v>5400</v>
      </c>
      <c r="O206" s="21">
        <f t="shared" si="368"/>
        <v>0</v>
      </c>
      <c r="P206" s="2">
        <f t="shared" si="369"/>
        <v>0</v>
      </c>
      <c r="Q206" s="2">
        <f t="shared" si="370"/>
        <v>0</v>
      </c>
      <c r="R206" s="5">
        <f t="shared" si="371"/>
        <v>0</v>
      </c>
      <c r="S206" s="2">
        <f t="shared" si="372"/>
        <v>0</v>
      </c>
      <c r="T206" s="2">
        <f t="shared" si="373"/>
        <v>0</v>
      </c>
      <c r="U206" s="102">
        <f t="shared" si="374"/>
        <v>0</v>
      </c>
      <c r="V206" s="102">
        <f t="shared" si="375"/>
        <v>0</v>
      </c>
      <c r="W206" s="6">
        <f t="shared" si="376"/>
        <v>0</v>
      </c>
      <c r="X206" s="5">
        <f t="shared" si="377"/>
        <v>0</v>
      </c>
      <c r="Y206" s="6">
        <f t="shared" si="378"/>
        <v>0</v>
      </c>
      <c r="Z206" s="5" t="e">
        <f t="shared" si="379"/>
        <v>#DIV/0!</v>
      </c>
      <c r="AA206" s="21">
        <f t="shared" si="380"/>
        <v>0</v>
      </c>
      <c r="AB206" s="6">
        <f t="shared" si="381"/>
        <v>0</v>
      </c>
      <c r="AC206" s="5" t="e">
        <f t="shared" si="382"/>
        <v>#DIV/0!</v>
      </c>
      <c r="AD206" s="6">
        <f t="shared" si="383"/>
        <v>0</v>
      </c>
      <c r="AE206" s="5">
        <f t="shared" si="384"/>
        <v>0</v>
      </c>
      <c r="AF206" s="21">
        <f t="shared" si="385"/>
        <v>0</v>
      </c>
      <c r="AG206" s="6">
        <f t="shared" si="386"/>
        <v>0</v>
      </c>
      <c r="AH206" s="5">
        <f t="shared" si="387"/>
        <v>0</v>
      </c>
      <c r="AI206" s="21">
        <f t="shared" si="388"/>
        <v>0</v>
      </c>
      <c r="AJ206" s="6">
        <f t="shared" si="389"/>
        <v>0</v>
      </c>
      <c r="AK206" s="5">
        <f t="shared" si="390"/>
        <v>0</v>
      </c>
      <c r="AL206" s="21">
        <f t="shared" si="391"/>
        <v>0</v>
      </c>
      <c r="AM206" s="21">
        <f t="shared" si="392"/>
        <v>0</v>
      </c>
      <c r="AN206" s="6">
        <f t="shared" si="393"/>
        <v>0</v>
      </c>
      <c r="AO206" s="5">
        <f t="shared" si="394"/>
        <v>0</v>
      </c>
      <c r="AP206" s="6">
        <f t="shared" si="395"/>
        <v>0</v>
      </c>
      <c r="AQ206" s="5">
        <f t="shared" si="396"/>
        <v>0</v>
      </c>
      <c r="AR206" s="2">
        <f t="shared" si="397"/>
        <v>0</v>
      </c>
      <c r="AS206" s="5">
        <f t="shared" si="398"/>
        <v>0</v>
      </c>
      <c r="AT206" s="21">
        <f t="shared" si="399"/>
        <v>0</v>
      </c>
      <c r="AU206" s="20">
        <f t="shared" si="400"/>
        <v>0</v>
      </c>
      <c r="AV206" s="20">
        <f t="shared" si="401"/>
        <v>1</v>
      </c>
      <c r="AW206" s="199">
        <f t="shared" si="402"/>
        <v>0</v>
      </c>
      <c r="AX206" s="24">
        <f t="shared" si="403"/>
        <v>0</v>
      </c>
      <c r="AY206" s="5">
        <f t="shared" si="404"/>
        <v>0</v>
      </c>
      <c r="AZ206" s="5">
        <f t="shared" si="405"/>
        <v>0</v>
      </c>
      <c r="BA206" s="5">
        <f t="shared" si="406"/>
        <v>0</v>
      </c>
      <c r="BB206" s="5">
        <f t="shared" si="407"/>
        <v>0</v>
      </c>
      <c r="BC206" s="5">
        <f t="shared" si="408"/>
        <v>0</v>
      </c>
      <c r="BD206" s="5">
        <f t="shared" si="409"/>
        <v>0</v>
      </c>
      <c r="BE206" s="199">
        <f t="shared" si="410"/>
        <v>0</v>
      </c>
      <c r="BF206" s="21">
        <f t="shared" si="411"/>
        <v>0</v>
      </c>
      <c r="BG206" s="6">
        <f t="shared" si="412"/>
        <v>0</v>
      </c>
      <c r="BH206" s="5" t="e">
        <f t="shared" si="413"/>
        <v>#DIV/0!</v>
      </c>
      <c r="BI206" s="6">
        <f t="shared" si="414"/>
        <v>0</v>
      </c>
      <c r="BJ206" s="5" t="e">
        <f t="shared" si="415"/>
        <v>#DIV/0!</v>
      </c>
      <c r="BK206" s="20">
        <f t="shared" si="416"/>
        <v>-9.9999999999999998E-13</v>
      </c>
      <c r="BL206" s="20">
        <f t="shared" si="417"/>
        <v>0</v>
      </c>
      <c r="BM206" s="6">
        <f t="shared" si="418"/>
        <v>0</v>
      </c>
      <c r="BN206" s="5">
        <f t="shared" si="419"/>
        <v>0</v>
      </c>
      <c r="BO206" s="333">
        <f t="shared" si="420"/>
        <v>0</v>
      </c>
      <c r="BP206" s="334">
        <f t="shared" si="421"/>
        <v>0</v>
      </c>
      <c r="BQ206" s="6">
        <f t="shared" si="422"/>
        <v>0</v>
      </c>
      <c r="BR206" s="5">
        <f t="shared" si="423"/>
        <v>0</v>
      </c>
      <c r="BS206" s="6">
        <f t="shared" si="424"/>
        <v>0</v>
      </c>
      <c r="BT206" s="5">
        <f t="shared" si="425"/>
        <v>0</v>
      </c>
      <c r="BU206" s="181">
        <f t="shared" si="426"/>
        <v>0</v>
      </c>
      <c r="BV206" s="154">
        <f t="shared" si="427"/>
        <v>0</v>
      </c>
      <c r="BW206" s="181">
        <f t="shared" si="428"/>
        <v>0</v>
      </c>
      <c r="BX206" s="180">
        <f t="shared" si="429"/>
        <v>0</v>
      </c>
      <c r="BY206" s="181">
        <f t="shared" si="430"/>
        <v>0</v>
      </c>
      <c r="BZ206" s="154">
        <f t="shared" si="431"/>
        <v>0</v>
      </c>
      <c r="CA206" s="182">
        <f t="shared" si="432"/>
        <v>0</v>
      </c>
      <c r="CB206" s="2">
        <f t="shared" si="433"/>
        <v>0</v>
      </c>
      <c r="CC206" s="2">
        <f t="shared" si="434"/>
        <v>0</v>
      </c>
      <c r="CD206" s="2">
        <f t="shared" si="435"/>
        <v>0</v>
      </c>
      <c r="CE206" s="2">
        <f t="shared" si="436"/>
        <v>0</v>
      </c>
      <c r="CF206" s="6">
        <f t="shared" si="437"/>
        <v>0</v>
      </c>
      <c r="CG206" s="6">
        <f t="shared" si="438"/>
        <v>0</v>
      </c>
      <c r="CH206" s="6">
        <f t="shared" si="439"/>
        <v>0</v>
      </c>
      <c r="CI206" s="20">
        <f t="shared" si="440"/>
        <v>0</v>
      </c>
      <c r="CJ206" s="133">
        <f t="shared" si="441"/>
        <v>2521</v>
      </c>
      <c r="CK206" s="5">
        <f t="shared" si="442"/>
        <v>0</v>
      </c>
      <c r="CL206" s="300"/>
      <c r="CM206" s="296" t="s">
        <v>13</v>
      </c>
      <c r="CN206" s="296" t="s">
        <v>1591</v>
      </c>
      <c r="CO206" s="296">
        <v>17</v>
      </c>
      <c r="CP206" s="296" t="s">
        <v>1592</v>
      </c>
      <c r="CQ206" s="296" t="s">
        <v>1131</v>
      </c>
      <c r="CR206" s="296" t="s">
        <v>644</v>
      </c>
      <c r="CS206" s="296" t="s">
        <v>1322</v>
      </c>
      <c r="CT206" s="296" t="s">
        <v>1123</v>
      </c>
      <c r="CU206" s="297">
        <v>47118</v>
      </c>
      <c r="CV206" s="296">
        <v>0</v>
      </c>
      <c r="CW206" s="296">
        <v>0</v>
      </c>
      <c r="CX206" s="296">
        <v>0</v>
      </c>
      <c r="CY206" s="296">
        <v>0</v>
      </c>
      <c r="CZ206" s="296">
        <v>0</v>
      </c>
      <c r="DA206" s="296">
        <v>0</v>
      </c>
      <c r="DB206" s="296">
        <v>0</v>
      </c>
      <c r="DC206" s="296">
        <v>0</v>
      </c>
      <c r="DD206" s="296">
        <v>0</v>
      </c>
      <c r="DE206" s="296">
        <v>0</v>
      </c>
      <c r="DF206" s="296">
        <v>0</v>
      </c>
      <c r="DG206" s="296">
        <v>0</v>
      </c>
      <c r="DH206" s="296">
        <v>0</v>
      </c>
      <c r="DI206" s="296">
        <v>0</v>
      </c>
      <c r="DJ206" s="296">
        <v>0</v>
      </c>
      <c r="DK206" s="296">
        <v>0</v>
      </c>
      <c r="DL206" s="296">
        <v>0</v>
      </c>
      <c r="DM206" s="296">
        <v>0</v>
      </c>
      <c r="DN206" s="296">
        <v>0</v>
      </c>
      <c r="DO206" s="296">
        <v>0</v>
      </c>
      <c r="DP206" s="296">
        <v>0</v>
      </c>
      <c r="DQ206" s="296">
        <v>0</v>
      </c>
      <c r="DR206" s="296">
        <v>0</v>
      </c>
      <c r="DS206" s="296">
        <v>0</v>
      </c>
      <c r="DT206" s="296">
        <v>0</v>
      </c>
      <c r="DU206" s="296">
        <v>0</v>
      </c>
      <c r="DV206" s="301" t="s">
        <v>548</v>
      </c>
    </row>
    <row r="207" spans="1:126" ht="24.95" customHeight="1" thickBot="1" x14ac:dyDescent="0.3">
      <c r="A207" s="29" t="str">
        <f t="shared" si="354"/>
        <v>206º</v>
      </c>
      <c r="B207" s="69" t="str">
        <f t="shared" si="356"/>
        <v>Marlon</v>
      </c>
      <c r="C207" s="269" t="str">
        <f t="shared" si="357"/>
        <v>BRA</v>
      </c>
      <c r="D207" s="99" t="str">
        <f t="shared" si="358"/>
        <v>Pé Direito</v>
      </c>
      <c r="E207" s="28" t="str">
        <f t="shared" si="359"/>
        <v>ICA</v>
      </c>
      <c r="F207" s="169">
        <f t="shared" si="360"/>
        <v>17</v>
      </c>
      <c r="G207" s="2" t="str">
        <f t="shared" si="361"/>
        <v>0 €</v>
      </c>
      <c r="H207" s="154">
        <f t="shared" si="362"/>
        <v>1.83</v>
      </c>
      <c r="I207" s="64">
        <f t="shared" si="363"/>
        <v>47118</v>
      </c>
      <c r="J207" s="304" t="str">
        <f t="shared" si="364"/>
        <v>525 € p/m</v>
      </c>
      <c r="K207" s="96">
        <f t="shared" si="355"/>
        <v>3.5222222222222221</v>
      </c>
      <c r="L207" s="146">
        <f t="shared" si="365"/>
        <v>5</v>
      </c>
      <c r="M207" s="6">
        <f t="shared" si="366"/>
        <v>0</v>
      </c>
      <c r="N207" s="5">
        <f t="shared" si="367"/>
        <v>5400</v>
      </c>
      <c r="O207" s="21">
        <f t="shared" si="368"/>
        <v>0</v>
      </c>
      <c r="P207" s="2">
        <f t="shared" si="369"/>
        <v>135</v>
      </c>
      <c r="Q207" s="2">
        <f t="shared" si="370"/>
        <v>76</v>
      </c>
      <c r="R207" s="5">
        <f t="shared" si="371"/>
        <v>15.2</v>
      </c>
      <c r="S207" s="2">
        <f t="shared" si="372"/>
        <v>59</v>
      </c>
      <c r="T207" s="2">
        <f t="shared" si="373"/>
        <v>17</v>
      </c>
      <c r="U207" s="102">
        <f t="shared" si="374"/>
        <v>0.43703703703703706</v>
      </c>
      <c r="V207" s="102">
        <f t="shared" si="375"/>
        <v>0.562962962962963</v>
      </c>
      <c r="W207" s="6">
        <f t="shared" si="376"/>
        <v>135</v>
      </c>
      <c r="X207" s="5">
        <f t="shared" si="377"/>
        <v>27</v>
      </c>
      <c r="Y207" s="6">
        <f t="shared" si="378"/>
        <v>0</v>
      </c>
      <c r="Z207" s="5">
        <f t="shared" si="379"/>
        <v>0</v>
      </c>
      <c r="AA207" s="21">
        <f t="shared" si="380"/>
        <v>0</v>
      </c>
      <c r="AB207" s="6">
        <f t="shared" si="381"/>
        <v>0</v>
      </c>
      <c r="AC207" s="5">
        <f t="shared" si="382"/>
        <v>0</v>
      </c>
      <c r="AD207" s="6">
        <f t="shared" si="383"/>
        <v>4</v>
      </c>
      <c r="AE207" s="5">
        <f t="shared" si="384"/>
        <v>0.8</v>
      </c>
      <c r="AF207" s="21">
        <f t="shared" si="385"/>
        <v>0.19047619047619047</v>
      </c>
      <c r="AG207" s="6">
        <f t="shared" si="386"/>
        <v>5</v>
      </c>
      <c r="AH207" s="5">
        <f t="shared" si="387"/>
        <v>1</v>
      </c>
      <c r="AI207" s="21">
        <f t="shared" si="388"/>
        <v>0.23809523809523808</v>
      </c>
      <c r="AJ207" s="6">
        <f t="shared" si="389"/>
        <v>12</v>
      </c>
      <c r="AK207" s="5">
        <f t="shared" si="390"/>
        <v>0.78947368421052633</v>
      </c>
      <c r="AL207" s="21">
        <f t="shared" si="391"/>
        <v>0.5714285714285714</v>
      </c>
      <c r="AM207" s="21">
        <f t="shared" si="392"/>
        <v>0</v>
      </c>
      <c r="AN207" s="6">
        <f t="shared" si="393"/>
        <v>0</v>
      </c>
      <c r="AO207" s="5">
        <f t="shared" si="394"/>
        <v>0</v>
      </c>
      <c r="AP207" s="6">
        <f t="shared" si="395"/>
        <v>21</v>
      </c>
      <c r="AQ207" s="5">
        <f t="shared" si="396"/>
        <v>4.2</v>
      </c>
      <c r="AR207" s="2">
        <f t="shared" si="397"/>
        <v>33</v>
      </c>
      <c r="AS207" s="5">
        <f t="shared" si="398"/>
        <v>6.6</v>
      </c>
      <c r="AT207" s="21">
        <f t="shared" si="399"/>
        <v>0.63636363636363635</v>
      </c>
      <c r="AU207" s="20">
        <f t="shared" si="400"/>
        <v>0.62068965517241381</v>
      </c>
      <c r="AV207" s="20">
        <f t="shared" si="401"/>
        <v>0.36363636363636365</v>
      </c>
      <c r="AW207" s="199">
        <f t="shared" si="402"/>
        <v>0.96969696969696972</v>
      </c>
      <c r="AX207" s="24">
        <f t="shared" si="403"/>
        <v>37.5</v>
      </c>
      <c r="AY207" s="5">
        <f t="shared" si="404"/>
        <v>2.75</v>
      </c>
      <c r="AZ207" s="5">
        <f t="shared" si="405"/>
        <v>2.4166666666666665</v>
      </c>
      <c r="BA207" s="5">
        <f t="shared" si="406"/>
        <v>-2.83</v>
      </c>
      <c r="BB207" s="5">
        <f t="shared" si="407"/>
        <v>-0.56600000000000006</v>
      </c>
      <c r="BC207" s="5">
        <f t="shared" si="408"/>
        <v>-3.62</v>
      </c>
      <c r="BD207" s="5">
        <f t="shared" si="409"/>
        <v>-0.72399999999999998</v>
      </c>
      <c r="BE207" s="199">
        <f t="shared" si="410"/>
        <v>-0.56600000000000006</v>
      </c>
      <c r="BF207" s="21">
        <f t="shared" si="411"/>
        <v>-0.30861504907306436</v>
      </c>
      <c r="BG207" s="6">
        <f t="shared" si="412"/>
        <v>3</v>
      </c>
      <c r="BH207" s="5">
        <f t="shared" si="413"/>
        <v>0.6</v>
      </c>
      <c r="BI207" s="6">
        <f t="shared" si="414"/>
        <v>1</v>
      </c>
      <c r="BJ207" s="5">
        <f t="shared" si="415"/>
        <v>0.2</v>
      </c>
      <c r="BK207" s="20">
        <f t="shared" si="416"/>
        <v>0.33333333333333331</v>
      </c>
      <c r="BL207" s="20">
        <f t="shared" si="417"/>
        <v>8.091706001348618E-3</v>
      </c>
      <c r="BM207" s="6">
        <f t="shared" si="418"/>
        <v>12</v>
      </c>
      <c r="BN207" s="5">
        <f t="shared" si="419"/>
        <v>2.4</v>
      </c>
      <c r="BO207" s="333">
        <f t="shared" si="420"/>
        <v>0</v>
      </c>
      <c r="BP207" s="334">
        <f t="shared" si="421"/>
        <v>0</v>
      </c>
      <c r="BQ207" s="6">
        <f t="shared" si="422"/>
        <v>7</v>
      </c>
      <c r="BR207" s="5">
        <f t="shared" si="423"/>
        <v>1.4</v>
      </c>
      <c r="BS207" s="6">
        <f t="shared" si="424"/>
        <v>56</v>
      </c>
      <c r="BT207" s="5">
        <f t="shared" si="425"/>
        <v>11.2</v>
      </c>
      <c r="BU207" s="181">
        <f t="shared" si="426"/>
        <v>3</v>
      </c>
      <c r="BV207" s="154">
        <f t="shared" si="427"/>
        <v>0.6</v>
      </c>
      <c r="BW207" s="181">
        <f t="shared" si="428"/>
        <v>1</v>
      </c>
      <c r="BX207" s="180">
        <f t="shared" si="429"/>
        <v>0.2</v>
      </c>
      <c r="BY207" s="181">
        <f t="shared" si="430"/>
        <v>2</v>
      </c>
      <c r="BZ207" s="154">
        <f t="shared" si="431"/>
        <v>0.4</v>
      </c>
      <c r="CA207" s="182">
        <f t="shared" si="432"/>
        <v>0.33333333333333331</v>
      </c>
      <c r="CB207" s="2">
        <f t="shared" si="433"/>
        <v>0</v>
      </c>
      <c r="CC207" s="2">
        <f t="shared" si="434"/>
        <v>0</v>
      </c>
      <c r="CD207" s="2">
        <f t="shared" si="435"/>
        <v>0</v>
      </c>
      <c r="CE207" s="2">
        <f t="shared" si="436"/>
        <v>2</v>
      </c>
      <c r="CF207" s="6">
        <f t="shared" si="437"/>
        <v>0</v>
      </c>
      <c r="CG207" s="6">
        <f t="shared" si="438"/>
        <v>188.89599999999999</v>
      </c>
      <c r="CH207" s="6">
        <f t="shared" si="439"/>
        <v>99</v>
      </c>
      <c r="CI207" s="20">
        <f t="shared" si="440"/>
        <v>0.52409791631373881</v>
      </c>
      <c r="CJ207" s="133">
        <f t="shared" si="441"/>
        <v>2521</v>
      </c>
      <c r="CK207" s="5">
        <f t="shared" si="442"/>
        <v>5.9</v>
      </c>
      <c r="CL207" s="302" t="s">
        <v>1440</v>
      </c>
      <c r="CM207" s="298" t="s">
        <v>13</v>
      </c>
      <c r="CN207" s="298" t="s">
        <v>1593</v>
      </c>
      <c r="CO207" s="298">
        <v>17</v>
      </c>
      <c r="CP207" s="298" t="s">
        <v>1187</v>
      </c>
      <c r="CQ207" s="298" t="s">
        <v>1131</v>
      </c>
      <c r="CR207" s="298" t="s">
        <v>644</v>
      </c>
      <c r="CS207" s="298" t="s">
        <v>1322</v>
      </c>
      <c r="CT207" s="298" t="s">
        <v>586</v>
      </c>
      <c r="CU207" s="299">
        <v>47118</v>
      </c>
      <c r="CV207" s="298">
        <v>0</v>
      </c>
      <c r="CW207" s="298">
        <v>450</v>
      </c>
      <c r="CX207" s="298">
        <v>12</v>
      </c>
      <c r="CY207" s="298">
        <v>4</v>
      </c>
      <c r="CZ207" s="298">
        <v>5</v>
      </c>
      <c r="DA207" s="298">
        <v>12</v>
      </c>
      <c r="DB207" s="298">
        <v>0</v>
      </c>
      <c r="DC207" s="298">
        <v>1.4</v>
      </c>
      <c r="DD207" s="298">
        <v>11.2</v>
      </c>
      <c r="DE207" s="298">
        <v>0</v>
      </c>
      <c r="DF207" s="298">
        <v>0</v>
      </c>
      <c r="DG207" s="298">
        <v>0</v>
      </c>
      <c r="DH207" s="298">
        <v>0</v>
      </c>
      <c r="DI207" s="298">
        <v>2</v>
      </c>
      <c r="DJ207" s="298">
        <v>0</v>
      </c>
      <c r="DK207" s="298">
        <v>0</v>
      </c>
      <c r="DL207" s="298">
        <v>135</v>
      </c>
      <c r="DM207" s="298">
        <v>76</v>
      </c>
      <c r="DN207" s="298" t="s">
        <v>1594</v>
      </c>
      <c r="DO207" s="298">
        <v>0</v>
      </c>
      <c r="DP207" s="298">
        <v>0</v>
      </c>
      <c r="DQ207" s="298">
        <v>3</v>
      </c>
      <c r="DR207" s="298">
        <v>1</v>
      </c>
      <c r="DS207" s="298">
        <v>0</v>
      </c>
      <c r="DT207" s="298">
        <v>3</v>
      </c>
      <c r="DU207" s="298">
        <v>1</v>
      </c>
      <c r="DV207" s="303">
        <v>5.9</v>
      </c>
    </row>
    <row r="208" spans="1:126" ht="24.95" customHeight="1" thickBot="1" x14ac:dyDescent="0.3">
      <c r="A208" s="29" t="str">
        <f t="shared" si="354"/>
        <v>207º</v>
      </c>
      <c r="B208" s="69" t="str">
        <f t="shared" si="356"/>
        <v>Sebastião</v>
      </c>
      <c r="C208" s="269" t="str">
        <f t="shared" si="357"/>
        <v>BRA</v>
      </c>
      <c r="D208" s="99" t="str">
        <f t="shared" si="358"/>
        <v>Pé Direito</v>
      </c>
      <c r="E208" s="28" t="str">
        <f t="shared" si="359"/>
        <v>XV de Jaú</v>
      </c>
      <c r="F208" s="169">
        <f t="shared" si="360"/>
        <v>17</v>
      </c>
      <c r="G208" s="2" t="str">
        <f t="shared" si="361"/>
        <v>0 €</v>
      </c>
      <c r="H208" s="154">
        <f t="shared" si="362"/>
        <v>1.9</v>
      </c>
      <c r="I208" s="64">
        <f t="shared" si="363"/>
        <v>47118</v>
      </c>
      <c r="J208" s="304" t="str">
        <f t="shared" si="364"/>
        <v>525 € p/m</v>
      </c>
      <c r="K208" s="96">
        <f t="shared" si="355"/>
        <v>3.5222222222222221</v>
      </c>
      <c r="L208" s="146">
        <f t="shared" si="365"/>
        <v>0</v>
      </c>
      <c r="M208" s="6">
        <f t="shared" si="366"/>
        <v>0</v>
      </c>
      <c r="N208" s="5">
        <f t="shared" si="367"/>
        <v>5400</v>
      </c>
      <c r="O208" s="21">
        <f t="shared" si="368"/>
        <v>0</v>
      </c>
      <c r="P208" s="2">
        <f t="shared" si="369"/>
        <v>0</v>
      </c>
      <c r="Q208" s="2">
        <f t="shared" si="370"/>
        <v>0</v>
      </c>
      <c r="R208" s="5">
        <f t="shared" si="371"/>
        <v>0</v>
      </c>
      <c r="S208" s="2">
        <f t="shared" si="372"/>
        <v>0</v>
      </c>
      <c r="T208" s="2">
        <f t="shared" si="373"/>
        <v>0</v>
      </c>
      <c r="U208" s="102">
        <f t="shared" si="374"/>
        <v>0</v>
      </c>
      <c r="V208" s="102">
        <f t="shared" si="375"/>
        <v>0</v>
      </c>
      <c r="W208" s="6">
        <f t="shared" si="376"/>
        <v>0</v>
      </c>
      <c r="X208" s="5">
        <f t="shared" si="377"/>
        <v>0</v>
      </c>
      <c r="Y208" s="6">
        <f t="shared" si="378"/>
        <v>0</v>
      </c>
      <c r="Z208" s="5" t="e">
        <f t="shared" si="379"/>
        <v>#DIV/0!</v>
      </c>
      <c r="AA208" s="21">
        <f t="shared" si="380"/>
        <v>0</v>
      </c>
      <c r="AB208" s="6">
        <f t="shared" si="381"/>
        <v>0</v>
      </c>
      <c r="AC208" s="5" t="e">
        <f t="shared" si="382"/>
        <v>#DIV/0!</v>
      </c>
      <c r="AD208" s="6">
        <f t="shared" si="383"/>
        <v>0</v>
      </c>
      <c r="AE208" s="5">
        <f t="shared" si="384"/>
        <v>0</v>
      </c>
      <c r="AF208" s="21">
        <f t="shared" si="385"/>
        <v>0</v>
      </c>
      <c r="AG208" s="6">
        <f t="shared" si="386"/>
        <v>0</v>
      </c>
      <c r="AH208" s="5">
        <f t="shared" si="387"/>
        <v>0</v>
      </c>
      <c r="AI208" s="21">
        <f t="shared" si="388"/>
        <v>0</v>
      </c>
      <c r="AJ208" s="6">
        <f t="shared" si="389"/>
        <v>0</v>
      </c>
      <c r="AK208" s="5">
        <f t="shared" si="390"/>
        <v>0</v>
      </c>
      <c r="AL208" s="21">
        <f t="shared" si="391"/>
        <v>0</v>
      </c>
      <c r="AM208" s="21">
        <f t="shared" si="392"/>
        <v>0</v>
      </c>
      <c r="AN208" s="6">
        <f t="shared" si="393"/>
        <v>0</v>
      </c>
      <c r="AO208" s="5">
        <f t="shared" si="394"/>
        <v>0</v>
      </c>
      <c r="AP208" s="6">
        <f t="shared" si="395"/>
        <v>0</v>
      </c>
      <c r="AQ208" s="5">
        <f t="shared" si="396"/>
        <v>0</v>
      </c>
      <c r="AR208" s="2">
        <f t="shared" si="397"/>
        <v>0</v>
      </c>
      <c r="AS208" s="5">
        <f t="shared" si="398"/>
        <v>0</v>
      </c>
      <c r="AT208" s="21">
        <f t="shared" si="399"/>
        <v>0</v>
      </c>
      <c r="AU208" s="20">
        <f t="shared" si="400"/>
        <v>0</v>
      </c>
      <c r="AV208" s="20">
        <f t="shared" si="401"/>
        <v>1</v>
      </c>
      <c r="AW208" s="199">
        <f t="shared" si="402"/>
        <v>0</v>
      </c>
      <c r="AX208" s="24">
        <f t="shared" si="403"/>
        <v>0</v>
      </c>
      <c r="AY208" s="5">
        <f t="shared" si="404"/>
        <v>0</v>
      </c>
      <c r="AZ208" s="5">
        <f t="shared" si="405"/>
        <v>0</v>
      </c>
      <c r="BA208" s="5">
        <f t="shared" si="406"/>
        <v>0</v>
      </c>
      <c r="BB208" s="5">
        <f t="shared" si="407"/>
        <v>0</v>
      </c>
      <c r="BC208" s="5">
        <f t="shared" si="408"/>
        <v>0</v>
      </c>
      <c r="BD208" s="5">
        <f t="shared" si="409"/>
        <v>0</v>
      </c>
      <c r="BE208" s="199">
        <f t="shared" si="410"/>
        <v>0</v>
      </c>
      <c r="BF208" s="21">
        <f t="shared" si="411"/>
        <v>0</v>
      </c>
      <c r="BG208" s="6">
        <f t="shared" si="412"/>
        <v>0</v>
      </c>
      <c r="BH208" s="5" t="e">
        <f t="shared" si="413"/>
        <v>#DIV/0!</v>
      </c>
      <c r="BI208" s="6">
        <f t="shared" si="414"/>
        <v>0</v>
      </c>
      <c r="BJ208" s="5" t="e">
        <f t="shared" si="415"/>
        <v>#DIV/0!</v>
      </c>
      <c r="BK208" s="20">
        <f t="shared" si="416"/>
        <v>-9.9999999999999998E-13</v>
      </c>
      <c r="BL208" s="20">
        <f t="shared" si="417"/>
        <v>0</v>
      </c>
      <c r="BM208" s="6">
        <f t="shared" si="418"/>
        <v>0</v>
      </c>
      <c r="BN208" s="5">
        <f t="shared" si="419"/>
        <v>0</v>
      </c>
      <c r="BO208" s="333">
        <f t="shared" si="420"/>
        <v>0</v>
      </c>
      <c r="BP208" s="334">
        <f t="shared" si="421"/>
        <v>0</v>
      </c>
      <c r="BQ208" s="6">
        <f t="shared" si="422"/>
        <v>0</v>
      </c>
      <c r="BR208" s="5">
        <f t="shared" si="423"/>
        <v>0</v>
      </c>
      <c r="BS208" s="6">
        <f t="shared" si="424"/>
        <v>0</v>
      </c>
      <c r="BT208" s="5">
        <f t="shared" si="425"/>
        <v>0</v>
      </c>
      <c r="BU208" s="181">
        <f t="shared" si="426"/>
        <v>0</v>
      </c>
      <c r="BV208" s="154">
        <f t="shared" si="427"/>
        <v>0</v>
      </c>
      <c r="BW208" s="181">
        <f t="shared" si="428"/>
        <v>0</v>
      </c>
      <c r="BX208" s="180">
        <f t="shared" si="429"/>
        <v>0</v>
      </c>
      <c r="BY208" s="181">
        <f t="shared" si="430"/>
        <v>0</v>
      </c>
      <c r="BZ208" s="154">
        <f t="shared" si="431"/>
        <v>0</v>
      </c>
      <c r="CA208" s="182">
        <f t="shared" si="432"/>
        <v>0</v>
      </c>
      <c r="CB208" s="2">
        <f t="shared" si="433"/>
        <v>0</v>
      </c>
      <c r="CC208" s="2">
        <f t="shared" si="434"/>
        <v>0</v>
      </c>
      <c r="CD208" s="2">
        <f t="shared" si="435"/>
        <v>0</v>
      </c>
      <c r="CE208" s="2">
        <f t="shared" si="436"/>
        <v>0</v>
      </c>
      <c r="CF208" s="6">
        <f t="shared" si="437"/>
        <v>0</v>
      </c>
      <c r="CG208" s="6">
        <f t="shared" si="438"/>
        <v>0</v>
      </c>
      <c r="CH208" s="6">
        <f t="shared" si="439"/>
        <v>0</v>
      </c>
      <c r="CI208" s="20">
        <f t="shared" si="440"/>
        <v>0</v>
      </c>
      <c r="CJ208" s="133">
        <f t="shared" si="441"/>
        <v>2521</v>
      </c>
      <c r="CK208" s="5">
        <f t="shared" si="442"/>
        <v>0</v>
      </c>
      <c r="CL208" s="300"/>
      <c r="CM208" s="296" t="s">
        <v>13</v>
      </c>
      <c r="CN208" s="296" t="s">
        <v>1595</v>
      </c>
      <c r="CO208" s="296">
        <v>17</v>
      </c>
      <c r="CP208" s="296" t="s">
        <v>1596</v>
      </c>
      <c r="CQ208" s="296" t="s">
        <v>1131</v>
      </c>
      <c r="CR208" s="296" t="s">
        <v>644</v>
      </c>
      <c r="CS208" s="296" t="s">
        <v>1322</v>
      </c>
      <c r="CT208" s="296" t="s">
        <v>682</v>
      </c>
      <c r="CU208" s="297">
        <v>47118</v>
      </c>
      <c r="CV208" s="296">
        <v>0</v>
      </c>
      <c r="CW208" s="296">
        <v>0</v>
      </c>
      <c r="CX208" s="296">
        <v>0</v>
      </c>
      <c r="CY208" s="296">
        <v>0</v>
      </c>
      <c r="CZ208" s="296">
        <v>0</v>
      </c>
      <c r="DA208" s="296">
        <v>0</v>
      </c>
      <c r="DB208" s="296">
        <v>0</v>
      </c>
      <c r="DC208" s="296">
        <v>0</v>
      </c>
      <c r="DD208" s="296">
        <v>0</v>
      </c>
      <c r="DE208" s="296">
        <v>0</v>
      </c>
      <c r="DF208" s="296">
        <v>0</v>
      </c>
      <c r="DG208" s="296">
        <v>0</v>
      </c>
      <c r="DH208" s="296">
        <v>0</v>
      </c>
      <c r="DI208" s="296">
        <v>0</v>
      </c>
      <c r="DJ208" s="296">
        <v>0</v>
      </c>
      <c r="DK208" s="296">
        <v>0</v>
      </c>
      <c r="DL208" s="296">
        <v>0</v>
      </c>
      <c r="DM208" s="296">
        <v>0</v>
      </c>
      <c r="DN208" s="296">
        <v>0</v>
      </c>
      <c r="DO208" s="296">
        <v>0</v>
      </c>
      <c r="DP208" s="296">
        <v>0</v>
      </c>
      <c r="DQ208" s="296">
        <v>0</v>
      </c>
      <c r="DR208" s="296">
        <v>0</v>
      </c>
      <c r="DS208" s="296">
        <v>0</v>
      </c>
      <c r="DT208" s="296">
        <v>0</v>
      </c>
      <c r="DU208" s="296">
        <v>0</v>
      </c>
      <c r="DV208" s="301" t="s">
        <v>548</v>
      </c>
    </row>
    <row r="209" spans="1:126" ht="24.95" customHeight="1" thickBot="1" x14ac:dyDescent="0.3">
      <c r="A209" s="29" t="str">
        <f t="shared" si="354"/>
        <v>208º</v>
      </c>
      <c r="B209" s="69" t="str">
        <f t="shared" si="356"/>
        <v>Ronaldo</v>
      </c>
      <c r="C209" s="269" t="str">
        <f t="shared" si="357"/>
        <v>BRA</v>
      </c>
      <c r="D209" s="99" t="str">
        <f t="shared" si="358"/>
        <v>Pé Direito</v>
      </c>
      <c r="E209" s="28" t="str">
        <f t="shared" si="359"/>
        <v>Flamengo (PI)</v>
      </c>
      <c r="F209" s="169">
        <f t="shared" si="360"/>
        <v>17</v>
      </c>
      <c r="G209" s="2" t="str">
        <f t="shared" si="361"/>
        <v>0 €</v>
      </c>
      <c r="H209" s="154">
        <f t="shared" si="362"/>
        <v>1.82</v>
      </c>
      <c r="I209" s="64">
        <f t="shared" si="363"/>
        <v>47118</v>
      </c>
      <c r="J209" s="304" t="str">
        <f t="shared" si="364"/>
        <v>525 € p/m</v>
      </c>
      <c r="K209" s="96">
        <f t="shared" si="355"/>
        <v>3.5222222222222221</v>
      </c>
      <c r="L209" s="146">
        <f t="shared" si="365"/>
        <v>0</v>
      </c>
      <c r="M209" s="6">
        <f t="shared" si="366"/>
        <v>0</v>
      </c>
      <c r="N209" s="5">
        <f t="shared" si="367"/>
        <v>5400</v>
      </c>
      <c r="O209" s="21">
        <f t="shared" si="368"/>
        <v>0</v>
      </c>
      <c r="P209" s="2">
        <f t="shared" si="369"/>
        <v>0</v>
      </c>
      <c r="Q209" s="2">
        <f t="shared" si="370"/>
        <v>0</v>
      </c>
      <c r="R209" s="5">
        <f t="shared" si="371"/>
        <v>0</v>
      </c>
      <c r="S209" s="2">
        <f t="shared" si="372"/>
        <v>0</v>
      </c>
      <c r="T209" s="2">
        <f t="shared" si="373"/>
        <v>0</v>
      </c>
      <c r="U209" s="102">
        <f t="shared" si="374"/>
        <v>0</v>
      </c>
      <c r="V209" s="102">
        <f t="shared" si="375"/>
        <v>0</v>
      </c>
      <c r="W209" s="6">
        <f t="shared" si="376"/>
        <v>0</v>
      </c>
      <c r="X209" s="5">
        <f t="shared" si="377"/>
        <v>0</v>
      </c>
      <c r="Y209" s="6">
        <f t="shared" si="378"/>
        <v>0</v>
      </c>
      <c r="Z209" s="5" t="e">
        <f t="shared" si="379"/>
        <v>#DIV/0!</v>
      </c>
      <c r="AA209" s="21">
        <f t="shared" si="380"/>
        <v>0</v>
      </c>
      <c r="AB209" s="6">
        <f t="shared" si="381"/>
        <v>0</v>
      </c>
      <c r="AC209" s="5" t="e">
        <f t="shared" si="382"/>
        <v>#DIV/0!</v>
      </c>
      <c r="AD209" s="6">
        <f t="shared" si="383"/>
        <v>0</v>
      </c>
      <c r="AE209" s="5">
        <f t="shared" si="384"/>
        <v>0</v>
      </c>
      <c r="AF209" s="21">
        <f t="shared" si="385"/>
        <v>0</v>
      </c>
      <c r="AG209" s="6">
        <f t="shared" si="386"/>
        <v>0</v>
      </c>
      <c r="AH209" s="5">
        <f t="shared" si="387"/>
        <v>0</v>
      </c>
      <c r="AI209" s="21">
        <f t="shared" si="388"/>
        <v>0</v>
      </c>
      <c r="AJ209" s="6">
        <f t="shared" si="389"/>
        <v>0</v>
      </c>
      <c r="AK209" s="5">
        <f t="shared" si="390"/>
        <v>0</v>
      </c>
      <c r="AL209" s="21">
        <f t="shared" si="391"/>
        <v>0</v>
      </c>
      <c r="AM209" s="21">
        <f t="shared" si="392"/>
        <v>0</v>
      </c>
      <c r="AN209" s="6">
        <f t="shared" si="393"/>
        <v>0</v>
      </c>
      <c r="AO209" s="5">
        <f t="shared" si="394"/>
        <v>0</v>
      </c>
      <c r="AP209" s="6">
        <f t="shared" si="395"/>
        <v>0</v>
      </c>
      <c r="AQ209" s="5">
        <f t="shared" si="396"/>
        <v>0</v>
      </c>
      <c r="AR209" s="2">
        <f t="shared" si="397"/>
        <v>0</v>
      </c>
      <c r="AS209" s="5">
        <f t="shared" si="398"/>
        <v>0</v>
      </c>
      <c r="AT209" s="21">
        <f t="shared" si="399"/>
        <v>0</v>
      </c>
      <c r="AU209" s="20">
        <f t="shared" si="400"/>
        <v>0</v>
      </c>
      <c r="AV209" s="20">
        <f t="shared" si="401"/>
        <v>1</v>
      </c>
      <c r="AW209" s="199">
        <f t="shared" si="402"/>
        <v>0</v>
      </c>
      <c r="AX209" s="24">
        <f t="shared" si="403"/>
        <v>0</v>
      </c>
      <c r="AY209" s="5">
        <f t="shared" si="404"/>
        <v>0</v>
      </c>
      <c r="AZ209" s="5">
        <f t="shared" si="405"/>
        <v>0</v>
      </c>
      <c r="BA209" s="5">
        <f t="shared" si="406"/>
        <v>0</v>
      </c>
      <c r="BB209" s="5">
        <f t="shared" si="407"/>
        <v>0</v>
      </c>
      <c r="BC209" s="5">
        <f t="shared" si="408"/>
        <v>0</v>
      </c>
      <c r="BD209" s="5">
        <f t="shared" si="409"/>
        <v>0</v>
      </c>
      <c r="BE209" s="199">
        <f t="shared" si="410"/>
        <v>0</v>
      </c>
      <c r="BF209" s="21">
        <f t="shared" si="411"/>
        <v>0</v>
      </c>
      <c r="BG209" s="6">
        <f t="shared" si="412"/>
        <v>0</v>
      </c>
      <c r="BH209" s="5" t="e">
        <f t="shared" si="413"/>
        <v>#DIV/0!</v>
      </c>
      <c r="BI209" s="6">
        <f t="shared" si="414"/>
        <v>0</v>
      </c>
      <c r="BJ209" s="5" t="e">
        <f t="shared" si="415"/>
        <v>#DIV/0!</v>
      </c>
      <c r="BK209" s="20">
        <f t="shared" si="416"/>
        <v>-9.9999999999999998E-13</v>
      </c>
      <c r="BL209" s="20">
        <f t="shared" si="417"/>
        <v>0</v>
      </c>
      <c r="BM209" s="6">
        <f t="shared" si="418"/>
        <v>0</v>
      </c>
      <c r="BN209" s="5">
        <f t="shared" si="419"/>
        <v>0</v>
      </c>
      <c r="BO209" s="333">
        <f t="shared" si="420"/>
        <v>0</v>
      </c>
      <c r="BP209" s="334">
        <f t="shared" si="421"/>
        <v>0</v>
      </c>
      <c r="BQ209" s="6">
        <f t="shared" si="422"/>
        <v>0</v>
      </c>
      <c r="BR209" s="5">
        <f t="shared" si="423"/>
        <v>0</v>
      </c>
      <c r="BS209" s="6">
        <f t="shared" si="424"/>
        <v>0</v>
      </c>
      <c r="BT209" s="5">
        <f t="shared" si="425"/>
        <v>0</v>
      </c>
      <c r="BU209" s="181">
        <f t="shared" si="426"/>
        <v>0</v>
      </c>
      <c r="BV209" s="154">
        <f t="shared" si="427"/>
        <v>0</v>
      </c>
      <c r="BW209" s="181">
        <f t="shared" si="428"/>
        <v>0</v>
      </c>
      <c r="BX209" s="180">
        <f t="shared" si="429"/>
        <v>0</v>
      </c>
      <c r="BY209" s="181">
        <f t="shared" si="430"/>
        <v>0</v>
      </c>
      <c r="BZ209" s="154">
        <f t="shared" si="431"/>
        <v>0</v>
      </c>
      <c r="CA209" s="182">
        <f t="shared" si="432"/>
        <v>0</v>
      </c>
      <c r="CB209" s="2">
        <f t="shared" si="433"/>
        <v>0</v>
      </c>
      <c r="CC209" s="2">
        <f t="shared" si="434"/>
        <v>0</v>
      </c>
      <c r="CD209" s="2">
        <f t="shared" si="435"/>
        <v>0</v>
      </c>
      <c r="CE209" s="2">
        <f t="shared" si="436"/>
        <v>0</v>
      </c>
      <c r="CF209" s="6">
        <f t="shared" si="437"/>
        <v>0</v>
      </c>
      <c r="CG209" s="6">
        <f t="shared" si="438"/>
        <v>0</v>
      </c>
      <c r="CH209" s="6">
        <f t="shared" si="439"/>
        <v>0</v>
      </c>
      <c r="CI209" s="20">
        <f t="shared" si="440"/>
        <v>0</v>
      </c>
      <c r="CJ209" s="133">
        <f t="shared" si="441"/>
        <v>2521</v>
      </c>
      <c r="CK209" s="5">
        <f t="shared" si="442"/>
        <v>0</v>
      </c>
      <c r="CL209" s="302"/>
      <c r="CM209" s="298" t="s">
        <v>13</v>
      </c>
      <c r="CN209" s="298" t="s">
        <v>1597</v>
      </c>
      <c r="CO209" s="298">
        <v>17</v>
      </c>
      <c r="CP209" s="298" t="s">
        <v>1515</v>
      </c>
      <c r="CQ209" s="298" t="s">
        <v>1131</v>
      </c>
      <c r="CR209" s="298" t="s">
        <v>644</v>
      </c>
      <c r="CS209" s="298" t="s">
        <v>1322</v>
      </c>
      <c r="CT209" s="298" t="s">
        <v>546</v>
      </c>
      <c r="CU209" s="299">
        <v>47118</v>
      </c>
      <c r="CV209" s="298">
        <v>0</v>
      </c>
      <c r="CW209" s="298">
        <v>0</v>
      </c>
      <c r="CX209" s="298">
        <v>0</v>
      </c>
      <c r="CY209" s="298">
        <v>0</v>
      </c>
      <c r="CZ209" s="298">
        <v>0</v>
      </c>
      <c r="DA209" s="298">
        <v>0</v>
      </c>
      <c r="DB209" s="298">
        <v>0</v>
      </c>
      <c r="DC209" s="298">
        <v>0</v>
      </c>
      <c r="DD209" s="298">
        <v>0</v>
      </c>
      <c r="DE209" s="298">
        <v>0</v>
      </c>
      <c r="DF209" s="298">
        <v>0</v>
      </c>
      <c r="DG209" s="298">
        <v>0</v>
      </c>
      <c r="DH209" s="298">
        <v>0</v>
      </c>
      <c r="DI209" s="298">
        <v>0</v>
      </c>
      <c r="DJ209" s="298">
        <v>0</v>
      </c>
      <c r="DK209" s="298">
        <v>0</v>
      </c>
      <c r="DL209" s="298">
        <v>0</v>
      </c>
      <c r="DM209" s="298">
        <v>0</v>
      </c>
      <c r="DN209" s="298">
        <v>0</v>
      </c>
      <c r="DO209" s="298">
        <v>0</v>
      </c>
      <c r="DP209" s="298">
        <v>0</v>
      </c>
      <c r="DQ209" s="298">
        <v>0</v>
      </c>
      <c r="DR209" s="298">
        <v>0</v>
      </c>
      <c r="DS209" s="298">
        <v>0</v>
      </c>
      <c r="DT209" s="298">
        <v>0</v>
      </c>
      <c r="DU209" s="298">
        <v>0</v>
      </c>
      <c r="DV209" s="303" t="s">
        <v>548</v>
      </c>
    </row>
    <row r="210" spans="1:126" ht="24.95" customHeight="1" thickBot="1" x14ac:dyDescent="0.3">
      <c r="A210" s="29" t="str">
        <f t="shared" si="354"/>
        <v>209º</v>
      </c>
      <c r="B210" s="69" t="str">
        <f t="shared" si="356"/>
        <v>Sérgio</v>
      </c>
      <c r="C210" s="269" t="str">
        <f t="shared" si="357"/>
        <v>BRA</v>
      </c>
      <c r="D210" s="99" t="str">
        <f t="shared" si="358"/>
        <v>Pé Direito</v>
      </c>
      <c r="E210" s="28" t="str">
        <f t="shared" si="359"/>
        <v>Noroeste</v>
      </c>
      <c r="F210" s="169">
        <f t="shared" si="360"/>
        <v>17</v>
      </c>
      <c r="G210" s="2" t="str">
        <f t="shared" si="361"/>
        <v>0 €</v>
      </c>
      <c r="H210" s="154">
        <f t="shared" si="362"/>
        <v>1.86</v>
      </c>
      <c r="I210" s="64">
        <f t="shared" si="363"/>
        <v>47118</v>
      </c>
      <c r="J210" s="304" t="str">
        <f t="shared" si="364"/>
        <v>550 € p/m</v>
      </c>
      <c r="K210" s="96">
        <f t="shared" si="355"/>
        <v>3.5222222222222221</v>
      </c>
      <c r="L210" s="146">
        <f t="shared" si="365"/>
        <v>0</v>
      </c>
      <c r="M210" s="6">
        <f t="shared" si="366"/>
        <v>0</v>
      </c>
      <c r="N210" s="5">
        <f t="shared" si="367"/>
        <v>5400</v>
      </c>
      <c r="O210" s="21">
        <f t="shared" si="368"/>
        <v>0</v>
      </c>
      <c r="P210" s="2">
        <f t="shared" si="369"/>
        <v>0</v>
      </c>
      <c r="Q210" s="2">
        <f t="shared" si="370"/>
        <v>0</v>
      </c>
      <c r="R210" s="5">
        <f t="shared" si="371"/>
        <v>0</v>
      </c>
      <c r="S210" s="2">
        <f t="shared" si="372"/>
        <v>0</v>
      </c>
      <c r="T210" s="2">
        <f t="shared" si="373"/>
        <v>0</v>
      </c>
      <c r="U210" s="102">
        <f t="shared" si="374"/>
        <v>0</v>
      </c>
      <c r="V210" s="102">
        <f t="shared" si="375"/>
        <v>0</v>
      </c>
      <c r="W210" s="6">
        <f t="shared" si="376"/>
        <v>0</v>
      </c>
      <c r="X210" s="5">
        <f t="shared" si="377"/>
        <v>0</v>
      </c>
      <c r="Y210" s="6">
        <f t="shared" si="378"/>
        <v>0</v>
      </c>
      <c r="Z210" s="5" t="e">
        <f t="shared" si="379"/>
        <v>#DIV/0!</v>
      </c>
      <c r="AA210" s="21">
        <f t="shared" si="380"/>
        <v>0</v>
      </c>
      <c r="AB210" s="6">
        <f t="shared" si="381"/>
        <v>0</v>
      </c>
      <c r="AC210" s="5" t="e">
        <f t="shared" si="382"/>
        <v>#DIV/0!</v>
      </c>
      <c r="AD210" s="6">
        <f t="shared" si="383"/>
        <v>0</v>
      </c>
      <c r="AE210" s="5">
        <f t="shared" si="384"/>
        <v>0</v>
      </c>
      <c r="AF210" s="21">
        <f t="shared" si="385"/>
        <v>0</v>
      </c>
      <c r="AG210" s="6">
        <f t="shared" si="386"/>
        <v>0</v>
      </c>
      <c r="AH210" s="5">
        <f t="shared" si="387"/>
        <v>0</v>
      </c>
      <c r="AI210" s="21">
        <f t="shared" si="388"/>
        <v>0</v>
      </c>
      <c r="AJ210" s="6">
        <f t="shared" si="389"/>
        <v>0</v>
      </c>
      <c r="AK210" s="5">
        <f t="shared" si="390"/>
        <v>0</v>
      </c>
      <c r="AL210" s="21">
        <f t="shared" si="391"/>
        <v>0</v>
      </c>
      <c r="AM210" s="21">
        <f t="shared" si="392"/>
        <v>0</v>
      </c>
      <c r="AN210" s="6">
        <f t="shared" si="393"/>
        <v>0</v>
      </c>
      <c r="AO210" s="5">
        <f t="shared" si="394"/>
        <v>0</v>
      </c>
      <c r="AP210" s="6">
        <f t="shared" si="395"/>
        <v>0</v>
      </c>
      <c r="AQ210" s="5">
        <f t="shared" si="396"/>
        <v>0</v>
      </c>
      <c r="AR210" s="2">
        <f t="shared" si="397"/>
        <v>0</v>
      </c>
      <c r="AS210" s="5">
        <f t="shared" si="398"/>
        <v>0</v>
      </c>
      <c r="AT210" s="21">
        <f t="shared" si="399"/>
        <v>0</v>
      </c>
      <c r="AU210" s="20">
        <f t="shared" si="400"/>
        <v>0</v>
      </c>
      <c r="AV210" s="20">
        <f t="shared" si="401"/>
        <v>1</v>
      </c>
      <c r="AW210" s="199">
        <f t="shared" si="402"/>
        <v>0</v>
      </c>
      <c r="AX210" s="24">
        <f t="shared" si="403"/>
        <v>0</v>
      </c>
      <c r="AY210" s="5">
        <f t="shared" si="404"/>
        <v>0</v>
      </c>
      <c r="AZ210" s="5">
        <f t="shared" si="405"/>
        <v>0</v>
      </c>
      <c r="BA210" s="5">
        <f t="shared" si="406"/>
        <v>0</v>
      </c>
      <c r="BB210" s="5">
        <f t="shared" si="407"/>
        <v>0</v>
      </c>
      <c r="BC210" s="5">
        <f t="shared" si="408"/>
        <v>0</v>
      </c>
      <c r="BD210" s="5">
        <f t="shared" si="409"/>
        <v>0</v>
      </c>
      <c r="BE210" s="199">
        <f t="shared" si="410"/>
        <v>0</v>
      </c>
      <c r="BF210" s="21">
        <f t="shared" si="411"/>
        <v>0</v>
      </c>
      <c r="BG210" s="6">
        <f t="shared" si="412"/>
        <v>0</v>
      </c>
      <c r="BH210" s="5" t="e">
        <f t="shared" si="413"/>
        <v>#DIV/0!</v>
      </c>
      <c r="BI210" s="6">
        <f t="shared" si="414"/>
        <v>0</v>
      </c>
      <c r="BJ210" s="5" t="e">
        <f t="shared" si="415"/>
        <v>#DIV/0!</v>
      </c>
      <c r="BK210" s="20">
        <f t="shared" si="416"/>
        <v>-9.9999999999999998E-13</v>
      </c>
      <c r="BL210" s="20">
        <f t="shared" si="417"/>
        <v>0</v>
      </c>
      <c r="BM210" s="6">
        <f t="shared" si="418"/>
        <v>0</v>
      </c>
      <c r="BN210" s="5">
        <f t="shared" si="419"/>
        <v>0</v>
      </c>
      <c r="BO210" s="333">
        <f t="shared" si="420"/>
        <v>0</v>
      </c>
      <c r="BP210" s="334">
        <f t="shared" si="421"/>
        <v>0</v>
      </c>
      <c r="BQ210" s="6">
        <f t="shared" si="422"/>
        <v>0</v>
      </c>
      <c r="BR210" s="5">
        <f t="shared" si="423"/>
        <v>0</v>
      </c>
      <c r="BS210" s="6">
        <f t="shared" si="424"/>
        <v>0</v>
      </c>
      <c r="BT210" s="5">
        <f t="shared" si="425"/>
        <v>0</v>
      </c>
      <c r="BU210" s="181">
        <f t="shared" si="426"/>
        <v>0</v>
      </c>
      <c r="BV210" s="154">
        <f t="shared" si="427"/>
        <v>0</v>
      </c>
      <c r="BW210" s="181">
        <f t="shared" si="428"/>
        <v>0</v>
      </c>
      <c r="BX210" s="180">
        <f t="shared" si="429"/>
        <v>0</v>
      </c>
      <c r="BY210" s="181">
        <f t="shared" si="430"/>
        <v>0</v>
      </c>
      <c r="BZ210" s="154">
        <f t="shared" si="431"/>
        <v>0</v>
      </c>
      <c r="CA210" s="182">
        <f t="shared" si="432"/>
        <v>0</v>
      </c>
      <c r="CB210" s="2">
        <f t="shared" si="433"/>
        <v>0</v>
      </c>
      <c r="CC210" s="2">
        <f t="shared" si="434"/>
        <v>0</v>
      </c>
      <c r="CD210" s="2">
        <f t="shared" si="435"/>
        <v>0</v>
      </c>
      <c r="CE210" s="2">
        <f t="shared" si="436"/>
        <v>0</v>
      </c>
      <c r="CF210" s="6">
        <f t="shared" si="437"/>
        <v>0</v>
      </c>
      <c r="CG210" s="6">
        <f t="shared" si="438"/>
        <v>0</v>
      </c>
      <c r="CH210" s="6">
        <f t="shared" si="439"/>
        <v>0</v>
      </c>
      <c r="CI210" s="20">
        <f t="shared" si="440"/>
        <v>0</v>
      </c>
      <c r="CJ210" s="133">
        <f t="shared" si="441"/>
        <v>2521</v>
      </c>
      <c r="CK210" s="5">
        <f t="shared" si="442"/>
        <v>0</v>
      </c>
      <c r="CL210" s="300" t="s">
        <v>19</v>
      </c>
      <c r="CM210" s="296" t="s">
        <v>13</v>
      </c>
      <c r="CN210" s="296" t="s">
        <v>1598</v>
      </c>
      <c r="CO210" s="296">
        <v>17</v>
      </c>
      <c r="CP210" s="296" t="s">
        <v>1599</v>
      </c>
      <c r="CQ210" s="296" t="s">
        <v>1131</v>
      </c>
      <c r="CR210" s="296" t="s">
        <v>644</v>
      </c>
      <c r="CS210" s="296" t="s">
        <v>1375</v>
      </c>
      <c r="CT210" s="296" t="s">
        <v>575</v>
      </c>
      <c r="CU210" s="297">
        <v>47118</v>
      </c>
      <c r="CV210" s="296">
        <v>0</v>
      </c>
      <c r="CW210" s="296">
        <v>0</v>
      </c>
      <c r="CX210" s="296">
        <v>0</v>
      </c>
      <c r="CY210" s="296">
        <v>0</v>
      </c>
      <c r="CZ210" s="296">
        <v>0</v>
      </c>
      <c r="DA210" s="296">
        <v>0</v>
      </c>
      <c r="DB210" s="296">
        <v>0</v>
      </c>
      <c r="DC210" s="296">
        <v>0</v>
      </c>
      <c r="DD210" s="296">
        <v>0</v>
      </c>
      <c r="DE210" s="296">
        <v>0</v>
      </c>
      <c r="DF210" s="296">
        <v>0</v>
      </c>
      <c r="DG210" s="296">
        <v>0</v>
      </c>
      <c r="DH210" s="296">
        <v>0</v>
      </c>
      <c r="DI210" s="296">
        <v>0</v>
      </c>
      <c r="DJ210" s="296">
        <v>0</v>
      </c>
      <c r="DK210" s="296">
        <v>0</v>
      </c>
      <c r="DL210" s="296">
        <v>0</v>
      </c>
      <c r="DM210" s="296">
        <v>0</v>
      </c>
      <c r="DN210" s="296">
        <v>0</v>
      </c>
      <c r="DO210" s="296">
        <v>0</v>
      </c>
      <c r="DP210" s="296">
        <v>0</v>
      </c>
      <c r="DQ210" s="296">
        <v>0</v>
      </c>
      <c r="DR210" s="296">
        <v>0</v>
      </c>
      <c r="DS210" s="296">
        <v>0</v>
      </c>
      <c r="DT210" s="296">
        <v>0</v>
      </c>
      <c r="DU210" s="296">
        <v>0</v>
      </c>
      <c r="DV210" s="301" t="s">
        <v>548</v>
      </c>
    </row>
    <row r="211" spans="1:126" ht="24.95" customHeight="1" thickBot="1" x14ac:dyDescent="0.3">
      <c r="A211" s="29" t="str">
        <f t="shared" si="354"/>
        <v>210º</v>
      </c>
      <c r="B211" s="69" t="str">
        <f t="shared" si="356"/>
        <v>Júlio Ribeiro</v>
      </c>
      <c r="C211" s="269" t="str">
        <f t="shared" si="357"/>
        <v>BRA</v>
      </c>
      <c r="D211" s="99" t="str">
        <f t="shared" si="358"/>
        <v>Pé Direito</v>
      </c>
      <c r="E211" s="28" t="str">
        <f t="shared" si="359"/>
        <v>SAM</v>
      </c>
      <c r="F211" s="169">
        <f t="shared" si="360"/>
        <v>16</v>
      </c>
      <c r="G211" s="2" t="str">
        <f t="shared" si="361"/>
        <v>0 €</v>
      </c>
      <c r="H211" s="154">
        <f t="shared" si="362"/>
        <v>1.84</v>
      </c>
      <c r="I211" s="64">
        <f t="shared" si="363"/>
        <v>47118</v>
      </c>
      <c r="J211" s="304" t="str">
        <f t="shared" si="364"/>
        <v>525 € p/m</v>
      </c>
      <c r="K211" s="96">
        <f t="shared" si="355"/>
        <v>3.5222222222222221</v>
      </c>
      <c r="L211" s="146">
        <f t="shared" si="365"/>
        <v>1</v>
      </c>
      <c r="M211" s="6">
        <f t="shared" si="366"/>
        <v>0</v>
      </c>
      <c r="N211" s="5">
        <f t="shared" si="367"/>
        <v>5400</v>
      </c>
      <c r="O211" s="21">
        <f t="shared" si="368"/>
        <v>0</v>
      </c>
      <c r="P211" s="2">
        <f t="shared" si="369"/>
        <v>23</v>
      </c>
      <c r="Q211" s="2">
        <f t="shared" si="370"/>
        <v>20</v>
      </c>
      <c r="R211" s="5">
        <f t="shared" si="371"/>
        <v>20</v>
      </c>
      <c r="S211" s="2">
        <f t="shared" si="372"/>
        <v>3</v>
      </c>
      <c r="T211" s="2">
        <f t="shared" si="373"/>
        <v>17</v>
      </c>
      <c r="U211" s="102">
        <f t="shared" si="374"/>
        <v>0.13043478260869565</v>
      </c>
      <c r="V211" s="102">
        <f t="shared" si="375"/>
        <v>0.86956521739130432</v>
      </c>
      <c r="W211" s="6">
        <f t="shared" si="376"/>
        <v>23</v>
      </c>
      <c r="X211" s="5">
        <f t="shared" si="377"/>
        <v>23</v>
      </c>
      <c r="Y211" s="6">
        <f t="shared" si="378"/>
        <v>0</v>
      </c>
      <c r="Z211" s="5">
        <f t="shared" si="379"/>
        <v>0</v>
      </c>
      <c r="AA211" s="21">
        <f t="shared" si="380"/>
        <v>0</v>
      </c>
      <c r="AB211" s="6">
        <f t="shared" si="381"/>
        <v>0</v>
      </c>
      <c r="AC211" s="5">
        <f t="shared" si="382"/>
        <v>0</v>
      </c>
      <c r="AD211" s="6">
        <f t="shared" si="383"/>
        <v>0</v>
      </c>
      <c r="AE211" s="5">
        <f t="shared" si="384"/>
        <v>0</v>
      </c>
      <c r="AF211" s="21">
        <f t="shared" si="385"/>
        <v>0</v>
      </c>
      <c r="AG211" s="6">
        <f t="shared" si="386"/>
        <v>0</v>
      </c>
      <c r="AH211" s="5">
        <f t="shared" si="387"/>
        <v>0</v>
      </c>
      <c r="AI211" s="21">
        <f t="shared" si="388"/>
        <v>0</v>
      </c>
      <c r="AJ211" s="6">
        <f t="shared" si="389"/>
        <v>0</v>
      </c>
      <c r="AK211" s="5">
        <f t="shared" si="390"/>
        <v>0</v>
      </c>
      <c r="AL211" s="21">
        <f t="shared" si="391"/>
        <v>0</v>
      </c>
      <c r="AM211" s="21">
        <f t="shared" si="392"/>
        <v>1</v>
      </c>
      <c r="AN211" s="6">
        <f t="shared" si="393"/>
        <v>1</v>
      </c>
      <c r="AO211" s="5">
        <f t="shared" si="394"/>
        <v>1</v>
      </c>
      <c r="AP211" s="6">
        <f t="shared" si="395"/>
        <v>0</v>
      </c>
      <c r="AQ211" s="5">
        <f t="shared" si="396"/>
        <v>0</v>
      </c>
      <c r="AR211" s="2">
        <f t="shared" si="397"/>
        <v>0</v>
      </c>
      <c r="AS211" s="5">
        <f t="shared" si="398"/>
        <v>0</v>
      </c>
      <c r="AT211" s="21">
        <f t="shared" si="399"/>
        <v>0</v>
      </c>
      <c r="AU211" s="20">
        <f t="shared" si="400"/>
        <v>0</v>
      </c>
      <c r="AV211" s="20">
        <f t="shared" si="401"/>
        <v>1</v>
      </c>
      <c r="AW211" s="199">
        <f t="shared" si="402"/>
        <v>0</v>
      </c>
      <c r="AX211" s="24">
        <f t="shared" si="403"/>
        <v>0</v>
      </c>
      <c r="AY211" s="5">
        <f t="shared" si="404"/>
        <v>0</v>
      </c>
      <c r="AZ211" s="5">
        <f t="shared" si="405"/>
        <v>0</v>
      </c>
      <c r="BA211" s="5">
        <f t="shared" si="406"/>
        <v>0.16</v>
      </c>
      <c r="BB211" s="5">
        <f t="shared" si="407"/>
        <v>0.16</v>
      </c>
      <c r="BC211" s="5">
        <f t="shared" si="408"/>
        <v>0.16</v>
      </c>
      <c r="BD211" s="5">
        <f t="shared" si="409"/>
        <v>0.16</v>
      </c>
      <c r="BE211" s="199">
        <f t="shared" si="410"/>
        <v>0.16</v>
      </c>
      <c r="BF211" s="21">
        <f t="shared" si="411"/>
        <v>1</v>
      </c>
      <c r="BG211" s="6">
        <f t="shared" si="412"/>
        <v>0</v>
      </c>
      <c r="BH211" s="5">
        <f t="shared" si="413"/>
        <v>0</v>
      </c>
      <c r="BI211" s="6">
        <f t="shared" si="414"/>
        <v>0</v>
      </c>
      <c r="BJ211" s="5">
        <f t="shared" si="415"/>
        <v>0</v>
      </c>
      <c r="BK211" s="20">
        <f t="shared" si="416"/>
        <v>-9.9999999999999998E-13</v>
      </c>
      <c r="BL211" s="20">
        <f t="shared" si="417"/>
        <v>0</v>
      </c>
      <c r="BM211" s="6">
        <f t="shared" si="418"/>
        <v>0</v>
      </c>
      <c r="BN211" s="5">
        <f t="shared" si="419"/>
        <v>0</v>
      </c>
      <c r="BO211" s="333">
        <f t="shared" si="420"/>
        <v>0</v>
      </c>
      <c r="BP211" s="334">
        <f t="shared" si="421"/>
        <v>0</v>
      </c>
      <c r="BQ211" s="6">
        <f t="shared" si="422"/>
        <v>1</v>
      </c>
      <c r="BR211" s="5">
        <f t="shared" si="423"/>
        <v>1</v>
      </c>
      <c r="BS211" s="6">
        <f t="shared" si="424"/>
        <v>8</v>
      </c>
      <c r="BT211" s="5">
        <f t="shared" si="425"/>
        <v>8</v>
      </c>
      <c r="BU211" s="181">
        <f t="shared" si="426"/>
        <v>0</v>
      </c>
      <c r="BV211" s="154">
        <f t="shared" si="427"/>
        <v>0</v>
      </c>
      <c r="BW211" s="181">
        <f t="shared" si="428"/>
        <v>0</v>
      </c>
      <c r="BX211" s="180">
        <f t="shared" si="429"/>
        <v>0</v>
      </c>
      <c r="BY211" s="181">
        <f t="shared" si="430"/>
        <v>0</v>
      </c>
      <c r="BZ211" s="154">
        <f t="shared" si="431"/>
        <v>0</v>
      </c>
      <c r="CA211" s="182">
        <f t="shared" si="432"/>
        <v>0</v>
      </c>
      <c r="CB211" s="2">
        <f t="shared" si="433"/>
        <v>0</v>
      </c>
      <c r="CC211" s="2">
        <f t="shared" si="434"/>
        <v>0</v>
      </c>
      <c r="CD211" s="2">
        <f t="shared" si="435"/>
        <v>0</v>
      </c>
      <c r="CE211" s="2">
        <f t="shared" si="436"/>
        <v>0</v>
      </c>
      <c r="CF211" s="6">
        <f t="shared" si="437"/>
        <v>0</v>
      </c>
      <c r="CG211" s="6">
        <f t="shared" si="438"/>
        <v>35.64</v>
      </c>
      <c r="CH211" s="6">
        <f t="shared" si="439"/>
        <v>20</v>
      </c>
      <c r="CI211" s="20">
        <f t="shared" si="440"/>
        <v>0.5611672278338945</v>
      </c>
      <c r="CJ211" s="133">
        <f t="shared" si="441"/>
        <v>2521</v>
      </c>
      <c r="CK211" s="5">
        <f t="shared" si="442"/>
        <v>6.7</v>
      </c>
      <c r="CL211" s="302" t="s">
        <v>1235</v>
      </c>
      <c r="CM211" s="298" t="s">
        <v>13</v>
      </c>
      <c r="CN211" s="298" t="s">
        <v>1600</v>
      </c>
      <c r="CO211" s="298">
        <v>16</v>
      </c>
      <c r="CP211" s="298" t="s">
        <v>1601</v>
      </c>
      <c r="CQ211" s="298" t="s">
        <v>1131</v>
      </c>
      <c r="CR211" s="298" t="s">
        <v>644</v>
      </c>
      <c r="CS211" s="298" t="s">
        <v>1322</v>
      </c>
      <c r="CT211" s="298" t="s">
        <v>574</v>
      </c>
      <c r="CU211" s="299">
        <v>47118</v>
      </c>
      <c r="CV211" s="298">
        <v>0</v>
      </c>
      <c r="CW211" s="298">
        <v>90</v>
      </c>
      <c r="CX211" s="298">
        <v>0</v>
      </c>
      <c r="CY211" s="298">
        <v>0</v>
      </c>
      <c r="CZ211" s="298">
        <v>0</v>
      </c>
      <c r="DA211" s="298">
        <v>0</v>
      </c>
      <c r="DB211" s="298">
        <v>0</v>
      </c>
      <c r="DC211" s="298">
        <v>1</v>
      </c>
      <c r="DD211" s="298">
        <v>8</v>
      </c>
      <c r="DE211" s="298">
        <v>1</v>
      </c>
      <c r="DF211" s="298">
        <v>0</v>
      </c>
      <c r="DG211" s="298">
        <v>0</v>
      </c>
      <c r="DH211" s="298">
        <v>0</v>
      </c>
      <c r="DI211" s="298">
        <v>0</v>
      </c>
      <c r="DJ211" s="298">
        <v>0</v>
      </c>
      <c r="DK211" s="298">
        <v>0</v>
      </c>
      <c r="DL211" s="298">
        <v>23</v>
      </c>
      <c r="DM211" s="298">
        <v>20</v>
      </c>
      <c r="DN211" s="298" t="s">
        <v>1602</v>
      </c>
      <c r="DO211" s="298">
        <v>0</v>
      </c>
      <c r="DP211" s="298">
        <v>0</v>
      </c>
      <c r="DQ211" s="298">
        <v>0</v>
      </c>
      <c r="DR211" s="298">
        <v>0</v>
      </c>
      <c r="DS211" s="298">
        <v>0</v>
      </c>
      <c r="DT211" s="298">
        <v>0</v>
      </c>
      <c r="DU211" s="298">
        <v>0</v>
      </c>
      <c r="DV211" s="303">
        <v>6.7</v>
      </c>
    </row>
    <row r="212" spans="1:126" ht="24.95" customHeight="1" thickBot="1" x14ac:dyDescent="0.3">
      <c r="A212" s="29" t="str">
        <f t="shared" si="354"/>
        <v>211º</v>
      </c>
      <c r="B212" s="69" t="str">
        <f t="shared" si="356"/>
        <v>Leonardo</v>
      </c>
      <c r="C212" s="269" t="str">
        <f t="shared" si="357"/>
        <v>BRA</v>
      </c>
      <c r="D212" s="99" t="str">
        <f t="shared" si="358"/>
        <v>Pé Direito</v>
      </c>
      <c r="E212" s="28" t="str">
        <f t="shared" si="359"/>
        <v>AAA</v>
      </c>
      <c r="F212" s="169">
        <f t="shared" si="360"/>
        <v>16</v>
      </c>
      <c r="G212" s="2" t="str">
        <f t="shared" si="361"/>
        <v>0 €</v>
      </c>
      <c r="H212" s="154">
        <f t="shared" si="362"/>
        <v>1.83</v>
      </c>
      <c r="I212" s="64">
        <f t="shared" si="363"/>
        <v>47118</v>
      </c>
      <c r="J212" s="304" t="str">
        <f t="shared" si="364"/>
        <v>525 € p/m</v>
      </c>
      <c r="K212" s="96">
        <f t="shared" si="355"/>
        <v>3.5222222222222221</v>
      </c>
      <c r="L212" s="146">
        <f t="shared" si="365"/>
        <v>1</v>
      </c>
      <c r="M212" s="6">
        <f t="shared" si="366"/>
        <v>0</v>
      </c>
      <c r="N212" s="5">
        <f t="shared" si="367"/>
        <v>5400</v>
      </c>
      <c r="O212" s="21">
        <f t="shared" si="368"/>
        <v>0</v>
      </c>
      <c r="P212" s="2">
        <f t="shared" si="369"/>
        <v>30</v>
      </c>
      <c r="Q212" s="2">
        <f t="shared" si="370"/>
        <v>16</v>
      </c>
      <c r="R212" s="5">
        <f t="shared" si="371"/>
        <v>16</v>
      </c>
      <c r="S212" s="2">
        <f t="shared" si="372"/>
        <v>14</v>
      </c>
      <c r="T212" s="2">
        <f t="shared" si="373"/>
        <v>2</v>
      </c>
      <c r="U212" s="102">
        <f t="shared" si="374"/>
        <v>0.46666666666666667</v>
      </c>
      <c r="V212" s="102">
        <f t="shared" si="375"/>
        <v>0.53333333333333333</v>
      </c>
      <c r="W212" s="6">
        <f t="shared" si="376"/>
        <v>30</v>
      </c>
      <c r="X212" s="5">
        <f t="shared" si="377"/>
        <v>30</v>
      </c>
      <c r="Y212" s="6">
        <f t="shared" si="378"/>
        <v>0</v>
      </c>
      <c r="Z212" s="5">
        <f t="shared" si="379"/>
        <v>0</v>
      </c>
      <c r="AA212" s="21">
        <f t="shared" si="380"/>
        <v>0</v>
      </c>
      <c r="AB212" s="6">
        <f t="shared" si="381"/>
        <v>0</v>
      </c>
      <c r="AC212" s="5">
        <f t="shared" si="382"/>
        <v>0</v>
      </c>
      <c r="AD212" s="6">
        <f t="shared" si="383"/>
        <v>0</v>
      </c>
      <c r="AE212" s="5">
        <f t="shared" si="384"/>
        <v>0</v>
      </c>
      <c r="AF212" s="21">
        <f t="shared" si="385"/>
        <v>0</v>
      </c>
      <c r="AG212" s="6">
        <f t="shared" si="386"/>
        <v>0</v>
      </c>
      <c r="AH212" s="5">
        <f t="shared" si="387"/>
        <v>0</v>
      </c>
      <c r="AI212" s="21">
        <f t="shared" si="388"/>
        <v>0</v>
      </c>
      <c r="AJ212" s="6">
        <f t="shared" si="389"/>
        <v>0</v>
      </c>
      <c r="AK212" s="5">
        <f t="shared" si="390"/>
        <v>0</v>
      </c>
      <c r="AL212" s="21">
        <f t="shared" si="391"/>
        <v>0</v>
      </c>
      <c r="AM212" s="21">
        <f t="shared" si="392"/>
        <v>0</v>
      </c>
      <c r="AN212" s="6">
        <f t="shared" si="393"/>
        <v>0</v>
      </c>
      <c r="AO212" s="5">
        <f t="shared" si="394"/>
        <v>0</v>
      </c>
      <c r="AP212" s="6">
        <f t="shared" si="395"/>
        <v>0</v>
      </c>
      <c r="AQ212" s="5">
        <f t="shared" si="396"/>
        <v>0</v>
      </c>
      <c r="AR212" s="2">
        <f t="shared" si="397"/>
        <v>1</v>
      </c>
      <c r="AS212" s="5">
        <f t="shared" si="398"/>
        <v>1</v>
      </c>
      <c r="AT212" s="21">
        <f t="shared" si="399"/>
        <v>0</v>
      </c>
      <c r="AU212" s="20">
        <f t="shared" si="400"/>
        <v>0</v>
      </c>
      <c r="AV212" s="20">
        <f t="shared" si="401"/>
        <v>1</v>
      </c>
      <c r="AW212" s="199">
        <f t="shared" si="402"/>
        <v>0</v>
      </c>
      <c r="AX212" s="24">
        <f t="shared" si="403"/>
        <v>90</v>
      </c>
      <c r="AY212" s="5">
        <f t="shared" si="404"/>
        <v>1</v>
      </c>
      <c r="AZ212" s="5">
        <f t="shared" si="405"/>
        <v>1</v>
      </c>
      <c r="BA212" s="5">
        <f t="shared" si="406"/>
        <v>-0.64</v>
      </c>
      <c r="BB212" s="5">
        <f t="shared" si="407"/>
        <v>-0.64</v>
      </c>
      <c r="BC212" s="5">
        <f t="shared" si="408"/>
        <v>-0.64</v>
      </c>
      <c r="BD212" s="5">
        <f t="shared" si="409"/>
        <v>-0.64</v>
      </c>
      <c r="BE212" s="199">
        <f t="shared" si="410"/>
        <v>-0.64</v>
      </c>
      <c r="BF212" s="21">
        <f t="shared" si="411"/>
        <v>-1.7777777777777779</v>
      </c>
      <c r="BG212" s="6">
        <f t="shared" si="412"/>
        <v>1</v>
      </c>
      <c r="BH212" s="5">
        <f t="shared" si="413"/>
        <v>1</v>
      </c>
      <c r="BI212" s="6">
        <f t="shared" si="414"/>
        <v>0</v>
      </c>
      <c r="BJ212" s="5">
        <f t="shared" si="415"/>
        <v>0</v>
      </c>
      <c r="BK212" s="20">
        <f t="shared" si="416"/>
        <v>0</v>
      </c>
      <c r="BL212" s="20">
        <f t="shared" si="417"/>
        <v>6.7430883344571813E-4</v>
      </c>
      <c r="BM212" s="6">
        <f t="shared" si="418"/>
        <v>1</v>
      </c>
      <c r="BN212" s="5">
        <f t="shared" si="419"/>
        <v>1</v>
      </c>
      <c r="BO212" s="333">
        <f t="shared" si="420"/>
        <v>0</v>
      </c>
      <c r="BP212" s="334">
        <f t="shared" si="421"/>
        <v>0</v>
      </c>
      <c r="BQ212" s="6">
        <f t="shared" si="422"/>
        <v>0</v>
      </c>
      <c r="BR212" s="5">
        <f t="shared" si="423"/>
        <v>0</v>
      </c>
      <c r="BS212" s="6">
        <f t="shared" si="424"/>
        <v>8</v>
      </c>
      <c r="BT212" s="5">
        <f t="shared" si="425"/>
        <v>8</v>
      </c>
      <c r="BU212" s="181">
        <f t="shared" si="426"/>
        <v>1</v>
      </c>
      <c r="BV212" s="154">
        <f t="shared" si="427"/>
        <v>1</v>
      </c>
      <c r="BW212" s="181">
        <f t="shared" si="428"/>
        <v>0</v>
      </c>
      <c r="BX212" s="180">
        <f t="shared" si="429"/>
        <v>0</v>
      </c>
      <c r="BY212" s="181">
        <f t="shared" si="430"/>
        <v>1</v>
      </c>
      <c r="BZ212" s="154">
        <f t="shared" si="431"/>
        <v>1</v>
      </c>
      <c r="CA212" s="182">
        <f t="shared" si="432"/>
        <v>0</v>
      </c>
      <c r="CB212" s="2">
        <f t="shared" si="433"/>
        <v>0</v>
      </c>
      <c r="CC212" s="2">
        <f t="shared" si="434"/>
        <v>0</v>
      </c>
      <c r="CD212" s="2">
        <f t="shared" si="435"/>
        <v>0</v>
      </c>
      <c r="CE212" s="2">
        <f t="shared" si="436"/>
        <v>2</v>
      </c>
      <c r="CF212" s="6">
        <f t="shared" si="437"/>
        <v>0</v>
      </c>
      <c r="CG212" s="6">
        <f t="shared" si="438"/>
        <v>43.64</v>
      </c>
      <c r="CH212" s="6">
        <f t="shared" si="439"/>
        <v>16</v>
      </c>
      <c r="CI212" s="20">
        <f t="shared" si="440"/>
        <v>0.36663611365719523</v>
      </c>
      <c r="CJ212" s="133">
        <f t="shared" si="441"/>
        <v>2521</v>
      </c>
      <c r="CK212" s="5">
        <f t="shared" si="442"/>
        <v>6.8</v>
      </c>
      <c r="CL212" s="300" t="s">
        <v>1235</v>
      </c>
      <c r="CM212" s="296" t="s">
        <v>13</v>
      </c>
      <c r="CN212" s="296" t="s">
        <v>1603</v>
      </c>
      <c r="CO212" s="296">
        <v>16</v>
      </c>
      <c r="CP212" s="296" t="s">
        <v>1604</v>
      </c>
      <c r="CQ212" s="296" t="s">
        <v>1131</v>
      </c>
      <c r="CR212" s="296" t="s">
        <v>644</v>
      </c>
      <c r="CS212" s="296" t="s">
        <v>1322</v>
      </c>
      <c r="CT212" s="296" t="s">
        <v>586</v>
      </c>
      <c r="CU212" s="297">
        <v>47118</v>
      </c>
      <c r="CV212" s="296">
        <v>0</v>
      </c>
      <c r="CW212" s="296">
        <v>90</v>
      </c>
      <c r="CX212" s="296">
        <v>1</v>
      </c>
      <c r="CY212" s="296">
        <v>0</v>
      </c>
      <c r="CZ212" s="296">
        <v>0</v>
      </c>
      <c r="DA212" s="296">
        <v>0</v>
      </c>
      <c r="DB212" s="296">
        <v>0</v>
      </c>
      <c r="DC212" s="296">
        <v>0</v>
      </c>
      <c r="DD212" s="296">
        <v>8</v>
      </c>
      <c r="DE212" s="296">
        <v>0</v>
      </c>
      <c r="DF212" s="296">
        <v>0</v>
      </c>
      <c r="DG212" s="296">
        <v>0</v>
      </c>
      <c r="DH212" s="296">
        <v>0</v>
      </c>
      <c r="DI212" s="296">
        <v>2</v>
      </c>
      <c r="DJ212" s="296">
        <v>0</v>
      </c>
      <c r="DK212" s="296">
        <v>0</v>
      </c>
      <c r="DL212" s="296">
        <v>30</v>
      </c>
      <c r="DM212" s="296">
        <v>16</v>
      </c>
      <c r="DN212" s="296" t="s">
        <v>1605</v>
      </c>
      <c r="DO212" s="296">
        <v>0</v>
      </c>
      <c r="DP212" s="296">
        <v>0</v>
      </c>
      <c r="DQ212" s="296">
        <v>1</v>
      </c>
      <c r="DR212" s="296">
        <v>0</v>
      </c>
      <c r="DS212" s="296">
        <v>0</v>
      </c>
      <c r="DT212" s="296">
        <v>1</v>
      </c>
      <c r="DU212" s="296">
        <v>0</v>
      </c>
      <c r="DV212" s="301">
        <v>6.8</v>
      </c>
    </row>
    <row r="213" spans="1:126" ht="24.95" customHeight="1" thickBot="1" x14ac:dyDescent="0.3">
      <c r="A213" s="29" t="str">
        <f t="shared" si="354"/>
        <v>212º</v>
      </c>
      <c r="B213" s="69" t="str">
        <f t="shared" si="356"/>
        <v>Enzo Menga</v>
      </c>
      <c r="C213" s="269" t="str">
        <f t="shared" si="357"/>
        <v>BRA</v>
      </c>
      <c r="D213" s="99" t="str">
        <f t="shared" si="358"/>
        <v>Pé Direito</v>
      </c>
      <c r="E213" s="28" t="str">
        <f t="shared" si="359"/>
        <v>ARA</v>
      </c>
      <c r="F213" s="169">
        <f t="shared" si="360"/>
        <v>17</v>
      </c>
      <c r="G213" s="2" t="str">
        <f t="shared" si="361"/>
        <v>0 €</v>
      </c>
      <c r="H213" s="154">
        <f t="shared" si="362"/>
        <v>1.86</v>
      </c>
      <c r="I213" s="64">
        <f t="shared" si="363"/>
        <v>47118</v>
      </c>
      <c r="J213" s="304" t="str">
        <f t="shared" si="364"/>
        <v>525 € p/m</v>
      </c>
      <c r="K213" s="96">
        <f t="shared" si="355"/>
        <v>3.5222222222222221</v>
      </c>
      <c r="L213" s="146">
        <f t="shared" si="365"/>
        <v>0</v>
      </c>
      <c r="M213" s="6">
        <f t="shared" si="366"/>
        <v>0</v>
      </c>
      <c r="N213" s="5">
        <f t="shared" si="367"/>
        <v>5400</v>
      </c>
      <c r="O213" s="21">
        <f t="shared" si="368"/>
        <v>0</v>
      </c>
      <c r="P213" s="2">
        <f t="shared" si="369"/>
        <v>0</v>
      </c>
      <c r="Q213" s="2">
        <f t="shared" si="370"/>
        <v>0</v>
      </c>
      <c r="R213" s="5">
        <f t="shared" si="371"/>
        <v>0</v>
      </c>
      <c r="S213" s="2">
        <f t="shared" si="372"/>
        <v>0</v>
      </c>
      <c r="T213" s="2">
        <f t="shared" si="373"/>
        <v>0</v>
      </c>
      <c r="U213" s="102">
        <f t="shared" si="374"/>
        <v>0</v>
      </c>
      <c r="V213" s="102">
        <f t="shared" si="375"/>
        <v>0</v>
      </c>
      <c r="W213" s="6">
        <f t="shared" si="376"/>
        <v>0</v>
      </c>
      <c r="X213" s="5">
        <f t="shared" si="377"/>
        <v>0</v>
      </c>
      <c r="Y213" s="6">
        <f t="shared" si="378"/>
        <v>0</v>
      </c>
      <c r="Z213" s="5" t="e">
        <f t="shared" si="379"/>
        <v>#DIV/0!</v>
      </c>
      <c r="AA213" s="21">
        <f t="shared" si="380"/>
        <v>0</v>
      </c>
      <c r="AB213" s="6">
        <f t="shared" si="381"/>
        <v>0</v>
      </c>
      <c r="AC213" s="5" t="e">
        <f t="shared" si="382"/>
        <v>#DIV/0!</v>
      </c>
      <c r="AD213" s="6">
        <f t="shared" si="383"/>
        <v>0</v>
      </c>
      <c r="AE213" s="5">
        <f t="shared" si="384"/>
        <v>0</v>
      </c>
      <c r="AF213" s="21">
        <f t="shared" si="385"/>
        <v>0</v>
      </c>
      <c r="AG213" s="6">
        <f t="shared" si="386"/>
        <v>0</v>
      </c>
      <c r="AH213" s="5">
        <f t="shared" si="387"/>
        <v>0</v>
      </c>
      <c r="AI213" s="21">
        <f t="shared" si="388"/>
        <v>0</v>
      </c>
      <c r="AJ213" s="6">
        <f t="shared" si="389"/>
        <v>0</v>
      </c>
      <c r="AK213" s="5">
        <f t="shared" si="390"/>
        <v>0</v>
      </c>
      <c r="AL213" s="21">
        <f t="shared" si="391"/>
        <v>0</v>
      </c>
      <c r="AM213" s="21">
        <f t="shared" si="392"/>
        <v>0</v>
      </c>
      <c r="AN213" s="6">
        <f t="shared" si="393"/>
        <v>0</v>
      </c>
      <c r="AO213" s="5">
        <f t="shared" si="394"/>
        <v>0</v>
      </c>
      <c r="AP213" s="6">
        <f t="shared" si="395"/>
        <v>0</v>
      </c>
      <c r="AQ213" s="5">
        <f t="shared" si="396"/>
        <v>0</v>
      </c>
      <c r="AR213" s="2">
        <f t="shared" si="397"/>
        <v>0</v>
      </c>
      <c r="AS213" s="5">
        <f t="shared" si="398"/>
        <v>0</v>
      </c>
      <c r="AT213" s="21">
        <f t="shared" si="399"/>
        <v>0</v>
      </c>
      <c r="AU213" s="20">
        <f t="shared" si="400"/>
        <v>0</v>
      </c>
      <c r="AV213" s="20">
        <f t="shared" si="401"/>
        <v>1</v>
      </c>
      <c r="AW213" s="199">
        <f t="shared" si="402"/>
        <v>0</v>
      </c>
      <c r="AX213" s="24">
        <f t="shared" si="403"/>
        <v>0</v>
      </c>
      <c r="AY213" s="5">
        <f t="shared" si="404"/>
        <v>0</v>
      </c>
      <c r="AZ213" s="5">
        <f t="shared" si="405"/>
        <v>0</v>
      </c>
      <c r="BA213" s="5">
        <f t="shared" si="406"/>
        <v>0</v>
      </c>
      <c r="BB213" s="5">
        <f t="shared" si="407"/>
        <v>0</v>
      </c>
      <c r="BC213" s="5">
        <f t="shared" si="408"/>
        <v>0</v>
      </c>
      <c r="BD213" s="5">
        <f t="shared" si="409"/>
        <v>0</v>
      </c>
      <c r="BE213" s="199">
        <f t="shared" si="410"/>
        <v>0</v>
      </c>
      <c r="BF213" s="21">
        <f t="shared" si="411"/>
        <v>0</v>
      </c>
      <c r="BG213" s="6">
        <f t="shared" si="412"/>
        <v>0</v>
      </c>
      <c r="BH213" s="5" t="e">
        <f t="shared" si="413"/>
        <v>#DIV/0!</v>
      </c>
      <c r="BI213" s="6">
        <f t="shared" si="414"/>
        <v>0</v>
      </c>
      <c r="BJ213" s="5" t="e">
        <f t="shared" si="415"/>
        <v>#DIV/0!</v>
      </c>
      <c r="BK213" s="20">
        <f t="shared" si="416"/>
        <v>-9.9999999999999998E-13</v>
      </c>
      <c r="BL213" s="20">
        <f t="shared" si="417"/>
        <v>0</v>
      </c>
      <c r="BM213" s="6">
        <f t="shared" si="418"/>
        <v>0</v>
      </c>
      <c r="BN213" s="5">
        <f t="shared" si="419"/>
        <v>0</v>
      </c>
      <c r="BO213" s="333">
        <f t="shared" si="420"/>
        <v>0</v>
      </c>
      <c r="BP213" s="334">
        <f t="shared" si="421"/>
        <v>0</v>
      </c>
      <c r="BQ213" s="6">
        <f t="shared" si="422"/>
        <v>0</v>
      </c>
      <c r="BR213" s="5">
        <f t="shared" si="423"/>
        <v>0</v>
      </c>
      <c r="BS213" s="6">
        <f t="shared" si="424"/>
        <v>0</v>
      </c>
      <c r="BT213" s="5">
        <f t="shared" si="425"/>
        <v>0</v>
      </c>
      <c r="BU213" s="181">
        <f t="shared" si="426"/>
        <v>0</v>
      </c>
      <c r="BV213" s="154">
        <f t="shared" si="427"/>
        <v>0</v>
      </c>
      <c r="BW213" s="181">
        <f t="shared" si="428"/>
        <v>0</v>
      </c>
      <c r="BX213" s="180">
        <f t="shared" si="429"/>
        <v>0</v>
      </c>
      <c r="BY213" s="181">
        <f t="shared" si="430"/>
        <v>0</v>
      </c>
      <c r="BZ213" s="154">
        <f t="shared" si="431"/>
        <v>0</v>
      </c>
      <c r="CA213" s="182">
        <f t="shared" si="432"/>
        <v>0</v>
      </c>
      <c r="CB213" s="2">
        <f t="shared" si="433"/>
        <v>0</v>
      </c>
      <c r="CC213" s="2">
        <f t="shared" si="434"/>
        <v>0</v>
      </c>
      <c r="CD213" s="2">
        <f t="shared" si="435"/>
        <v>0</v>
      </c>
      <c r="CE213" s="2">
        <f t="shared" si="436"/>
        <v>0</v>
      </c>
      <c r="CF213" s="6">
        <f t="shared" si="437"/>
        <v>0</v>
      </c>
      <c r="CG213" s="6">
        <f t="shared" si="438"/>
        <v>0</v>
      </c>
      <c r="CH213" s="6">
        <f t="shared" si="439"/>
        <v>0</v>
      </c>
      <c r="CI213" s="20">
        <f t="shared" si="440"/>
        <v>0</v>
      </c>
      <c r="CJ213" s="133">
        <f t="shared" si="441"/>
        <v>2521</v>
      </c>
      <c r="CK213" s="5">
        <f t="shared" si="442"/>
        <v>0</v>
      </c>
      <c r="CL213" s="302" t="s">
        <v>1235</v>
      </c>
      <c r="CM213" s="298" t="s">
        <v>13</v>
      </c>
      <c r="CN213" s="298" t="s">
        <v>1606</v>
      </c>
      <c r="CO213" s="298">
        <v>17</v>
      </c>
      <c r="CP213" s="298" t="s">
        <v>1607</v>
      </c>
      <c r="CQ213" s="298" t="s">
        <v>1131</v>
      </c>
      <c r="CR213" s="298" t="s">
        <v>644</v>
      </c>
      <c r="CS213" s="298" t="s">
        <v>1322</v>
      </c>
      <c r="CT213" s="298" t="s">
        <v>575</v>
      </c>
      <c r="CU213" s="299">
        <v>47118</v>
      </c>
      <c r="CV213" s="298">
        <v>0</v>
      </c>
      <c r="CW213" s="298">
        <v>0</v>
      </c>
      <c r="CX213" s="298">
        <v>0</v>
      </c>
      <c r="CY213" s="298">
        <v>0</v>
      </c>
      <c r="CZ213" s="298">
        <v>0</v>
      </c>
      <c r="DA213" s="298">
        <v>0</v>
      </c>
      <c r="DB213" s="298">
        <v>0</v>
      </c>
      <c r="DC213" s="298">
        <v>0</v>
      </c>
      <c r="DD213" s="298">
        <v>0</v>
      </c>
      <c r="DE213" s="298">
        <v>0</v>
      </c>
      <c r="DF213" s="298">
        <v>0</v>
      </c>
      <c r="DG213" s="298">
        <v>0</v>
      </c>
      <c r="DH213" s="298">
        <v>0</v>
      </c>
      <c r="DI213" s="298">
        <v>0</v>
      </c>
      <c r="DJ213" s="298">
        <v>0</v>
      </c>
      <c r="DK213" s="298">
        <v>0</v>
      </c>
      <c r="DL213" s="298">
        <v>0</v>
      </c>
      <c r="DM213" s="298">
        <v>0</v>
      </c>
      <c r="DN213" s="298">
        <v>0</v>
      </c>
      <c r="DO213" s="298">
        <v>0</v>
      </c>
      <c r="DP213" s="298">
        <v>0</v>
      </c>
      <c r="DQ213" s="298">
        <v>0</v>
      </c>
      <c r="DR213" s="298">
        <v>0</v>
      </c>
      <c r="DS213" s="298">
        <v>0</v>
      </c>
      <c r="DT213" s="298">
        <v>0</v>
      </c>
      <c r="DU213" s="298">
        <v>0</v>
      </c>
      <c r="DV213" s="303" t="s">
        <v>548</v>
      </c>
    </row>
    <row r="214" spans="1:126" ht="24.95" customHeight="1" thickBot="1" x14ac:dyDescent="0.3">
      <c r="A214" s="29" t="str">
        <f t="shared" si="354"/>
        <v>213º</v>
      </c>
      <c r="B214" s="69" t="str">
        <f t="shared" si="356"/>
        <v>João Pedro</v>
      </c>
      <c r="C214" s="269" t="str">
        <f t="shared" si="357"/>
        <v>BRA</v>
      </c>
      <c r="D214" s="99" t="str">
        <f t="shared" si="358"/>
        <v>Pé Esquerdo</v>
      </c>
      <c r="E214" s="28" t="str">
        <f t="shared" si="359"/>
        <v>Sergipe</v>
      </c>
      <c r="F214" s="169">
        <f t="shared" si="360"/>
        <v>17</v>
      </c>
      <c r="G214" s="2" t="str">
        <f t="shared" si="361"/>
        <v>0 €</v>
      </c>
      <c r="H214" s="154">
        <f t="shared" si="362"/>
        <v>1.95</v>
      </c>
      <c r="I214" s="64">
        <f t="shared" si="363"/>
        <v>47118</v>
      </c>
      <c r="J214" s="304" t="str">
        <f t="shared" si="364"/>
        <v>525 € p/m</v>
      </c>
      <c r="K214" s="96">
        <f t="shared" si="355"/>
        <v>3.5222222222222221</v>
      </c>
      <c r="L214" s="146">
        <f t="shared" si="365"/>
        <v>1</v>
      </c>
      <c r="M214" s="6">
        <f t="shared" si="366"/>
        <v>0</v>
      </c>
      <c r="N214" s="5">
        <f t="shared" si="367"/>
        <v>5400</v>
      </c>
      <c r="O214" s="21">
        <f t="shared" si="368"/>
        <v>0</v>
      </c>
      <c r="P214" s="2">
        <f t="shared" si="369"/>
        <v>28</v>
      </c>
      <c r="Q214" s="2">
        <f t="shared" si="370"/>
        <v>8</v>
      </c>
      <c r="R214" s="5">
        <f t="shared" si="371"/>
        <v>8</v>
      </c>
      <c r="S214" s="2">
        <f t="shared" si="372"/>
        <v>20</v>
      </c>
      <c r="T214" s="2">
        <f t="shared" si="373"/>
        <v>-12</v>
      </c>
      <c r="U214" s="102">
        <f t="shared" si="374"/>
        <v>0.7142857142857143</v>
      </c>
      <c r="V214" s="102">
        <f t="shared" si="375"/>
        <v>0.2857142857142857</v>
      </c>
      <c r="W214" s="6">
        <f t="shared" si="376"/>
        <v>28</v>
      </c>
      <c r="X214" s="5">
        <f t="shared" si="377"/>
        <v>28</v>
      </c>
      <c r="Y214" s="6">
        <f t="shared" si="378"/>
        <v>0</v>
      </c>
      <c r="Z214" s="5">
        <f t="shared" si="379"/>
        <v>0</v>
      </c>
      <c r="AA214" s="21">
        <f t="shared" si="380"/>
        <v>0</v>
      </c>
      <c r="AB214" s="6">
        <f t="shared" si="381"/>
        <v>0</v>
      </c>
      <c r="AC214" s="5">
        <f t="shared" si="382"/>
        <v>0</v>
      </c>
      <c r="AD214" s="6">
        <f t="shared" si="383"/>
        <v>0</v>
      </c>
      <c r="AE214" s="5">
        <f t="shared" si="384"/>
        <v>0</v>
      </c>
      <c r="AF214" s="21">
        <f t="shared" si="385"/>
        <v>0</v>
      </c>
      <c r="AG214" s="6">
        <f t="shared" si="386"/>
        <v>0</v>
      </c>
      <c r="AH214" s="5">
        <f t="shared" si="387"/>
        <v>0</v>
      </c>
      <c r="AI214" s="21">
        <f t="shared" si="388"/>
        <v>0</v>
      </c>
      <c r="AJ214" s="6">
        <f t="shared" si="389"/>
        <v>1</v>
      </c>
      <c r="AK214" s="5">
        <f t="shared" si="390"/>
        <v>0.125</v>
      </c>
      <c r="AL214" s="21">
        <f t="shared" si="391"/>
        <v>1</v>
      </c>
      <c r="AM214" s="21">
        <f t="shared" si="392"/>
        <v>1</v>
      </c>
      <c r="AN214" s="6">
        <f t="shared" si="393"/>
        <v>1</v>
      </c>
      <c r="AO214" s="5">
        <f t="shared" si="394"/>
        <v>1</v>
      </c>
      <c r="AP214" s="6">
        <f t="shared" si="395"/>
        <v>1</v>
      </c>
      <c r="AQ214" s="5">
        <f t="shared" si="396"/>
        <v>1</v>
      </c>
      <c r="AR214" s="2">
        <f t="shared" si="397"/>
        <v>1</v>
      </c>
      <c r="AS214" s="5">
        <f t="shared" si="398"/>
        <v>1</v>
      </c>
      <c r="AT214" s="21">
        <f t="shared" si="399"/>
        <v>1</v>
      </c>
      <c r="AU214" s="20">
        <f t="shared" si="400"/>
        <v>1</v>
      </c>
      <c r="AV214" s="20">
        <f t="shared" si="401"/>
        <v>0</v>
      </c>
      <c r="AW214" s="199">
        <f t="shared" si="402"/>
        <v>1.5</v>
      </c>
      <c r="AX214" s="24">
        <f t="shared" si="403"/>
        <v>0</v>
      </c>
      <c r="AY214" s="5">
        <f t="shared" si="404"/>
        <v>0</v>
      </c>
      <c r="AZ214" s="5">
        <f t="shared" si="405"/>
        <v>0</v>
      </c>
      <c r="BA214" s="5">
        <f t="shared" si="406"/>
        <v>1.59</v>
      </c>
      <c r="BB214" s="5">
        <f t="shared" si="407"/>
        <v>1.59</v>
      </c>
      <c r="BC214" s="5">
        <f t="shared" si="408"/>
        <v>1.59</v>
      </c>
      <c r="BD214" s="5">
        <f t="shared" si="409"/>
        <v>1.59</v>
      </c>
      <c r="BE214" s="199">
        <f t="shared" si="410"/>
        <v>1.59</v>
      </c>
      <c r="BF214" s="21">
        <f t="shared" si="411"/>
        <v>1</v>
      </c>
      <c r="BG214" s="6">
        <f t="shared" si="412"/>
        <v>0</v>
      </c>
      <c r="BH214" s="5">
        <f t="shared" si="413"/>
        <v>0</v>
      </c>
      <c r="BI214" s="6">
        <f t="shared" si="414"/>
        <v>0</v>
      </c>
      <c r="BJ214" s="5">
        <f t="shared" si="415"/>
        <v>0</v>
      </c>
      <c r="BK214" s="20">
        <f t="shared" si="416"/>
        <v>-9.9999999999999998E-13</v>
      </c>
      <c r="BL214" s="20">
        <f t="shared" si="417"/>
        <v>0</v>
      </c>
      <c r="BM214" s="6">
        <f t="shared" si="418"/>
        <v>0</v>
      </c>
      <c r="BN214" s="5">
        <f t="shared" si="419"/>
        <v>0</v>
      </c>
      <c r="BO214" s="333">
        <f t="shared" si="420"/>
        <v>0</v>
      </c>
      <c r="BP214" s="334">
        <f t="shared" si="421"/>
        <v>0</v>
      </c>
      <c r="BQ214" s="6">
        <f t="shared" si="422"/>
        <v>2</v>
      </c>
      <c r="BR214" s="5">
        <f t="shared" si="423"/>
        <v>2</v>
      </c>
      <c r="BS214" s="6">
        <f t="shared" si="424"/>
        <v>6</v>
      </c>
      <c r="BT214" s="5">
        <f t="shared" si="425"/>
        <v>6</v>
      </c>
      <c r="BU214" s="181">
        <f t="shared" si="426"/>
        <v>0</v>
      </c>
      <c r="BV214" s="154">
        <f t="shared" si="427"/>
        <v>0</v>
      </c>
      <c r="BW214" s="181">
        <f t="shared" si="428"/>
        <v>0</v>
      </c>
      <c r="BX214" s="180">
        <f t="shared" si="429"/>
        <v>0</v>
      </c>
      <c r="BY214" s="181">
        <f t="shared" si="430"/>
        <v>0</v>
      </c>
      <c r="BZ214" s="154">
        <f t="shared" si="431"/>
        <v>0</v>
      </c>
      <c r="CA214" s="182">
        <f t="shared" si="432"/>
        <v>0</v>
      </c>
      <c r="CB214" s="2">
        <f t="shared" si="433"/>
        <v>0</v>
      </c>
      <c r="CC214" s="2">
        <f t="shared" si="434"/>
        <v>0</v>
      </c>
      <c r="CD214" s="2">
        <f t="shared" si="435"/>
        <v>0</v>
      </c>
      <c r="CE214" s="2">
        <f t="shared" si="436"/>
        <v>0</v>
      </c>
      <c r="CF214" s="6">
        <f t="shared" si="437"/>
        <v>0</v>
      </c>
      <c r="CG214" s="6">
        <f t="shared" si="438"/>
        <v>38.980000000000004</v>
      </c>
      <c r="CH214" s="6">
        <f t="shared" si="439"/>
        <v>9</v>
      </c>
      <c r="CI214" s="20">
        <f t="shared" si="440"/>
        <v>0.23088763468445353</v>
      </c>
      <c r="CJ214" s="133">
        <f t="shared" si="441"/>
        <v>2521</v>
      </c>
      <c r="CK214" s="5">
        <f t="shared" si="442"/>
        <v>7.4</v>
      </c>
      <c r="CL214" s="300" t="s">
        <v>1235</v>
      </c>
      <c r="CM214" s="296" t="s">
        <v>13</v>
      </c>
      <c r="CN214" s="296" t="s">
        <v>1608</v>
      </c>
      <c r="CO214" s="296">
        <v>17</v>
      </c>
      <c r="CP214" s="296" t="s">
        <v>585</v>
      </c>
      <c r="CQ214" s="296" t="s">
        <v>1131</v>
      </c>
      <c r="CR214" s="296" t="s">
        <v>652</v>
      </c>
      <c r="CS214" s="296" t="s">
        <v>1322</v>
      </c>
      <c r="CT214" s="296" t="s">
        <v>680</v>
      </c>
      <c r="CU214" s="297">
        <v>47118</v>
      </c>
      <c r="CV214" s="296">
        <v>0</v>
      </c>
      <c r="CW214" s="296">
        <v>90</v>
      </c>
      <c r="CX214" s="296">
        <v>0</v>
      </c>
      <c r="CY214" s="296">
        <v>0</v>
      </c>
      <c r="CZ214" s="296">
        <v>0</v>
      </c>
      <c r="DA214" s="296">
        <v>1</v>
      </c>
      <c r="DB214" s="296">
        <v>0</v>
      </c>
      <c r="DC214" s="296">
        <v>2</v>
      </c>
      <c r="DD214" s="296">
        <v>6</v>
      </c>
      <c r="DE214" s="296">
        <v>1</v>
      </c>
      <c r="DF214" s="296">
        <v>0</v>
      </c>
      <c r="DG214" s="296">
        <v>0</v>
      </c>
      <c r="DH214" s="296">
        <v>0</v>
      </c>
      <c r="DI214" s="296">
        <v>0</v>
      </c>
      <c r="DJ214" s="296">
        <v>0</v>
      </c>
      <c r="DK214" s="296">
        <v>0</v>
      </c>
      <c r="DL214" s="296">
        <v>28</v>
      </c>
      <c r="DM214" s="296">
        <v>8</v>
      </c>
      <c r="DN214" s="296" t="s">
        <v>1609</v>
      </c>
      <c r="DO214" s="296">
        <v>0</v>
      </c>
      <c r="DP214" s="296">
        <v>0</v>
      </c>
      <c r="DQ214" s="296">
        <v>0</v>
      </c>
      <c r="DR214" s="296">
        <v>0</v>
      </c>
      <c r="DS214" s="296">
        <v>0</v>
      </c>
      <c r="DT214" s="296">
        <v>0</v>
      </c>
      <c r="DU214" s="296">
        <v>0</v>
      </c>
      <c r="DV214" s="301">
        <v>7.4</v>
      </c>
    </row>
    <row r="215" spans="1:126" ht="24.95" customHeight="1" thickBot="1" x14ac:dyDescent="0.3">
      <c r="A215" s="29" t="str">
        <f t="shared" si="354"/>
        <v>214º</v>
      </c>
      <c r="B215" s="69" t="str">
        <f t="shared" si="356"/>
        <v>Lucas Felipe</v>
      </c>
      <c r="C215" s="269" t="str">
        <f t="shared" si="357"/>
        <v>BRA</v>
      </c>
      <c r="D215" s="99" t="str">
        <f t="shared" si="358"/>
        <v>Pé Direito</v>
      </c>
      <c r="E215" s="28" t="str">
        <f t="shared" si="359"/>
        <v>Pelotas</v>
      </c>
      <c r="F215" s="169">
        <f t="shared" si="360"/>
        <v>17</v>
      </c>
      <c r="G215" s="2" t="str">
        <f t="shared" si="361"/>
        <v>0 €</v>
      </c>
      <c r="H215" s="154">
        <f t="shared" si="362"/>
        <v>1.85</v>
      </c>
      <c r="I215" s="64">
        <f t="shared" si="363"/>
        <v>47118</v>
      </c>
      <c r="J215" s="304" t="str">
        <f t="shared" si="364"/>
        <v>525 € p/m</v>
      </c>
      <c r="K215" s="96">
        <f t="shared" si="355"/>
        <v>3.5222222222222221</v>
      </c>
      <c r="L215" s="146">
        <f t="shared" si="365"/>
        <v>0</v>
      </c>
      <c r="M215" s="6">
        <f t="shared" si="366"/>
        <v>0</v>
      </c>
      <c r="N215" s="5">
        <f t="shared" si="367"/>
        <v>5400</v>
      </c>
      <c r="O215" s="21">
        <f t="shared" si="368"/>
        <v>0</v>
      </c>
      <c r="P215" s="2">
        <f t="shared" si="369"/>
        <v>0</v>
      </c>
      <c r="Q215" s="2">
        <f t="shared" si="370"/>
        <v>0</v>
      </c>
      <c r="R215" s="5">
        <f t="shared" si="371"/>
        <v>0</v>
      </c>
      <c r="S215" s="2">
        <f t="shared" si="372"/>
        <v>0</v>
      </c>
      <c r="T215" s="2">
        <f t="shared" si="373"/>
        <v>0</v>
      </c>
      <c r="U215" s="102">
        <f t="shared" si="374"/>
        <v>0</v>
      </c>
      <c r="V215" s="102">
        <f t="shared" si="375"/>
        <v>0</v>
      </c>
      <c r="W215" s="6">
        <f t="shared" si="376"/>
        <v>0</v>
      </c>
      <c r="X215" s="5">
        <f t="shared" si="377"/>
        <v>0</v>
      </c>
      <c r="Y215" s="6">
        <f t="shared" si="378"/>
        <v>0</v>
      </c>
      <c r="Z215" s="5" t="e">
        <f t="shared" si="379"/>
        <v>#DIV/0!</v>
      </c>
      <c r="AA215" s="21">
        <f t="shared" si="380"/>
        <v>0</v>
      </c>
      <c r="AB215" s="6">
        <f t="shared" si="381"/>
        <v>0</v>
      </c>
      <c r="AC215" s="5" t="e">
        <f t="shared" si="382"/>
        <v>#DIV/0!</v>
      </c>
      <c r="AD215" s="6">
        <f t="shared" si="383"/>
        <v>0</v>
      </c>
      <c r="AE215" s="5">
        <f t="shared" si="384"/>
        <v>0</v>
      </c>
      <c r="AF215" s="21">
        <f t="shared" si="385"/>
        <v>0</v>
      </c>
      <c r="AG215" s="6">
        <f t="shared" si="386"/>
        <v>0</v>
      </c>
      <c r="AH215" s="5">
        <f t="shared" si="387"/>
        <v>0</v>
      </c>
      <c r="AI215" s="21">
        <f t="shared" si="388"/>
        <v>0</v>
      </c>
      <c r="AJ215" s="6">
        <f t="shared" si="389"/>
        <v>0</v>
      </c>
      <c r="AK215" s="5">
        <f t="shared" si="390"/>
        <v>0</v>
      </c>
      <c r="AL215" s="21">
        <f t="shared" si="391"/>
        <v>0</v>
      </c>
      <c r="AM215" s="21">
        <f t="shared" si="392"/>
        <v>0</v>
      </c>
      <c r="AN215" s="6">
        <f t="shared" si="393"/>
        <v>0</v>
      </c>
      <c r="AO215" s="5">
        <f t="shared" si="394"/>
        <v>0</v>
      </c>
      <c r="AP215" s="6">
        <f t="shared" si="395"/>
        <v>0</v>
      </c>
      <c r="AQ215" s="5">
        <f t="shared" si="396"/>
        <v>0</v>
      </c>
      <c r="AR215" s="2">
        <f t="shared" si="397"/>
        <v>0</v>
      </c>
      <c r="AS215" s="5">
        <f t="shared" si="398"/>
        <v>0</v>
      </c>
      <c r="AT215" s="21">
        <f t="shared" si="399"/>
        <v>0</v>
      </c>
      <c r="AU215" s="20">
        <f t="shared" si="400"/>
        <v>0</v>
      </c>
      <c r="AV215" s="20">
        <f t="shared" si="401"/>
        <v>1</v>
      </c>
      <c r="AW215" s="199">
        <f t="shared" si="402"/>
        <v>0</v>
      </c>
      <c r="AX215" s="24">
        <f t="shared" si="403"/>
        <v>0</v>
      </c>
      <c r="AY215" s="5">
        <f t="shared" si="404"/>
        <v>0</v>
      </c>
      <c r="AZ215" s="5">
        <f t="shared" si="405"/>
        <v>0</v>
      </c>
      <c r="BA215" s="5">
        <f t="shared" si="406"/>
        <v>0</v>
      </c>
      <c r="BB215" s="5">
        <f t="shared" si="407"/>
        <v>0</v>
      </c>
      <c r="BC215" s="5">
        <f t="shared" si="408"/>
        <v>0</v>
      </c>
      <c r="BD215" s="5">
        <f t="shared" si="409"/>
        <v>0</v>
      </c>
      <c r="BE215" s="199">
        <f t="shared" si="410"/>
        <v>0</v>
      </c>
      <c r="BF215" s="21">
        <f t="shared" si="411"/>
        <v>0</v>
      </c>
      <c r="BG215" s="6">
        <f t="shared" si="412"/>
        <v>0</v>
      </c>
      <c r="BH215" s="5" t="e">
        <f t="shared" si="413"/>
        <v>#DIV/0!</v>
      </c>
      <c r="BI215" s="6">
        <f t="shared" si="414"/>
        <v>0</v>
      </c>
      <c r="BJ215" s="5" t="e">
        <f t="shared" si="415"/>
        <v>#DIV/0!</v>
      </c>
      <c r="BK215" s="20">
        <f t="shared" si="416"/>
        <v>-9.9999999999999998E-13</v>
      </c>
      <c r="BL215" s="20">
        <f t="shared" si="417"/>
        <v>0</v>
      </c>
      <c r="BM215" s="6">
        <f t="shared" si="418"/>
        <v>0</v>
      </c>
      <c r="BN215" s="5">
        <f t="shared" si="419"/>
        <v>0</v>
      </c>
      <c r="BO215" s="333">
        <f t="shared" si="420"/>
        <v>0</v>
      </c>
      <c r="BP215" s="334">
        <f t="shared" si="421"/>
        <v>0</v>
      </c>
      <c r="BQ215" s="6">
        <f t="shared" si="422"/>
        <v>0</v>
      </c>
      <c r="BR215" s="5">
        <f t="shared" si="423"/>
        <v>0</v>
      </c>
      <c r="BS215" s="6">
        <f t="shared" si="424"/>
        <v>0</v>
      </c>
      <c r="BT215" s="5">
        <f t="shared" si="425"/>
        <v>0</v>
      </c>
      <c r="BU215" s="181">
        <f t="shared" si="426"/>
        <v>0</v>
      </c>
      <c r="BV215" s="154">
        <f t="shared" si="427"/>
        <v>0</v>
      </c>
      <c r="BW215" s="181">
        <f t="shared" si="428"/>
        <v>0</v>
      </c>
      <c r="BX215" s="180">
        <f t="shared" si="429"/>
        <v>0</v>
      </c>
      <c r="BY215" s="181">
        <f t="shared" si="430"/>
        <v>0</v>
      </c>
      <c r="BZ215" s="154">
        <f t="shared" si="431"/>
        <v>0</v>
      </c>
      <c r="CA215" s="182">
        <f t="shared" si="432"/>
        <v>0</v>
      </c>
      <c r="CB215" s="2">
        <f t="shared" si="433"/>
        <v>0</v>
      </c>
      <c r="CC215" s="2">
        <f t="shared" si="434"/>
        <v>0</v>
      </c>
      <c r="CD215" s="2">
        <f t="shared" si="435"/>
        <v>0</v>
      </c>
      <c r="CE215" s="2">
        <f t="shared" si="436"/>
        <v>0</v>
      </c>
      <c r="CF215" s="6">
        <f t="shared" si="437"/>
        <v>0</v>
      </c>
      <c r="CG215" s="6">
        <f t="shared" si="438"/>
        <v>0</v>
      </c>
      <c r="CH215" s="6">
        <f t="shared" si="439"/>
        <v>0</v>
      </c>
      <c r="CI215" s="20">
        <f t="shared" si="440"/>
        <v>0</v>
      </c>
      <c r="CJ215" s="133">
        <f t="shared" si="441"/>
        <v>2521</v>
      </c>
      <c r="CK215" s="5">
        <f t="shared" si="442"/>
        <v>0</v>
      </c>
      <c r="CL215" s="302"/>
      <c r="CM215" s="298" t="s">
        <v>13</v>
      </c>
      <c r="CN215" s="298" t="s">
        <v>1390</v>
      </c>
      <c r="CO215" s="298">
        <v>17</v>
      </c>
      <c r="CP215" s="298" t="s">
        <v>1610</v>
      </c>
      <c r="CQ215" s="298" t="s">
        <v>1131</v>
      </c>
      <c r="CR215" s="298" t="s">
        <v>644</v>
      </c>
      <c r="CS215" s="298" t="s">
        <v>1322</v>
      </c>
      <c r="CT215" s="298" t="s">
        <v>587</v>
      </c>
      <c r="CU215" s="299">
        <v>47118</v>
      </c>
      <c r="CV215" s="298">
        <v>0</v>
      </c>
      <c r="CW215" s="298">
        <v>0</v>
      </c>
      <c r="CX215" s="298">
        <v>0</v>
      </c>
      <c r="CY215" s="298">
        <v>0</v>
      </c>
      <c r="CZ215" s="298">
        <v>0</v>
      </c>
      <c r="DA215" s="298">
        <v>0</v>
      </c>
      <c r="DB215" s="298">
        <v>0</v>
      </c>
      <c r="DC215" s="298">
        <v>0</v>
      </c>
      <c r="DD215" s="298">
        <v>0</v>
      </c>
      <c r="DE215" s="298">
        <v>0</v>
      </c>
      <c r="DF215" s="298">
        <v>0</v>
      </c>
      <c r="DG215" s="298">
        <v>0</v>
      </c>
      <c r="DH215" s="298">
        <v>0</v>
      </c>
      <c r="DI215" s="298">
        <v>0</v>
      </c>
      <c r="DJ215" s="298">
        <v>0</v>
      </c>
      <c r="DK215" s="298">
        <v>0</v>
      </c>
      <c r="DL215" s="298">
        <v>0</v>
      </c>
      <c r="DM215" s="298">
        <v>0</v>
      </c>
      <c r="DN215" s="298">
        <v>0</v>
      </c>
      <c r="DO215" s="298">
        <v>0</v>
      </c>
      <c r="DP215" s="298">
        <v>0</v>
      </c>
      <c r="DQ215" s="298">
        <v>0</v>
      </c>
      <c r="DR215" s="298">
        <v>0</v>
      </c>
      <c r="DS215" s="298">
        <v>0</v>
      </c>
      <c r="DT215" s="298">
        <v>0</v>
      </c>
      <c r="DU215" s="298">
        <v>0</v>
      </c>
      <c r="DV215" s="303" t="s">
        <v>548</v>
      </c>
    </row>
    <row r="216" spans="1:126" ht="24.95" customHeight="1" thickBot="1" x14ac:dyDescent="0.3">
      <c r="A216" s="29" t="str">
        <f t="shared" si="354"/>
        <v>215º</v>
      </c>
      <c r="B216" s="69" t="str">
        <f t="shared" si="356"/>
        <v>Carabina</v>
      </c>
      <c r="C216" s="269" t="str">
        <f t="shared" si="357"/>
        <v>BRA</v>
      </c>
      <c r="D216" s="99" t="str">
        <f t="shared" si="358"/>
        <v>Pé Direito</v>
      </c>
      <c r="E216" s="28" t="str">
        <f t="shared" si="359"/>
        <v>Santa Cruz (RS)</v>
      </c>
      <c r="F216" s="169">
        <f t="shared" si="360"/>
        <v>16</v>
      </c>
      <c r="G216" s="2" t="str">
        <f t="shared" si="361"/>
        <v>0 €</v>
      </c>
      <c r="H216" s="154">
        <f t="shared" si="362"/>
        <v>1.97</v>
      </c>
      <c r="I216" s="64">
        <f t="shared" si="363"/>
        <v>47118</v>
      </c>
      <c r="J216" s="304" t="str">
        <f t="shared" si="364"/>
        <v>525 € p/m</v>
      </c>
      <c r="K216" s="96">
        <f t="shared" si="355"/>
        <v>3.5222222222222221</v>
      </c>
      <c r="L216" s="146">
        <f t="shared" si="365"/>
        <v>0</v>
      </c>
      <c r="M216" s="6">
        <f t="shared" si="366"/>
        <v>0</v>
      </c>
      <c r="N216" s="5">
        <f t="shared" si="367"/>
        <v>5400</v>
      </c>
      <c r="O216" s="21">
        <f t="shared" si="368"/>
        <v>0</v>
      </c>
      <c r="P216" s="2">
        <f t="shared" si="369"/>
        <v>0</v>
      </c>
      <c r="Q216" s="2">
        <f t="shared" si="370"/>
        <v>0</v>
      </c>
      <c r="R216" s="5">
        <f t="shared" si="371"/>
        <v>0</v>
      </c>
      <c r="S216" s="2">
        <f t="shared" si="372"/>
        <v>0</v>
      </c>
      <c r="T216" s="2">
        <f t="shared" si="373"/>
        <v>0</v>
      </c>
      <c r="U216" s="102">
        <f t="shared" si="374"/>
        <v>0</v>
      </c>
      <c r="V216" s="102">
        <f t="shared" si="375"/>
        <v>0</v>
      </c>
      <c r="W216" s="6">
        <f t="shared" si="376"/>
        <v>0</v>
      </c>
      <c r="X216" s="5">
        <f t="shared" si="377"/>
        <v>0</v>
      </c>
      <c r="Y216" s="6">
        <f t="shared" si="378"/>
        <v>0</v>
      </c>
      <c r="Z216" s="5" t="e">
        <f t="shared" si="379"/>
        <v>#DIV/0!</v>
      </c>
      <c r="AA216" s="21">
        <f t="shared" si="380"/>
        <v>0</v>
      </c>
      <c r="AB216" s="6">
        <f t="shared" si="381"/>
        <v>0</v>
      </c>
      <c r="AC216" s="5" t="e">
        <f t="shared" si="382"/>
        <v>#DIV/0!</v>
      </c>
      <c r="AD216" s="6">
        <f t="shared" si="383"/>
        <v>0</v>
      </c>
      <c r="AE216" s="5">
        <f t="shared" si="384"/>
        <v>0</v>
      </c>
      <c r="AF216" s="21">
        <f t="shared" si="385"/>
        <v>0</v>
      </c>
      <c r="AG216" s="6">
        <f t="shared" si="386"/>
        <v>0</v>
      </c>
      <c r="AH216" s="5">
        <f t="shared" si="387"/>
        <v>0</v>
      </c>
      <c r="AI216" s="21">
        <f t="shared" si="388"/>
        <v>0</v>
      </c>
      <c r="AJ216" s="6">
        <f t="shared" si="389"/>
        <v>0</v>
      </c>
      <c r="AK216" s="5">
        <f t="shared" si="390"/>
        <v>0</v>
      </c>
      <c r="AL216" s="21">
        <f t="shared" si="391"/>
        <v>0</v>
      </c>
      <c r="AM216" s="21">
        <f t="shared" si="392"/>
        <v>0</v>
      </c>
      <c r="AN216" s="6">
        <f t="shared" si="393"/>
        <v>0</v>
      </c>
      <c r="AO216" s="5">
        <f t="shared" si="394"/>
        <v>0</v>
      </c>
      <c r="AP216" s="6">
        <f t="shared" si="395"/>
        <v>0</v>
      </c>
      <c r="AQ216" s="5">
        <f t="shared" si="396"/>
        <v>0</v>
      </c>
      <c r="AR216" s="2">
        <f t="shared" si="397"/>
        <v>0</v>
      </c>
      <c r="AS216" s="5">
        <f t="shared" si="398"/>
        <v>0</v>
      </c>
      <c r="AT216" s="21">
        <f t="shared" si="399"/>
        <v>0</v>
      </c>
      <c r="AU216" s="20">
        <f t="shared" si="400"/>
        <v>0</v>
      </c>
      <c r="AV216" s="20">
        <f t="shared" si="401"/>
        <v>1</v>
      </c>
      <c r="AW216" s="199">
        <f t="shared" si="402"/>
        <v>0</v>
      </c>
      <c r="AX216" s="24">
        <f t="shared" si="403"/>
        <v>0</v>
      </c>
      <c r="AY216" s="5">
        <f t="shared" si="404"/>
        <v>0</v>
      </c>
      <c r="AZ216" s="5">
        <f t="shared" si="405"/>
        <v>0</v>
      </c>
      <c r="BA216" s="5">
        <f t="shared" si="406"/>
        <v>0</v>
      </c>
      <c r="BB216" s="5">
        <f t="shared" si="407"/>
        <v>0</v>
      </c>
      <c r="BC216" s="5">
        <f t="shared" si="408"/>
        <v>0</v>
      </c>
      <c r="BD216" s="5">
        <f t="shared" si="409"/>
        <v>0</v>
      </c>
      <c r="BE216" s="199">
        <f t="shared" si="410"/>
        <v>0</v>
      </c>
      <c r="BF216" s="21">
        <f t="shared" si="411"/>
        <v>0</v>
      </c>
      <c r="BG216" s="6">
        <f t="shared" si="412"/>
        <v>0</v>
      </c>
      <c r="BH216" s="5" t="e">
        <f t="shared" si="413"/>
        <v>#DIV/0!</v>
      </c>
      <c r="BI216" s="6">
        <f t="shared" si="414"/>
        <v>0</v>
      </c>
      <c r="BJ216" s="5" t="e">
        <f t="shared" si="415"/>
        <v>#DIV/0!</v>
      </c>
      <c r="BK216" s="20">
        <f t="shared" si="416"/>
        <v>-9.9999999999999998E-13</v>
      </c>
      <c r="BL216" s="20">
        <f t="shared" si="417"/>
        <v>0</v>
      </c>
      <c r="BM216" s="6">
        <f t="shared" si="418"/>
        <v>0</v>
      </c>
      <c r="BN216" s="5">
        <f t="shared" si="419"/>
        <v>0</v>
      </c>
      <c r="BO216" s="333">
        <f t="shared" si="420"/>
        <v>0</v>
      </c>
      <c r="BP216" s="334">
        <f t="shared" si="421"/>
        <v>0</v>
      </c>
      <c r="BQ216" s="6">
        <f t="shared" si="422"/>
        <v>0</v>
      </c>
      <c r="BR216" s="5">
        <f t="shared" si="423"/>
        <v>0</v>
      </c>
      <c r="BS216" s="6">
        <f t="shared" si="424"/>
        <v>0</v>
      </c>
      <c r="BT216" s="5">
        <f t="shared" si="425"/>
        <v>0</v>
      </c>
      <c r="BU216" s="181">
        <f t="shared" si="426"/>
        <v>0</v>
      </c>
      <c r="BV216" s="154">
        <f t="shared" si="427"/>
        <v>0</v>
      </c>
      <c r="BW216" s="181">
        <f t="shared" si="428"/>
        <v>0</v>
      </c>
      <c r="BX216" s="180">
        <f t="shared" si="429"/>
        <v>0</v>
      </c>
      <c r="BY216" s="181">
        <f t="shared" si="430"/>
        <v>0</v>
      </c>
      <c r="BZ216" s="154">
        <f t="shared" si="431"/>
        <v>0</v>
      </c>
      <c r="CA216" s="182">
        <f t="shared" si="432"/>
        <v>0</v>
      </c>
      <c r="CB216" s="2">
        <f t="shared" si="433"/>
        <v>0</v>
      </c>
      <c r="CC216" s="2">
        <f t="shared" si="434"/>
        <v>0</v>
      </c>
      <c r="CD216" s="2">
        <f t="shared" si="435"/>
        <v>0</v>
      </c>
      <c r="CE216" s="2">
        <f t="shared" si="436"/>
        <v>0</v>
      </c>
      <c r="CF216" s="6">
        <f t="shared" si="437"/>
        <v>0</v>
      </c>
      <c r="CG216" s="6">
        <f t="shared" si="438"/>
        <v>0</v>
      </c>
      <c r="CH216" s="6">
        <f t="shared" si="439"/>
        <v>0</v>
      </c>
      <c r="CI216" s="20">
        <f t="shared" si="440"/>
        <v>0</v>
      </c>
      <c r="CJ216" s="133">
        <f t="shared" si="441"/>
        <v>2521</v>
      </c>
      <c r="CK216" s="5">
        <f t="shared" si="442"/>
        <v>0</v>
      </c>
      <c r="CL216" s="300" t="s">
        <v>1235</v>
      </c>
      <c r="CM216" s="296" t="s">
        <v>13</v>
      </c>
      <c r="CN216" s="296" t="s">
        <v>1611</v>
      </c>
      <c r="CO216" s="296">
        <v>16</v>
      </c>
      <c r="CP216" s="296" t="s">
        <v>1612</v>
      </c>
      <c r="CQ216" s="296" t="s">
        <v>1131</v>
      </c>
      <c r="CR216" s="296" t="s">
        <v>644</v>
      </c>
      <c r="CS216" s="296" t="s">
        <v>1322</v>
      </c>
      <c r="CT216" s="296" t="s">
        <v>1281</v>
      </c>
      <c r="CU216" s="297">
        <v>47118</v>
      </c>
      <c r="CV216" s="296">
        <v>0</v>
      </c>
      <c r="CW216" s="296">
        <v>0</v>
      </c>
      <c r="CX216" s="296">
        <v>0</v>
      </c>
      <c r="CY216" s="296">
        <v>0</v>
      </c>
      <c r="CZ216" s="296">
        <v>0</v>
      </c>
      <c r="DA216" s="296">
        <v>0</v>
      </c>
      <c r="DB216" s="296">
        <v>0</v>
      </c>
      <c r="DC216" s="296">
        <v>0</v>
      </c>
      <c r="DD216" s="296">
        <v>0</v>
      </c>
      <c r="DE216" s="296">
        <v>0</v>
      </c>
      <c r="DF216" s="296">
        <v>0</v>
      </c>
      <c r="DG216" s="296">
        <v>0</v>
      </c>
      <c r="DH216" s="296">
        <v>0</v>
      </c>
      <c r="DI216" s="296">
        <v>0</v>
      </c>
      <c r="DJ216" s="296">
        <v>0</v>
      </c>
      <c r="DK216" s="296">
        <v>0</v>
      </c>
      <c r="DL216" s="296">
        <v>0</v>
      </c>
      <c r="DM216" s="296">
        <v>0</v>
      </c>
      <c r="DN216" s="296">
        <v>0</v>
      </c>
      <c r="DO216" s="296">
        <v>0</v>
      </c>
      <c r="DP216" s="296">
        <v>0</v>
      </c>
      <c r="DQ216" s="296">
        <v>0</v>
      </c>
      <c r="DR216" s="296">
        <v>0</v>
      </c>
      <c r="DS216" s="296">
        <v>0</v>
      </c>
      <c r="DT216" s="296">
        <v>0</v>
      </c>
      <c r="DU216" s="296">
        <v>0</v>
      </c>
      <c r="DV216" s="301" t="s">
        <v>548</v>
      </c>
    </row>
    <row r="217" spans="1:126" ht="24.95" customHeight="1" thickBot="1" x14ac:dyDescent="0.3">
      <c r="A217" s="29" t="str">
        <f t="shared" si="354"/>
        <v>216º</v>
      </c>
      <c r="B217" s="69" t="str">
        <f t="shared" si="356"/>
        <v>Batata</v>
      </c>
      <c r="C217" s="269" t="str">
        <f t="shared" si="357"/>
        <v>BRA</v>
      </c>
      <c r="D217" s="99" t="str">
        <f t="shared" si="358"/>
        <v>Pé Direito</v>
      </c>
      <c r="E217" s="28" t="str">
        <f t="shared" si="359"/>
        <v>CRAC</v>
      </c>
      <c r="F217" s="169">
        <f t="shared" si="360"/>
        <v>17</v>
      </c>
      <c r="G217" s="2" t="str">
        <f t="shared" si="361"/>
        <v>0 €</v>
      </c>
      <c r="H217" s="154">
        <f t="shared" si="362"/>
        <v>1.83</v>
      </c>
      <c r="I217" s="64">
        <f t="shared" si="363"/>
        <v>47118</v>
      </c>
      <c r="J217" s="304" t="str">
        <f t="shared" si="364"/>
        <v>550 € p/m</v>
      </c>
      <c r="K217" s="96">
        <f t="shared" si="355"/>
        <v>3.5222222222222221</v>
      </c>
      <c r="L217" s="146">
        <f t="shared" si="365"/>
        <v>1.3888888888888888</v>
      </c>
      <c r="M217" s="6">
        <f t="shared" si="366"/>
        <v>0</v>
      </c>
      <c r="N217" s="5">
        <f t="shared" si="367"/>
        <v>5400</v>
      </c>
      <c r="O217" s="21">
        <f t="shared" si="368"/>
        <v>0</v>
      </c>
      <c r="P217" s="2">
        <f t="shared" si="369"/>
        <v>33</v>
      </c>
      <c r="Q217" s="2">
        <f t="shared" si="370"/>
        <v>31</v>
      </c>
      <c r="R217" s="5">
        <f t="shared" si="371"/>
        <v>22.32</v>
      </c>
      <c r="S217" s="2">
        <f t="shared" si="372"/>
        <v>2</v>
      </c>
      <c r="T217" s="2">
        <f t="shared" si="373"/>
        <v>29</v>
      </c>
      <c r="U217" s="102">
        <f t="shared" si="374"/>
        <v>6.0606060606060608E-2</v>
      </c>
      <c r="V217" s="102">
        <f t="shared" si="375"/>
        <v>0.93939393939393945</v>
      </c>
      <c r="W217" s="6">
        <f t="shared" si="376"/>
        <v>33</v>
      </c>
      <c r="X217" s="5">
        <f t="shared" si="377"/>
        <v>23.76</v>
      </c>
      <c r="Y217" s="6">
        <f t="shared" si="378"/>
        <v>0</v>
      </c>
      <c r="Z217" s="5">
        <f t="shared" si="379"/>
        <v>0</v>
      </c>
      <c r="AA217" s="21">
        <f t="shared" si="380"/>
        <v>0</v>
      </c>
      <c r="AB217" s="6">
        <f t="shared" si="381"/>
        <v>0</v>
      </c>
      <c r="AC217" s="5">
        <f t="shared" si="382"/>
        <v>0</v>
      </c>
      <c r="AD217" s="6">
        <f t="shared" si="383"/>
        <v>2</v>
      </c>
      <c r="AE217" s="5">
        <f t="shared" si="384"/>
        <v>1.44</v>
      </c>
      <c r="AF217" s="21">
        <f t="shared" si="385"/>
        <v>0.5</v>
      </c>
      <c r="AG217" s="6">
        <f t="shared" si="386"/>
        <v>0</v>
      </c>
      <c r="AH217" s="5">
        <f t="shared" si="387"/>
        <v>0</v>
      </c>
      <c r="AI217" s="21">
        <f t="shared" si="388"/>
        <v>0</v>
      </c>
      <c r="AJ217" s="6">
        <f t="shared" si="389"/>
        <v>2</v>
      </c>
      <c r="AK217" s="5">
        <f t="shared" si="390"/>
        <v>8.9605734767025089E-2</v>
      </c>
      <c r="AL217" s="21">
        <f t="shared" si="391"/>
        <v>0.5</v>
      </c>
      <c r="AM217" s="21">
        <f t="shared" si="392"/>
        <v>0</v>
      </c>
      <c r="AN217" s="6">
        <f t="shared" si="393"/>
        <v>0</v>
      </c>
      <c r="AO217" s="5">
        <f t="shared" si="394"/>
        <v>0</v>
      </c>
      <c r="AP217" s="6">
        <f t="shared" si="395"/>
        <v>4</v>
      </c>
      <c r="AQ217" s="5">
        <f t="shared" si="396"/>
        <v>2.88</v>
      </c>
      <c r="AR217" s="2">
        <f t="shared" si="397"/>
        <v>8</v>
      </c>
      <c r="AS217" s="5">
        <f t="shared" si="398"/>
        <v>5.76</v>
      </c>
      <c r="AT217" s="21">
        <f t="shared" si="399"/>
        <v>0.5</v>
      </c>
      <c r="AU217" s="20">
        <f t="shared" si="400"/>
        <v>0.33333333333333331</v>
      </c>
      <c r="AV217" s="20">
        <f t="shared" si="401"/>
        <v>0.5</v>
      </c>
      <c r="AW217" s="199">
        <f t="shared" si="402"/>
        <v>0.625</v>
      </c>
      <c r="AX217" s="24">
        <f t="shared" si="403"/>
        <v>31.25</v>
      </c>
      <c r="AY217" s="5">
        <f t="shared" si="404"/>
        <v>2</v>
      </c>
      <c r="AZ217" s="5">
        <f t="shared" si="405"/>
        <v>1.5</v>
      </c>
      <c r="BA217" s="5">
        <f t="shared" si="406"/>
        <v>-1.47</v>
      </c>
      <c r="BB217" s="5">
        <f t="shared" si="407"/>
        <v>-1.0584</v>
      </c>
      <c r="BC217" s="5">
        <f t="shared" si="408"/>
        <v>-1.47</v>
      </c>
      <c r="BD217" s="5">
        <f t="shared" si="409"/>
        <v>-1.0584</v>
      </c>
      <c r="BE217" s="199">
        <f t="shared" si="410"/>
        <v>-1.0584</v>
      </c>
      <c r="BF217" s="21">
        <f t="shared" si="411"/>
        <v>-0.5810276679841897</v>
      </c>
      <c r="BG217" s="6">
        <f t="shared" si="412"/>
        <v>0</v>
      </c>
      <c r="BH217" s="5">
        <f t="shared" si="413"/>
        <v>0</v>
      </c>
      <c r="BI217" s="6">
        <f t="shared" si="414"/>
        <v>0</v>
      </c>
      <c r="BJ217" s="5">
        <f t="shared" si="415"/>
        <v>0</v>
      </c>
      <c r="BK217" s="20">
        <f t="shared" si="416"/>
        <v>-9.9999999999999998E-13</v>
      </c>
      <c r="BL217" s="20">
        <f t="shared" si="417"/>
        <v>2.6972353337828725E-3</v>
      </c>
      <c r="BM217" s="6">
        <f t="shared" si="418"/>
        <v>4</v>
      </c>
      <c r="BN217" s="5">
        <f t="shared" si="419"/>
        <v>2.88</v>
      </c>
      <c r="BO217" s="333">
        <f t="shared" si="420"/>
        <v>0</v>
      </c>
      <c r="BP217" s="334">
        <f t="shared" si="421"/>
        <v>0</v>
      </c>
      <c r="BQ217" s="6">
        <f t="shared" si="422"/>
        <v>0.9722222222222221</v>
      </c>
      <c r="BR217" s="5">
        <f t="shared" si="423"/>
        <v>0.7</v>
      </c>
      <c r="BS217" s="6">
        <f t="shared" si="424"/>
        <v>11.944444444444443</v>
      </c>
      <c r="BT217" s="5">
        <f t="shared" si="425"/>
        <v>8.6</v>
      </c>
      <c r="BU217" s="181">
        <f t="shared" si="426"/>
        <v>0</v>
      </c>
      <c r="BV217" s="154">
        <f t="shared" si="427"/>
        <v>0</v>
      </c>
      <c r="BW217" s="181">
        <f t="shared" si="428"/>
        <v>0</v>
      </c>
      <c r="BX217" s="180">
        <f t="shared" si="429"/>
        <v>0</v>
      </c>
      <c r="BY217" s="181">
        <f t="shared" si="430"/>
        <v>0</v>
      </c>
      <c r="BZ217" s="154">
        <f t="shared" si="431"/>
        <v>0</v>
      </c>
      <c r="CA217" s="182">
        <f t="shared" si="432"/>
        <v>0</v>
      </c>
      <c r="CB217" s="2">
        <f t="shared" si="433"/>
        <v>0</v>
      </c>
      <c r="CC217" s="2">
        <f t="shared" si="434"/>
        <v>0</v>
      </c>
      <c r="CD217" s="2">
        <f t="shared" si="435"/>
        <v>0</v>
      </c>
      <c r="CE217" s="2">
        <f t="shared" si="436"/>
        <v>1</v>
      </c>
      <c r="CF217" s="6">
        <f t="shared" si="437"/>
        <v>0</v>
      </c>
      <c r="CG217" s="6">
        <f t="shared" si="438"/>
        <v>52.438000000000002</v>
      </c>
      <c r="CH217" s="6">
        <f t="shared" si="439"/>
        <v>35</v>
      </c>
      <c r="CI217" s="20">
        <f t="shared" si="440"/>
        <v>0.6674548991189595</v>
      </c>
      <c r="CJ217" s="133">
        <f t="shared" si="441"/>
        <v>2521</v>
      </c>
      <c r="CK217" s="5">
        <f t="shared" si="442"/>
        <v>6</v>
      </c>
      <c r="CL217" s="302" t="s">
        <v>1235</v>
      </c>
      <c r="CM217" s="298" t="s">
        <v>13</v>
      </c>
      <c r="CN217" s="298" t="s">
        <v>1613</v>
      </c>
      <c r="CO217" s="298">
        <v>17</v>
      </c>
      <c r="CP217" s="298" t="s">
        <v>1431</v>
      </c>
      <c r="CQ217" s="298" t="s">
        <v>1131</v>
      </c>
      <c r="CR217" s="298" t="s">
        <v>644</v>
      </c>
      <c r="CS217" s="298" t="s">
        <v>1375</v>
      </c>
      <c r="CT217" s="298" t="s">
        <v>586</v>
      </c>
      <c r="CU217" s="299">
        <v>47118</v>
      </c>
      <c r="CV217" s="298">
        <v>0</v>
      </c>
      <c r="CW217" s="298">
        <v>125</v>
      </c>
      <c r="CX217" s="298">
        <v>4</v>
      </c>
      <c r="CY217" s="298">
        <v>2</v>
      </c>
      <c r="CZ217" s="298">
        <v>0</v>
      </c>
      <c r="DA217" s="298">
        <v>2</v>
      </c>
      <c r="DB217" s="298">
        <v>0</v>
      </c>
      <c r="DC217" s="298">
        <v>0.7</v>
      </c>
      <c r="DD217" s="298">
        <v>8.6</v>
      </c>
      <c r="DE217" s="298">
        <v>0</v>
      </c>
      <c r="DF217" s="298">
        <v>0</v>
      </c>
      <c r="DG217" s="298">
        <v>0</v>
      </c>
      <c r="DH217" s="298">
        <v>0</v>
      </c>
      <c r="DI217" s="298">
        <v>1</v>
      </c>
      <c r="DJ217" s="298">
        <v>0</v>
      </c>
      <c r="DK217" s="298">
        <v>0</v>
      </c>
      <c r="DL217" s="298">
        <v>33</v>
      </c>
      <c r="DM217" s="298">
        <v>31</v>
      </c>
      <c r="DN217" s="298" t="s">
        <v>1403</v>
      </c>
      <c r="DO217" s="298">
        <v>0</v>
      </c>
      <c r="DP217" s="298">
        <v>0</v>
      </c>
      <c r="DQ217" s="298">
        <v>0</v>
      </c>
      <c r="DR217" s="298">
        <v>0</v>
      </c>
      <c r="DS217" s="298">
        <v>0</v>
      </c>
      <c r="DT217" s="298">
        <v>0</v>
      </c>
      <c r="DU217" s="298">
        <v>0</v>
      </c>
      <c r="DV217" s="303">
        <v>6</v>
      </c>
    </row>
    <row r="218" spans="1:126" ht="24.95" customHeight="1" thickBot="1" x14ac:dyDescent="0.3">
      <c r="A218" s="29" t="str">
        <f t="shared" si="354"/>
        <v>217º</v>
      </c>
      <c r="B218" s="69" t="str">
        <f t="shared" si="356"/>
        <v>Mário Sérgio</v>
      </c>
      <c r="C218" s="269" t="str">
        <f t="shared" si="357"/>
        <v>BRA</v>
      </c>
      <c r="D218" s="99" t="str">
        <f t="shared" si="358"/>
        <v>Pé Direito</v>
      </c>
      <c r="E218" s="28" t="str">
        <f t="shared" si="359"/>
        <v>Duque de Caxias</v>
      </c>
      <c r="F218" s="169">
        <f t="shared" si="360"/>
        <v>16</v>
      </c>
      <c r="G218" s="2" t="str">
        <f t="shared" si="361"/>
        <v>0 €</v>
      </c>
      <c r="H218" s="154">
        <f t="shared" si="362"/>
        <v>1.84</v>
      </c>
      <c r="I218" s="64">
        <f t="shared" si="363"/>
        <v>47118</v>
      </c>
      <c r="J218" s="304" t="str">
        <f t="shared" si="364"/>
        <v>550 € p/m</v>
      </c>
      <c r="K218" s="96">
        <f t="shared" si="355"/>
        <v>3.5222222222222221</v>
      </c>
      <c r="L218" s="146">
        <f t="shared" si="365"/>
        <v>0</v>
      </c>
      <c r="M218" s="6">
        <f t="shared" si="366"/>
        <v>0</v>
      </c>
      <c r="N218" s="5">
        <f t="shared" si="367"/>
        <v>5400</v>
      </c>
      <c r="O218" s="21">
        <f t="shared" si="368"/>
        <v>0</v>
      </c>
      <c r="P218" s="2">
        <f t="shared" si="369"/>
        <v>0</v>
      </c>
      <c r="Q218" s="2">
        <f t="shared" si="370"/>
        <v>0</v>
      </c>
      <c r="R218" s="5">
        <f t="shared" si="371"/>
        <v>0</v>
      </c>
      <c r="S218" s="2">
        <f t="shared" si="372"/>
        <v>0</v>
      </c>
      <c r="T218" s="2">
        <f t="shared" si="373"/>
        <v>0</v>
      </c>
      <c r="U218" s="102">
        <f t="shared" si="374"/>
        <v>0</v>
      </c>
      <c r="V218" s="102">
        <f t="shared" si="375"/>
        <v>0</v>
      </c>
      <c r="W218" s="6">
        <f t="shared" si="376"/>
        <v>0</v>
      </c>
      <c r="X218" s="5">
        <f t="shared" si="377"/>
        <v>0</v>
      </c>
      <c r="Y218" s="6">
        <f t="shared" si="378"/>
        <v>0</v>
      </c>
      <c r="Z218" s="5" t="e">
        <f t="shared" si="379"/>
        <v>#DIV/0!</v>
      </c>
      <c r="AA218" s="21">
        <f t="shared" si="380"/>
        <v>0</v>
      </c>
      <c r="AB218" s="6">
        <f t="shared" si="381"/>
        <v>0</v>
      </c>
      <c r="AC218" s="5" t="e">
        <f t="shared" si="382"/>
        <v>#DIV/0!</v>
      </c>
      <c r="AD218" s="6">
        <f t="shared" si="383"/>
        <v>0</v>
      </c>
      <c r="AE218" s="5">
        <f t="shared" si="384"/>
        <v>0</v>
      </c>
      <c r="AF218" s="21">
        <f t="shared" si="385"/>
        <v>0</v>
      </c>
      <c r="AG218" s="6">
        <f t="shared" si="386"/>
        <v>0</v>
      </c>
      <c r="AH218" s="5">
        <f t="shared" si="387"/>
        <v>0</v>
      </c>
      <c r="AI218" s="21">
        <f t="shared" si="388"/>
        <v>0</v>
      </c>
      <c r="AJ218" s="6">
        <f t="shared" si="389"/>
        <v>0</v>
      </c>
      <c r="AK218" s="5">
        <f t="shared" si="390"/>
        <v>0</v>
      </c>
      <c r="AL218" s="21">
        <f t="shared" si="391"/>
        <v>0</v>
      </c>
      <c r="AM218" s="21">
        <f t="shared" si="392"/>
        <v>0</v>
      </c>
      <c r="AN218" s="6">
        <f t="shared" si="393"/>
        <v>0</v>
      </c>
      <c r="AO218" s="5">
        <f t="shared" si="394"/>
        <v>0</v>
      </c>
      <c r="AP218" s="6">
        <f t="shared" si="395"/>
        <v>0</v>
      </c>
      <c r="AQ218" s="5">
        <f t="shared" si="396"/>
        <v>0</v>
      </c>
      <c r="AR218" s="2">
        <f t="shared" si="397"/>
        <v>0</v>
      </c>
      <c r="AS218" s="5">
        <f t="shared" si="398"/>
        <v>0</v>
      </c>
      <c r="AT218" s="21">
        <f t="shared" si="399"/>
        <v>0</v>
      </c>
      <c r="AU218" s="20">
        <f t="shared" si="400"/>
        <v>0</v>
      </c>
      <c r="AV218" s="20">
        <f t="shared" si="401"/>
        <v>1</v>
      </c>
      <c r="AW218" s="199">
        <f t="shared" si="402"/>
        <v>0</v>
      </c>
      <c r="AX218" s="24">
        <f t="shared" si="403"/>
        <v>0</v>
      </c>
      <c r="AY218" s="5">
        <f t="shared" si="404"/>
        <v>0</v>
      </c>
      <c r="AZ218" s="5">
        <f t="shared" si="405"/>
        <v>0</v>
      </c>
      <c r="BA218" s="5">
        <f t="shared" si="406"/>
        <v>0</v>
      </c>
      <c r="BB218" s="5">
        <f t="shared" si="407"/>
        <v>0</v>
      </c>
      <c r="BC218" s="5">
        <f t="shared" si="408"/>
        <v>0</v>
      </c>
      <c r="BD218" s="5">
        <f t="shared" si="409"/>
        <v>0</v>
      </c>
      <c r="BE218" s="199">
        <f t="shared" si="410"/>
        <v>0</v>
      </c>
      <c r="BF218" s="21">
        <f t="shared" si="411"/>
        <v>0</v>
      </c>
      <c r="BG218" s="6">
        <f t="shared" si="412"/>
        <v>0</v>
      </c>
      <c r="BH218" s="5" t="e">
        <f t="shared" si="413"/>
        <v>#DIV/0!</v>
      </c>
      <c r="BI218" s="6">
        <f t="shared" si="414"/>
        <v>0</v>
      </c>
      <c r="BJ218" s="5" t="e">
        <f t="shared" si="415"/>
        <v>#DIV/0!</v>
      </c>
      <c r="BK218" s="20">
        <f t="shared" si="416"/>
        <v>-9.9999999999999998E-13</v>
      </c>
      <c r="BL218" s="20">
        <f t="shared" si="417"/>
        <v>0</v>
      </c>
      <c r="BM218" s="6">
        <f t="shared" si="418"/>
        <v>0</v>
      </c>
      <c r="BN218" s="5">
        <f t="shared" si="419"/>
        <v>0</v>
      </c>
      <c r="BO218" s="333">
        <f t="shared" si="420"/>
        <v>0</v>
      </c>
      <c r="BP218" s="334">
        <f t="shared" si="421"/>
        <v>0</v>
      </c>
      <c r="BQ218" s="6">
        <f t="shared" si="422"/>
        <v>0</v>
      </c>
      <c r="BR218" s="5">
        <f t="shared" si="423"/>
        <v>0</v>
      </c>
      <c r="BS218" s="6">
        <f t="shared" si="424"/>
        <v>0</v>
      </c>
      <c r="BT218" s="5">
        <f t="shared" si="425"/>
        <v>0</v>
      </c>
      <c r="BU218" s="181">
        <f t="shared" si="426"/>
        <v>0</v>
      </c>
      <c r="BV218" s="154">
        <f t="shared" si="427"/>
        <v>0</v>
      </c>
      <c r="BW218" s="181">
        <f t="shared" si="428"/>
        <v>0</v>
      </c>
      <c r="BX218" s="180">
        <f t="shared" si="429"/>
        <v>0</v>
      </c>
      <c r="BY218" s="181">
        <f t="shared" si="430"/>
        <v>0</v>
      </c>
      <c r="BZ218" s="154">
        <f t="shared" si="431"/>
        <v>0</v>
      </c>
      <c r="CA218" s="182">
        <f t="shared" si="432"/>
        <v>0</v>
      </c>
      <c r="CB218" s="2">
        <f t="shared" si="433"/>
        <v>0</v>
      </c>
      <c r="CC218" s="2">
        <f t="shared" si="434"/>
        <v>0</v>
      </c>
      <c r="CD218" s="2">
        <f t="shared" si="435"/>
        <v>0</v>
      </c>
      <c r="CE218" s="2">
        <f t="shared" si="436"/>
        <v>0</v>
      </c>
      <c r="CF218" s="6">
        <f t="shared" si="437"/>
        <v>0</v>
      </c>
      <c r="CG218" s="6">
        <f t="shared" si="438"/>
        <v>0</v>
      </c>
      <c r="CH218" s="6">
        <f t="shared" si="439"/>
        <v>0</v>
      </c>
      <c r="CI218" s="20">
        <f t="shared" si="440"/>
        <v>0</v>
      </c>
      <c r="CJ218" s="133">
        <f t="shared" si="441"/>
        <v>2521</v>
      </c>
      <c r="CK218" s="5">
        <f t="shared" si="442"/>
        <v>0</v>
      </c>
      <c r="CL218" s="300"/>
      <c r="CM218" s="296" t="s">
        <v>13</v>
      </c>
      <c r="CN218" s="296" t="s">
        <v>1614</v>
      </c>
      <c r="CO218" s="296">
        <v>16</v>
      </c>
      <c r="CP218" s="296" t="s">
        <v>1615</v>
      </c>
      <c r="CQ218" s="296" t="s">
        <v>1131</v>
      </c>
      <c r="CR218" s="296" t="s">
        <v>644</v>
      </c>
      <c r="CS218" s="296" t="s">
        <v>1375</v>
      </c>
      <c r="CT218" s="296" t="s">
        <v>574</v>
      </c>
      <c r="CU218" s="297">
        <v>47118</v>
      </c>
      <c r="CV218" s="296">
        <v>0</v>
      </c>
      <c r="CW218" s="296">
        <v>0</v>
      </c>
      <c r="CX218" s="296">
        <v>0</v>
      </c>
      <c r="CY218" s="296">
        <v>0</v>
      </c>
      <c r="CZ218" s="296">
        <v>0</v>
      </c>
      <c r="DA218" s="296">
        <v>0</v>
      </c>
      <c r="DB218" s="296">
        <v>0</v>
      </c>
      <c r="DC218" s="296">
        <v>0</v>
      </c>
      <c r="DD218" s="296">
        <v>0</v>
      </c>
      <c r="DE218" s="296">
        <v>0</v>
      </c>
      <c r="DF218" s="296">
        <v>0</v>
      </c>
      <c r="DG218" s="296">
        <v>0</v>
      </c>
      <c r="DH218" s="296">
        <v>0</v>
      </c>
      <c r="DI218" s="296">
        <v>0</v>
      </c>
      <c r="DJ218" s="296">
        <v>0</v>
      </c>
      <c r="DK218" s="296">
        <v>0</v>
      </c>
      <c r="DL218" s="296">
        <v>0</v>
      </c>
      <c r="DM218" s="296">
        <v>0</v>
      </c>
      <c r="DN218" s="296">
        <v>0</v>
      </c>
      <c r="DO218" s="296">
        <v>0</v>
      </c>
      <c r="DP218" s="296">
        <v>0</v>
      </c>
      <c r="DQ218" s="296">
        <v>0</v>
      </c>
      <c r="DR218" s="296">
        <v>0</v>
      </c>
      <c r="DS218" s="296">
        <v>0</v>
      </c>
      <c r="DT218" s="296">
        <v>0</v>
      </c>
      <c r="DU218" s="296">
        <v>0</v>
      </c>
      <c r="DV218" s="301" t="s">
        <v>548</v>
      </c>
    </row>
    <row r="219" spans="1:126" ht="24.95" customHeight="1" thickBot="1" x14ac:dyDescent="0.3">
      <c r="A219" s="29" t="str">
        <f t="shared" si="354"/>
        <v>218º</v>
      </c>
      <c r="B219" s="69" t="str">
        <f t="shared" si="356"/>
        <v>Herculano das Mercês</v>
      </c>
      <c r="C219" s="269" t="str">
        <f t="shared" si="357"/>
        <v>BRA</v>
      </c>
      <c r="D219" s="99" t="str">
        <f t="shared" si="358"/>
        <v>Pé Direito</v>
      </c>
      <c r="E219" s="28" t="str">
        <f t="shared" si="359"/>
        <v>Rio Branco (SP)</v>
      </c>
      <c r="F219" s="169">
        <f t="shared" si="360"/>
        <v>16</v>
      </c>
      <c r="G219" s="2" t="str">
        <f t="shared" si="361"/>
        <v>0 €</v>
      </c>
      <c r="H219" s="154">
        <f t="shared" si="362"/>
        <v>1.81</v>
      </c>
      <c r="I219" s="64">
        <f t="shared" si="363"/>
        <v>47118</v>
      </c>
      <c r="J219" s="304" t="str">
        <f t="shared" si="364"/>
        <v>525 € p/m</v>
      </c>
      <c r="K219" s="96">
        <f t="shared" si="355"/>
        <v>3.5222222222222221</v>
      </c>
      <c r="L219" s="146">
        <f t="shared" si="365"/>
        <v>0</v>
      </c>
      <c r="M219" s="6">
        <f t="shared" si="366"/>
        <v>0</v>
      </c>
      <c r="N219" s="5">
        <f t="shared" si="367"/>
        <v>5400</v>
      </c>
      <c r="O219" s="21">
        <f t="shared" si="368"/>
        <v>0</v>
      </c>
      <c r="P219" s="2">
        <f t="shared" si="369"/>
        <v>0</v>
      </c>
      <c r="Q219" s="2">
        <f t="shared" si="370"/>
        <v>0</v>
      </c>
      <c r="R219" s="5">
        <f t="shared" si="371"/>
        <v>0</v>
      </c>
      <c r="S219" s="2">
        <f t="shared" si="372"/>
        <v>0</v>
      </c>
      <c r="T219" s="2">
        <f t="shared" si="373"/>
        <v>0</v>
      </c>
      <c r="U219" s="102">
        <f t="shared" si="374"/>
        <v>0</v>
      </c>
      <c r="V219" s="102">
        <f t="shared" si="375"/>
        <v>0</v>
      </c>
      <c r="W219" s="6">
        <f t="shared" si="376"/>
        <v>0</v>
      </c>
      <c r="X219" s="5">
        <f t="shared" si="377"/>
        <v>0</v>
      </c>
      <c r="Y219" s="6">
        <f t="shared" si="378"/>
        <v>0</v>
      </c>
      <c r="Z219" s="5" t="e">
        <f t="shared" si="379"/>
        <v>#DIV/0!</v>
      </c>
      <c r="AA219" s="21">
        <f t="shared" si="380"/>
        <v>0</v>
      </c>
      <c r="AB219" s="6">
        <f t="shared" si="381"/>
        <v>0</v>
      </c>
      <c r="AC219" s="5" t="e">
        <f t="shared" si="382"/>
        <v>#DIV/0!</v>
      </c>
      <c r="AD219" s="6">
        <f t="shared" si="383"/>
        <v>0</v>
      </c>
      <c r="AE219" s="5">
        <f t="shared" si="384"/>
        <v>0</v>
      </c>
      <c r="AF219" s="21">
        <f t="shared" si="385"/>
        <v>0</v>
      </c>
      <c r="AG219" s="6">
        <f t="shared" si="386"/>
        <v>0</v>
      </c>
      <c r="AH219" s="5">
        <f t="shared" si="387"/>
        <v>0</v>
      </c>
      <c r="AI219" s="21">
        <f t="shared" si="388"/>
        <v>0</v>
      </c>
      <c r="AJ219" s="6">
        <f t="shared" si="389"/>
        <v>0</v>
      </c>
      <c r="AK219" s="5">
        <f t="shared" si="390"/>
        <v>0</v>
      </c>
      <c r="AL219" s="21">
        <f t="shared" si="391"/>
        <v>0</v>
      </c>
      <c r="AM219" s="21">
        <f t="shared" si="392"/>
        <v>0</v>
      </c>
      <c r="AN219" s="6">
        <f t="shared" si="393"/>
        <v>0</v>
      </c>
      <c r="AO219" s="5">
        <f t="shared" si="394"/>
        <v>0</v>
      </c>
      <c r="AP219" s="6">
        <f t="shared" si="395"/>
        <v>0</v>
      </c>
      <c r="AQ219" s="5">
        <f t="shared" si="396"/>
        <v>0</v>
      </c>
      <c r="AR219" s="2">
        <f t="shared" si="397"/>
        <v>0</v>
      </c>
      <c r="AS219" s="5">
        <f t="shared" si="398"/>
        <v>0</v>
      </c>
      <c r="AT219" s="21">
        <f t="shared" si="399"/>
        <v>0</v>
      </c>
      <c r="AU219" s="20">
        <f t="shared" si="400"/>
        <v>0</v>
      </c>
      <c r="AV219" s="20">
        <f t="shared" si="401"/>
        <v>1</v>
      </c>
      <c r="AW219" s="199">
        <f t="shared" si="402"/>
        <v>0</v>
      </c>
      <c r="AX219" s="24">
        <f t="shared" si="403"/>
        <v>0</v>
      </c>
      <c r="AY219" s="5">
        <f t="shared" si="404"/>
        <v>0</v>
      </c>
      <c r="AZ219" s="5">
        <f t="shared" si="405"/>
        <v>0</v>
      </c>
      <c r="BA219" s="5">
        <f t="shared" si="406"/>
        <v>0</v>
      </c>
      <c r="BB219" s="5">
        <f t="shared" si="407"/>
        <v>0</v>
      </c>
      <c r="BC219" s="5">
        <f t="shared" si="408"/>
        <v>0</v>
      </c>
      <c r="BD219" s="5">
        <f t="shared" si="409"/>
        <v>0</v>
      </c>
      <c r="BE219" s="199">
        <f t="shared" si="410"/>
        <v>0</v>
      </c>
      <c r="BF219" s="21">
        <f t="shared" si="411"/>
        <v>0</v>
      </c>
      <c r="BG219" s="6">
        <f t="shared" si="412"/>
        <v>0</v>
      </c>
      <c r="BH219" s="5" t="e">
        <f t="shared" si="413"/>
        <v>#DIV/0!</v>
      </c>
      <c r="BI219" s="6">
        <f t="shared" si="414"/>
        <v>0</v>
      </c>
      <c r="BJ219" s="5" t="e">
        <f t="shared" si="415"/>
        <v>#DIV/0!</v>
      </c>
      <c r="BK219" s="20">
        <f t="shared" si="416"/>
        <v>-9.9999999999999998E-13</v>
      </c>
      <c r="BL219" s="20">
        <f t="shared" si="417"/>
        <v>0</v>
      </c>
      <c r="BM219" s="6">
        <f t="shared" si="418"/>
        <v>0</v>
      </c>
      <c r="BN219" s="5">
        <f t="shared" si="419"/>
        <v>0</v>
      </c>
      <c r="BO219" s="333">
        <f t="shared" si="420"/>
        <v>0</v>
      </c>
      <c r="BP219" s="334">
        <f t="shared" si="421"/>
        <v>0</v>
      </c>
      <c r="BQ219" s="6">
        <f t="shared" si="422"/>
        <v>0</v>
      </c>
      <c r="BR219" s="5">
        <f t="shared" si="423"/>
        <v>0</v>
      </c>
      <c r="BS219" s="6">
        <f t="shared" si="424"/>
        <v>0</v>
      </c>
      <c r="BT219" s="5">
        <f t="shared" si="425"/>
        <v>0</v>
      </c>
      <c r="BU219" s="181">
        <f t="shared" si="426"/>
        <v>0</v>
      </c>
      <c r="BV219" s="154">
        <f t="shared" si="427"/>
        <v>0</v>
      </c>
      <c r="BW219" s="181">
        <f t="shared" si="428"/>
        <v>0</v>
      </c>
      <c r="BX219" s="180">
        <f t="shared" si="429"/>
        <v>0</v>
      </c>
      <c r="BY219" s="181">
        <f t="shared" si="430"/>
        <v>0</v>
      </c>
      <c r="BZ219" s="154">
        <f t="shared" si="431"/>
        <v>0</v>
      </c>
      <c r="CA219" s="182">
        <f t="shared" si="432"/>
        <v>0</v>
      </c>
      <c r="CB219" s="2">
        <f t="shared" si="433"/>
        <v>0</v>
      </c>
      <c r="CC219" s="2">
        <f t="shared" si="434"/>
        <v>0</v>
      </c>
      <c r="CD219" s="2">
        <f t="shared" si="435"/>
        <v>0</v>
      </c>
      <c r="CE219" s="2">
        <f t="shared" si="436"/>
        <v>0</v>
      </c>
      <c r="CF219" s="6">
        <f t="shared" si="437"/>
        <v>0</v>
      </c>
      <c r="CG219" s="6">
        <f t="shared" si="438"/>
        <v>0</v>
      </c>
      <c r="CH219" s="6">
        <f t="shared" si="439"/>
        <v>0</v>
      </c>
      <c r="CI219" s="20">
        <f t="shared" si="440"/>
        <v>0</v>
      </c>
      <c r="CJ219" s="133">
        <f t="shared" si="441"/>
        <v>2521</v>
      </c>
      <c r="CK219" s="5">
        <f t="shared" si="442"/>
        <v>0</v>
      </c>
      <c r="CL219" s="302"/>
      <c r="CM219" s="298" t="s">
        <v>13</v>
      </c>
      <c r="CN219" s="298" t="s">
        <v>1616</v>
      </c>
      <c r="CO219" s="298">
        <v>16</v>
      </c>
      <c r="CP219" s="298" t="s">
        <v>1617</v>
      </c>
      <c r="CQ219" s="298" t="s">
        <v>1131</v>
      </c>
      <c r="CR219" s="298" t="s">
        <v>644</v>
      </c>
      <c r="CS219" s="298" t="s">
        <v>1322</v>
      </c>
      <c r="CT219" s="298" t="s">
        <v>607</v>
      </c>
      <c r="CU219" s="299">
        <v>47118</v>
      </c>
      <c r="CV219" s="298">
        <v>0</v>
      </c>
      <c r="CW219" s="298">
        <v>0</v>
      </c>
      <c r="CX219" s="298">
        <v>0</v>
      </c>
      <c r="CY219" s="298">
        <v>0</v>
      </c>
      <c r="CZ219" s="298">
        <v>0</v>
      </c>
      <c r="DA219" s="298">
        <v>0</v>
      </c>
      <c r="DB219" s="298">
        <v>0</v>
      </c>
      <c r="DC219" s="298">
        <v>0</v>
      </c>
      <c r="DD219" s="298">
        <v>0</v>
      </c>
      <c r="DE219" s="298">
        <v>0</v>
      </c>
      <c r="DF219" s="298">
        <v>0</v>
      </c>
      <c r="DG219" s="298">
        <v>0</v>
      </c>
      <c r="DH219" s="298">
        <v>0</v>
      </c>
      <c r="DI219" s="298">
        <v>0</v>
      </c>
      <c r="DJ219" s="298">
        <v>0</v>
      </c>
      <c r="DK219" s="298">
        <v>0</v>
      </c>
      <c r="DL219" s="298">
        <v>0</v>
      </c>
      <c r="DM219" s="298">
        <v>0</v>
      </c>
      <c r="DN219" s="298">
        <v>0</v>
      </c>
      <c r="DO219" s="298">
        <v>0</v>
      </c>
      <c r="DP219" s="298">
        <v>0</v>
      </c>
      <c r="DQ219" s="298">
        <v>0</v>
      </c>
      <c r="DR219" s="298">
        <v>0</v>
      </c>
      <c r="DS219" s="298">
        <v>0</v>
      </c>
      <c r="DT219" s="298">
        <v>0</v>
      </c>
      <c r="DU219" s="298">
        <v>0</v>
      </c>
      <c r="DV219" s="303" t="s">
        <v>548</v>
      </c>
    </row>
    <row r="220" spans="1:126" ht="24.95" customHeight="1" thickBot="1" x14ac:dyDescent="0.3">
      <c r="A220" s="29" t="str">
        <f t="shared" si="354"/>
        <v>219º</v>
      </c>
      <c r="B220" s="69" t="str">
        <f t="shared" si="356"/>
        <v>Danillo Spindula</v>
      </c>
      <c r="C220" s="269" t="str">
        <f t="shared" si="357"/>
        <v>BRA</v>
      </c>
      <c r="D220" s="99" t="str">
        <f t="shared" si="358"/>
        <v>Pé Esquerdo</v>
      </c>
      <c r="E220" s="28" t="str">
        <f t="shared" si="359"/>
        <v>CON</v>
      </c>
      <c r="F220" s="169">
        <f t="shared" si="360"/>
        <v>17</v>
      </c>
      <c r="G220" s="2" t="str">
        <f t="shared" si="361"/>
        <v>0 €</v>
      </c>
      <c r="H220" s="154">
        <f t="shared" si="362"/>
        <v>1.83</v>
      </c>
      <c r="I220" s="64">
        <f t="shared" si="363"/>
        <v>47118</v>
      </c>
      <c r="J220" s="304" t="str">
        <f t="shared" si="364"/>
        <v>525 € p/m</v>
      </c>
      <c r="K220" s="96">
        <f t="shared" si="355"/>
        <v>3.5222222222222221</v>
      </c>
      <c r="L220" s="146">
        <f t="shared" si="365"/>
        <v>0.93333333333333335</v>
      </c>
      <c r="M220" s="6">
        <f t="shared" si="366"/>
        <v>1</v>
      </c>
      <c r="N220" s="5">
        <f t="shared" si="367"/>
        <v>84</v>
      </c>
      <c r="O220" s="21">
        <f t="shared" si="368"/>
        <v>1.0714285714285714</v>
      </c>
      <c r="P220" s="2">
        <f t="shared" si="369"/>
        <v>22</v>
      </c>
      <c r="Q220" s="2">
        <f t="shared" si="370"/>
        <v>11</v>
      </c>
      <c r="R220" s="5">
        <f t="shared" si="371"/>
        <v>11.785714285714285</v>
      </c>
      <c r="S220" s="2">
        <f t="shared" si="372"/>
        <v>11</v>
      </c>
      <c r="T220" s="2">
        <f t="shared" si="373"/>
        <v>0</v>
      </c>
      <c r="U220" s="102">
        <f t="shared" si="374"/>
        <v>0.5</v>
      </c>
      <c r="V220" s="102">
        <f t="shared" si="375"/>
        <v>0.5</v>
      </c>
      <c r="W220" s="6">
        <f t="shared" si="376"/>
        <v>22</v>
      </c>
      <c r="X220" s="5">
        <f t="shared" si="377"/>
        <v>23.571428571428569</v>
      </c>
      <c r="Y220" s="6">
        <f t="shared" si="378"/>
        <v>0</v>
      </c>
      <c r="Z220" s="5">
        <f t="shared" si="379"/>
        <v>0</v>
      </c>
      <c r="AA220" s="21">
        <f t="shared" si="380"/>
        <v>0</v>
      </c>
      <c r="AB220" s="6">
        <f t="shared" si="381"/>
        <v>0</v>
      </c>
      <c r="AC220" s="5">
        <f t="shared" si="382"/>
        <v>0</v>
      </c>
      <c r="AD220" s="6">
        <f t="shared" si="383"/>
        <v>1</v>
      </c>
      <c r="AE220" s="5">
        <f t="shared" si="384"/>
        <v>1.0714285714285714</v>
      </c>
      <c r="AF220" s="21">
        <f t="shared" si="385"/>
        <v>0.5</v>
      </c>
      <c r="AG220" s="6">
        <f t="shared" si="386"/>
        <v>1</v>
      </c>
      <c r="AH220" s="5">
        <f t="shared" si="387"/>
        <v>1.0714285714285714</v>
      </c>
      <c r="AI220" s="21">
        <f t="shared" si="388"/>
        <v>0.5</v>
      </c>
      <c r="AJ220" s="6">
        <f t="shared" si="389"/>
        <v>0</v>
      </c>
      <c r="AK220" s="5">
        <f t="shared" si="390"/>
        <v>0</v>
      </c>
      <c r="AL220" s="21">
        <f t="shared" si="391"/>
        <v>0</v>
      </c>
      <c r="AM220" s="21">
        <f t="shared" si="392"/>
        <v>1.0714285714285714</v>
      </c>
      <c r="AN220" s="6">
        <f t="shared" si="393"/>
        <v>1</v>
      </c>
      <c r="AO220" s="5">
        <f t="shared" si="394"/>
        <v>1.0714285714285714</v>
      </c>
      <c r="AP220" s="6">
        <f t="shared" si="395"/>
        <v>2</v>
      </c>
      <c r="AQ220" s="5">
        <f t="shared" si="396"/>
        <v>2.1428571428571428</v>
      </c>
      <c r="AR220" s="2">
        <f t="shared" si="397"/>
        <v>2</v>
      </c>
      <c r="AS220" s="5">
        <f t="shared" si="398"/>
        <v>2.1428571428571428</v>
      </c>
      <c r="AT220" s="21">
        <f t="shared" si="399"/>
        <v>1</v>
      </c>
      <c r="AU220" s="20">
        <f t="shared" si="400"/>
        <v>1</v>
      </c>
      <c r="AV220" s="20">
        <f t="shared" si="401"/>
        <v>0</v>
      </c>
      <c r="AW220" s="199">
        <f t="shared" si="402"/>
        <v>1.5</v>
      </c>
      <c r="AX220" s="24">
        <f t="shared" si="403"/>
        <v>0</v>
      </c>
      <c r="AY220" s="5">
        <f t="shared" si="404"/>
        <v>0</v>
      </c>
      <c r="AZ220" s="5">
        <f t="shared" si="405"/>
        <v>0</v>
      </c>
      <c r="BA220" s="5">
        <f t="shared" si="406"/>
        <v>1.65</v>
      </c>
      <c r="BB220" s="5">
        <f t="shared" si="407"/>
        <v>1.7678571428571428</v>
      </c>
      <c r="BC220" s="5">
        <f t="shared" si="408"/>
        <v>1.65</v>
      </c>
      <c r="BD220" s="5">
        <f t="shared" si="409"/>
        <v>1.7678571428571428</v>
      </c>
      <c r="BE220" s="199">
        <f t="shared" si="410"/>
        <v>1.65</v>
      </c>
      <c r="BF220" s="21">
        <f t="shared" si="411"/>
        <v>1</v>
      </c>
      <c r="BG220" s="6">
        <f t="shared" si="412"/>
        <v>0</v>
      </c>
      <c r="BH220" s="5">
        <f t="shared" si="413"/>
        <v>0</v>
      </c>
      <c r="BI220" s="6">
        <f t="shared" si="414"/>
        <v>0</v>
      </c>
      <c r="BJ220" s="5">
        <f t="shared" si="415"/>
        <v>0</v>
      </c>
      <c r="BK220" s="20">
        <f t="shared" si="416"/>
        <v>-9.9999999999999998E-13</v>
      </c>
      <c r="BL220" s="20">
        <f t="shared" si="417"/>
        <v>0</v>
      </c>
      <c r="BM220" s="6">
        <f t="shared" si="418"/>
        <v>0</v>
      </c>
      <c r="BN220" s="5">
        <f t="shared" si="419"/>
        <v>0</v>
      </c>
      <c r="BO220" s="333">
        <f t="shared" si="420"/>
        <v>0</v>
      </c>
      <c r="BP220" s="334">
        <f t="shared" si="421"/>
        <v>0</v>
      </c>
      <c r="BQ220" s="6">
        <f t="shared" si="422"/>
        <v>0</v>
      </c>
      <c r="BR220" s="5">
        <f t="shared" si="423"/>
        <v>0</v>
      </c>
      <c r="BS220" s="6">
        <f t="shared" si="424"/>
        <v>9.9866666666666664</v>
      </c>
      <c r="BT220" s="5">
        <f t="shared" si="425"/>
        <v>10.7</v>
      </c>
      <c r="BU220" s="181">
        <f t="shared" si="426"/>
        <v>0</v>
      </c>
      <c r="BV220" s="154">
        <f t="shared" si="427"/>
        <v>0</v>
      </c>
      <c r="BW220" s="181">
        <f t="shared" si="428"/>
        <v>0</v>
      </c>
      <c r="BX220" s="180">
        <f t="shared" si="429"/>
        <v>0</v>
      </c>
      <c r="BY220" s="181">
        <f t="shared" si="430"/>
        <v>0</v>
      </c>
      <c r="BZ220" s="154">
        <f t="shared" si="431"/>
        <v>0</v>
      </c>
      <c r="CA220" s="182">
        <f t="shared" si="432"/>
        <v>0</v>
      </c>
      <c r="CB220" s="2">
        <f t="shared" si="433"/>
        <v>0</v>
      </c>
      <c r="CC220" s="2">
        <f t="shared" si="434"/>
        <v>0</v>
      </c>
      <c r="CD220" s="2">
        <f t="shared" si="435"/>
        <v>0</v>
      </c>
      <c r="CE220" s="2">
        <f t="shared" si="436"/>
        <v>0</v>
      </c>
      <c r="CF220" s="6">
        <f t="shared" si="437"/>
        <v>0</v>
      </c>
      <c r="CG220" s="6">
        <f t="shared" si="438"/>
        <v>40.231000000000002</v>
      </c>
      <c r="CH220" s="6">
        <f t="shared" si="439"/>
        <v>13</v>
      </c>
      <c r="CI220" s="20">
        <f t="shared" si="440"/>
        <v>0.32313390171758094</v>
      </c>
      <c r="CJ220" s="133">
        <f t="shared" si="441"/>
        <v>2521</v>
      </c>
      <c r="CK220" s="5">
        <f t="shared" si="442"/>
        <v>7.6</v>
      </c>
      <c r="CL220" s="300" t="s">
        <v>1235</v>
      </c>
      <c r="CM220" s="296" t="s">
        <v>13</v>
      </c>
      <c r="CN220" s="296" t="s">
        <v>1618</v>
      </c>
      <c r="CO220" s="296">
        <v>17</v>
      </c>
      <c r="CP220" s="296" t="s">
        <v>1619</v>
      </c>
      <c r="CQ220" s="296" t="s">
        <v>1131</v>
      </c>
      <c r="CR220" s="296" t="s">
        <v>652</v>
      </c>
      <c r="CS220" s="296" t="s">
        <v>1322</v>
      </c>
      <c r="CT220" s="296" t="s">
        <v>586</v>
      </c>
      <c r="CU220" s="297">
        <v>47118</v>
      </c>
      <c r="CV220" s="296">
        <v>1</v>
      </c>
      <c r="CW220" s="296">
        <v>84</v>
      </c>
      <c r="CX220" s="296">
        <v>0</v>
      </c>
      <c r="CY220" s="296">
        <v>1</v>
      </c>
      <c r="CZ220" s="296">
        <v>1</v>
      </c>
      <c r="DA220" s="296">
        <v>0</v>
      </c>
      <c r="DB220" s="296">
        <v>0</v>
      </c>
      <c r="DC220" s="296">
        <v>0</v>
      </c>
      <c r="DD220" s="296">
        <v>10.7</v>
      </c>
      <c r="DE220" s="296">
        <v>1</v>
      </c>
      <c r="DF220" s="296">
        <v>0</v>
      </c>
      <c r="DG220" s="296">
        <v>0</v>
      </c>
      <c r="DH220" s="296">
        <v>0</v>
      </c>
      <c r="DI220" s="296">
        <v>0</v>
      </c>
      <c r="DJ220" s="296">
        <v>0</v>
      </c>
      <c r="DK220" s="296">
        <v>0</v>
      </c>
      <c r="DL220" s="296">
        <v>22</v>
      </c>
      <c r="DM220" s="296">
        <v>11</v>
      </c>
      <c r="DN220" s="296" t="s">
        <v>915</v>
      </c>
      <c r="DO220" s="296">
        <v>0</v>
      </c>
      <c r="DP220" s="296">
        <v>0</v>
      </c>
      <c r="DQ220" s="296">
        <v>0</v>
      </c>
      <c r="DR220" s="296">
        <v>0</v>
      </c>
      <c r="DS220" s="296">
        <v>0</v>
      </c>
      <c r="DT220" s="296">
        <v>0</v>
      </c>
      <c r="DU220" s="296">
        <v>0</v>
      </c>
      <c r="DV220" s="301">
        <v>7.6</v>
      </c>
    </row>
    <row r="221" spans="1:126" ht="24.95" customHeight="1" thickBot="1" x14ac:dyDescent="0.3">
      <c r="A221" s="29" t="str">
        <f t="shared" si="354"/>
        <v>220º</v>
      </c>
      <c r="B221" s="69" t="str">
        <f t="shared" si="356"/>
        <v>Alexandre Mastroiani</v>
      </c>
      <c r="C221" s="269" t="str">
        <f t="shared" si="357"/>
        <v>BRA</v>
      </c>
      <c r="D221" s="99" t="str">
        <f t="shared" si="358"/>
        <v>Pé Direito</v>
      </c>
      <c r="E221" s="28" t="str">
        <f t="shared" si="359"/>
        <v>Cabofriense</v>
      </c>
      <c r="F221" s="169">
        <f t="shared" si="360"/>
        <v>17</v>
      </c>
      <c r="G221" s="2" t="str">
        <f t="shared" si="361"/>
        <v>0 €</v>
      </c>
      <c r="H221" s="154">
        <f t="shared" si="362"/>
        <v>1.88</v>
      </c>
      <c r="I221" s="64">
        <f t="shared" si="363"/>
        <v>47118</v>
      </c>
      <c r="J221" s="304" t="str">
        <f t="shared" si="364"/>
        <v>525 € p/m</v>
      </c>
      <c r="K221" s="96">
        <f t="shared" si="355"/>
        <v>3.5222222222222221</v>
      </c>
      <c r="L221" s="146">
        <f t="shared" si="365"/>
        <v>0</v>
      </c>
      <c r="M221" s="6">
        <f t="shared" si="366"/>
        <v>0</v>
      </c>
      <c r="N221" s="5">
        <f t="shared" si="367"/>
        <v>5400</v>
      </c>
      <c r="O221" s="21">
        <f t="shared" si="368"/>
        <v>0</v>
      </c>
      <c r="P221" s="2">
        <f t="shared" si="369"/>
        <v>0</v>
      </c>
      <c r="Q221" s="2">
        <f t="shared" si="370"/>
        <v>0</v>
      </c>
      <c r="R221" s="5">
        <f t="shared" si="371"/>
        <v>0</v>
      </c>
      <c r="S221" s="2">
        <f t="shared" si="372"/>
        <v>0</v>
      </c>
      <c r="T221" s="2">
        <f t="shared" si="373"/>
        <v>0</v>
      </c>
      <c r="U221" s="102">
        <f t="shared" si="374"/>
        <v>0</v>
      </c>
      <c r="V221" s="102">
        <f t="shared" si="375"/>
        <v>0</v>
      </c>
      <c r="W221" s="6">
        <f t="shared" si="376"/>
        <v>0</v>
      </c>
      <c r="X221" s="5">
        <f t="shared" si="377"/>
        <v>0</v>
      </c>
      <c r="Y221" s="6">
        <f t="shared" si="378"/>
        <v>0</v>
      </c>
      <c r="Z221" s="5" t="e">
        <f t="shared" si="379"/>
        <v>#DIV/0!</v>
      </c>
      <c r="AA221" s="21">
        <f t="shared" si="380"/>
        <v>0</v>
      </c>
      <c r="AB221" s="6">
        <f t="shared" si="381"/>
        <v>0</v>
      </c>
      <c r="AC221" s="5" t="e">
        <f t="shared" si="382"/>
        <v>#DIV/0!</v>
      </c>
      <c r="AD221" s="6">
        <f t="shared" si="383"/>
        <v>0</v>
      </c>
      <c r="AE221" s="5">
        <f t="shared" si="384"/>
        <v>0</v>
      </c>
      <c r="AF221" s="21">
        <f t="shared" si="385"/>
        <v>0</v>
      </c>
      <c r="AG221" s="6">
        <f t="shared" si="386"/>
        <v>0</v>
      </c>
      <c r="AH221" s="5">
        <f t="shared" si="387"/>
        <v>0</v>
      </c>
      <c r="AI221" s="21">
        <f t="shared" si="388"/>
        <v>0</v>
      </c>
      <c r="AJ221" s="6">
        <f t="shared" si="389"/>
        <v>0</v>
      </c>
      <c r="AK221" s="5">
        <f t="shared" si="390"/>
        <v>0</v>
      </c>
      <c r="AL221" s="21">
        <f t="shared" si="391"/>
        <v>0</v>
      </c>
      <c r="AM221" s="21">
        <f t="shared" si="392"/>
        <v>0</v>
      </c>
      <c r="AN221" s="6">
        <f t="shared" si="393"/>
        <v>0</v>
      </c>
      <c r="AO221" s="5">
        <f t="shared" si="394"/>
        <v>0</v>
      </c>
      <c r="AP221" s="6">
        <f t="shared" si="395"/>
        <v>0</v>
      </c>
      <c r="AQ221" s="5">
        <f t="shared" si="396"/>
        <v>0</v>
      </c>
      <c r="AR221" s="2">
        <f t="shared" si="397"/>
        <v>0</v>
      </c>
      <c r="AS221" s="5">
        <f t="shared" si="398"/>
        <v>0</v>
      </c>
      <c r="AT221" s="21">
        <f t="shared" si="399"/>
        <v>0</v>
      </c>
      <c r="AU221" s="20">
        <f t="shared" si="400"/>
        <v>0</v>
      </c>
      <c r="AV221" s="20">
        <f t="shared" si="401"/>
        <v>1</v>
      </c>
      <c r="AW221" s="199">
        <f t="shared" si="402"/>
        <v>0</v>
      </c>
      <c r="AX221" s="24">
        <f t="shared" si="403"/>
        <v>0</v>
      </c>
      <c r="AY221" s="5">
        <f t="shared" si="404"/>
        <v>0</v>
      </c>
      <c r="AZ221" s="5">
        <f t="shared" si="405"/>
        <v>0</v>
      </c>
      <c r="BA221" s="5">
        <f t="shared" si="406"/>
        <v>0</v>
      </c>
      <c r="BB221" s="5">
        <f t="shared" si="407"/>
        <v>0</v>
      </c>
      <c r="BC221" s="5">
        <f t="shared" si="408"/>
        <v>0</v>
      </c>
      <c r="BD221" s="5">
        <f t="shared" si="409"/>
        <v>0</v>
      </c>
      <c r="BE221" s="199">
        <f t="shared" si="410"/>
        <v>0</v>
      </c>
      <c r="BF221" s="21">
        <f t="shared" si="411"/>
        <v>0</v>
      </c>
      <c r="BG221" s="6">
        <f t="shared" si="412"/>
        <v>0</v>
      </c>
      <c r="BH221" s="5" t="e">
        <f t="shared" si="413"/>
        <v>#DIV/0!</v>
      </c>
      <c r="BI221" s="6">
        <f t="shared" si="414"/>
        <v>0</v>
      </c>
      <c r="BJ221" s="5" t="e">
        <f t="shared" si="415"/>
        <v>#DIV/0!</v>
      </c>
      <c r="BK221" s="20">
        <f t="shared" si="416"/>
        <v>-9.9999999999999998E-13</v>
      </c>
      <c r="BL221" s="20">
        <f t="shared" si="417"/>
        <v>0</v>
      </c>
      <c r="BM221" s="6">
        <f t="shared" si="418"/>
        <v>0</v>
      </c>
      <c r="BN221" s="5">
        <f t="shared" si="419"/>
        <v>0</v>
      </c>
      <c r="BO221" s="333">
        <f t="shared" si="420"/>
        <v>0</v>
      </c>
      <c r="BP221" s="334">
        <f t="shared" si="421"/>
        <v>0</v>
      </c>
      <c r="BQ221" s="6">
        <f t="shared" si="422"/>
        <v>0</v>
      </c>
      <c r="BR221" s="5">
        <f t="shared" si="423"/>
        <v>0</v>
      </c>
      <c r="BS221" s="6">
        <f t="shared" si="424"/>
        <v>0</v>
      </c>
      <c r="BT221" s="5">
        <f t="shared" si="425"/>
        <v>0</v>
      </c>
      <c r="BU221" s="181">
        <f t="shared" si="426"/>
        <v>0</v>
      </c>
      <c r="BV221" s="154">
        <f t="shared" si="427"/>
        <v>0</v>
      </c>
      <c r="BW221" s="181">
        <f t="shared" si="428"/>
        <v>0</v>
      </c>
      <c r="BX221" s="180">
        <f t="shared" si="429"/>
        <v>0</v>
      </c>
      <c r="BY221" s="181">
        <f t="shared" si="430"/>
        <v>0</v>
      </c>
      <c r="BZ221" s="154">
        <f t="shared" si="431"/>
        <v>0</v>
      </c>
      <c r="CA221" s="182">
        <f t="shared" si="432"/>
        <v>0</v>
      </c>
      <c r="CB221" s="2">
        <f t="shared" si="433"/>
        <v>0</v>
      </c>
      <c r="CC221" s="2">
        <f t="shared" si="434"/>
        <v>0</v>
      </c>
      <c r="CD221" s="2">
        <f t="shared" si="435"/>
        <v>0</v>
      </c>
      <c r="CE221" s="2">
        <f t="shared" si="436"/>
        <v>0</v>
      </c>
      <c r="CF221" s="6">
        <f t="shared" si="437"/>
        <v>0</v>
      </c>
      <c r="CG221" s="6">
        <f t="shared" si="438"/>
        <v>0</v>
      </c>
      <c r="CH221" s="6">
        <f t="shared" si="439"/>
        <v>0</v>
      </c>
      <c r="CI221" s="20">
        <f t="shared" si="440"/>
        <v>0</v>
      </c>
      <c r="CJ221" s="133">
        <f t="shared" si="441"/>
        <v>2521</v>
      </c>
      <c r="CK221" s="5">
        <f t="shared" si="442"/>
        <v>0</v>
      </c>
      <c r="CL221" s="302"/>
      <c r="CM221" s="298" t="s">
        <v>13</v>
      </c>
      <c r="CN221" s="298" t="s">
        <v>1418</v>
      </c>
      <c r="CO221" s="298">
        <v>17</v>
      </c>
      <c r="CP221" s="298" t="s">
        <v>1620</v>
      </c>
      <c r="CQ221" s="298" t="s">
        <v>1131</v>
      </c>
      <c r="CR221" s="298" t="s">
        <v>644</v>
      </c>
      <c r="CS221" s="298" t="s">
        <v>1322</v>
      </c>
      <c r="CT221" s="298" t="s">
        <v>552</v>
      </c>
      <c r="CU221" s="299">
        <v>47118</v>
      </c>
      <c r="CV221" s="298">
        <v>0</v>
      </c>
      <c r="CW221" s="298">
        <v>0</v>
      </c>
      <c r="CX221" s="298">
        <v>0</v>
      </c>
      <c r="CY221" s="298">
        <v>0</v>
      </c>
      <c r="CZ221" s="298">
        <v>0</v>
      </c>
      <c r="DA221" s="298">
        <v>0</v>
      </c>
      <c r="DB221" s="298">
        <v>0</v>
      </c>
      <c r="DC221" s="298">
        <v>0</v>
      </c>
      <c r="DD221" s="298">
        <v>0</v>
      </c>
      <c r="DE221" s="298">
        <v>0</v>
      </c>
      <c r="DF221" s="298">
        <v>0</v>
      </c>
      <c r="DG221" s="298">
        <v>0</v>
      </c>
      <c r="DH221" s="298">
        <v>0</v>
      </c>
      <c r="DI221" s="298">
        <v>0</v>
      </c>
      <c r="DJ221" s="298">
        <v>0</v>
      </c>
      <c r="DK221" s="298">
        <v>0</v>
      </c>
      <c r="DL221" s="298">
        <v>0</v>
      </c>
      <c r="DM221" s="298">
        <v>0</v>
      </c>
      <c r="DN221" s="298">
        <v>0</v>
      </c>
      <c r="DO221" s="298">
        <v>0</v>
      </c>
      <c r="DP221" s="298">
        <v>0</v>
      </c>
      <c r="DQ221" s="298">
        <v>0</v>
      </c>
      <c r="DR221" s="298">
        <v>0</v>
      </c>
      <c r="DS221" s="298">
        <v>0</v>
      </c>
      <c r="DT221" s="298">
        <v>0</v>
      </c>
      <c r="DU221" s="298">
        <v>0</v>
      </c>
      <c r="DV221" s="303" t="s">
        <v>548</v>
      </c>
    </row>
    <row r="222" spans="1:126" ht="24.95" customHeight="1" thickBot="1" x14ac:dyDescent="0.3">
      <c r="A222" s="29" t="str">
        <f t="shared" si="354"/>
        <v>221º</v>
      </c>
      <c r="B222" s="69" t="str">
        <f t="shared" si="356"/>
        <v>Kleyton Pitanga</v>
      </c>
      <c r="C222" s="269" t="str">
        <f t="shared" si="357"/>
        <v>BRA</v>
      </c>
      <c r="D222" s="99" t="str">
        <f t="shared" si="358"/>
        <v>Pé Direito</v>
      </c>
      <c r="E222" s="28" t="str">
        <f t="shared" si="359"/>
        <v>Cianorte</v>
      </c>
      <c r="F222" s="169">
        <f t="shared" si="360"/>
        <v>16</v>
      </c>
      <c r="G222" s="2" t="str">
        <f t="shared" si="361"/>
        <v>0 €</v>
      </c>
      <c r="H222" s="154">
        <f t="shared" si="362"/>
        <v>1.86</v>
      </c>
      <c r="I222" s="64">
        <f t="shared" si="363"/>
        <v>47118</v>
      </c>
      <c r="J222" s="304" t="str">
        <f t="shared" si="364"/>
        <v>550 € p/m</v>
      </c>
      <c r="K222" s="96">
        <f t="shared" si="355"/>
        <v>3.5222222222222221</v>
      </c>
      <c r="L222" s="146">
        <f t="shared" si="365"/>
        <v>1.2</v>
      </c>
      <c r="M222" s="6">
        <f t="shared" si="366"/>
        <v>0</v>
      </c>
      <c r="N222" s="5">
        <f t="shared" si="367"/>
        <v>5400</v>
      </c>
      <c r="O222" s="21">
        <f t="shared" si="368"/>
        <v>0</v>
      </c>
      <c r="P222" s="2">
        <f t="shared" si="369"/>
        <v>30</v>
      </c>
      <c r="Q222" s="2">
        <f t="shared" si="370"/>
        <v>17</v>
      </c>
      <c r="R222" s="5">
        <f t="shared" si="371"/>
        <v>14.166666666666668</v>
      </c>
      <c r="S222" s="2">
        <f t="shared" si="372"/>
        <v>13</v>
      </c>
      <c r="T222" s="2">
        <f t="shared" si="373"/>
        <v>4</v>
      </c>
      <c r="U222" s="102">
        <f t="shared" si="374"/>
        <v>0.43333333333333335</v>
      </c>
      <c r="V222" s="102">
        <f t="shared" si="375"/>
        <v>0.56666666666666665</v>
      </c>
      <c r="W222" s="6">
        <f t="shared" si="376"/>
        <v>30</v>
      </c>
      <c r="X222" s="5">
        <f t="shared" si="377"/>
        <v>25</v>
      </c>
      <c r="Y222" s="6">
        <f t="shared" si="378"/>
        <v>0</v>
      </c>
      <c r="Z222" s="5">
        <f t="shared" si="379"/>
        <v>0</v>
      </c>
      <c r="AA222" s="21">
        <f t="shared" si="380"/>
        <v>0</v>
      </c>
      <c r="AB222" s="6">
        <f t="shared" si="381"/>
        <v>0</v>
      </c>
      <c r="AC222" s="5">
        <f t="shared" si="382"/>
        <v>0</v>
      </c>
      <c r="AD222" s="6">
        <f t="shared" si="383"/>
        <v>0</v>
      </c>
      <c r="AE222" s="5">
        <f t="shared" si="384"/>
        <v>0</v>
      </c>
      <c r="AF222" s="21">
        <f t="shared" si="385"/>
        <v>0</v>
      </c>
      <c r="AG222" s="6">
        <f t="shared" si="386"/>
        <v>2</v>
      </c>
      <c r="AH222" s="5">
        <f t="shared" si="387"/>
        <v>1.6666666666666667</v>
      </c>
      <c r="AI222" s="21">
        <f t="shared" si="388"/>
        <v>0.5</v>
      </c>
      <c r="AJ222" s="6">
        <f t="shared" si="389"/>
        <v>2</v>
      </c>
      <c r="AK222" s="5">
        <f t="shared" si="390"/>
        <v>0.14117647058823529</v>
      </c>
      <c r="AL222" s="21">
        <f t="shared" si="391"/>
        <v>0.5</v>
      </c>
      <c r="AM222" s="21">
        <f t="shared" si="392"/>
        <v>0</v>
      </c>
      <c r="AN222" s="6">
        <f t="shared" si="393"/>
        <v>0</v>
      </c>
      <c r="AO222" s="5">
        <f t="shared" si="394"/>
        <v>0</v>
      </c>
      <c r="AP222" s="6">
        <f t="shared" si="395"/>
        <v>4</v>
      </c>
      <c r="AQ222" s="5">
        <f t="shared" si="396"/>
        <v>3.3333333333333335</v>
      </c>
      <c r="AR222" s="2">
        <f t="shared" si="397"/>
        <v>7</v>
      </c>
      <c r="AS222" s="5">
        <f t="shared" si="398"/>
        <v>5.8333333333333339</v>
      </c>
      <c r="AT222" s="21">
        <f t="shared" si="399"/>
        <v>0.5714285714285714</v>
      </c>
      <c r="AU222" s="20">
        <f t="shared" si="400"/>
        <v>0.5714285714285714</v>
      </c>
      <c r="AV222" s="20">
        <f t="shared" si="401"/>
        <v>0.42857142857142855</v>
      </c>
      <c r="AW222" s="199">
        <f t="shared" si="402"/>
        <v>1</v>
      </c>
      <c r="AX222" s="24">
        <f t="shared" si="403"/>
        <v>36</v>
      </c>
      <c r="AY222" s="5">
        <f t="shared" si="404"/>
        <v>2.3333333333333335</v>
      </c>
      <c r="AZ222" s="5">
        <f t="shared" si="405"/>
        <v>2.3333333333333335</v>
      </c>
      <c r="BA222" s="5">
        <f t="shared" si="406"/>
        <v>-1.61</v>
      </c>
      <c r="BB222" s="5">
        <f t="shared" si="407"/>
        <v>-1.3416666666666668</v>
      </c>
      <c r="BC222" s="5">
        <f t="shared" si="408"/>
        <v>-1.61</v>
      </c>
      <c r="BD222" s="5">
        <f t="shared" si="409"/>
        <v>-1.3416666666666668</v>
      </c>
      <c r="BE222" s="199">
        <f t="shared" si="410"/>
        <v>-1.3416666666666668</v>
      </c>
      <c r="BF222" s="21">
        <f t="shared" si="411"/>
        <v>-1.1582733812949642</v>
      </c>
      <c r="BG222" s="6">
        <f t="shared" si="412"/>
        <v>0</v>
      </c>
      <c r="BH222" s="5">
        <f t="shared" si="413"/>
        <v>0</v>
      </c>
      <c r="BI222" s="6">
        <f t="shared" si="414"/>
        <v>0</v>
      </c>
      <c r="BJ222" s="5">
        <f t="shared" si="415"/>
        <v>0</v>
      </c>
      <c r="BK222" s="20">
        <f t="shared" si="416"/>
        <v>-9.9999999999999998E-13</v>
      </c>
      <c r="BL222" s="20">
        <f t="shared" si="417"/>
        <v>2.0229265003371545E-3</v>
      </c>
      <c r="BM222" s="6">
        <f t="shared" si="418"/>
        <v>3</v>
      </c>
      <c r="BN222" s="5">
        <f t="shared" si="419"/>
        <v>2.5</v>
      </c>
      <c r="BO222" s="333">
        <f t="shared" si="420"/>
        <v>0</v>
      </c>
      <c r="BP222" s="334">
        <f t="shared" si="421"/>
        <v>0</v>
      </c>
      <c r="BQ222" s="6">
        <f t="shared" si="422"/>
        <v>0</v>
      </c>
      <c r="BR222" s="5">
        <f t="shared" si="423"/>
        <v>0</v>
      </c>
      <c r="BS222" s="6">
        <f t="shared" si="424"/>
        <v>24.96</v>
      </c>
      <c r="BT222" s="5">
        <f t="shared" si="425"/>
        <v>20.8</v>
      </c>
      <c r="BU222" s="181">
        <f t="shared" si="426"/>
        <v>0</v>
      </c>
      <c r="BV222" s="154">
        <f t="shared" si="427"/>
        <v>0</v>
      </c>
      <c r="BW222" s="181">
        <f t="shared" si="428"/>
        <v>0</v>
      </c>
      <c r="BX222" s="180">
        <f t="shared" si="429"/>
        <v>0</v>
      </c>
      <c r="BY222" s="181">
        <f t="shared" si="430"/>
        <v>0</v>
      </c>
      <c r="BZ222" s="154">
        <f t="shared" si="431"/>
        <v>0</v>
      </c>
      <c r="CA222" s="182">
        <f t="shared" si="432"/>
        <v>0</v>
      </c>
      <c r="CB222" s="2">
        <f t="shared" si="433"/>
        <v>0</v>
      </c>
      <c r="CC222" s="2">
        <f t="shared" si="434"/>
        <v>0</v>
      </c>
      <c r="CD222" s="2">
        <f t="shared" si="435"/>
        <v>0</v>
      </c>
      <c r="CE222" s="2">
        <f t="shared" si="436"/>
        <v>0</v>
      </c>
      <c r="CF222" s="6">
        <f t="shared" si="437"/>
        <v>0</v>
      </c>
      <c r="CG222" s="6">
        <f t="shared" si="438"/>
        <v>64.664000000000001</v>
      </c>
      <c r="CH222" s="6">
        <f t="shared" si="439"/>
        <v>21</v>
      </c>
      <c r="CI222" s="20">
        <f t="shared" si="440"/>
        <v>0.32475566002721762</v>
      </c>
      <c r="CJ222" s="133">
        <f t="shared" si="441"/>
        <v>2521</v>
      </c>
      <c r="CK222" s="5">
        <f t="shared" si="442"/>
        <v>6.2</v>
      </c>
      <c r="CL222" s="300" t="s">
        <v>1235</v>
      </c>
      <c r="CM222" s="296" t="s">
        <v>13</v>
      </c>
      <c r="CN222" s="296" t="s">
        <v>1621</v>
      </c>
      <c r="CO222" s="296">
        <v>16</v>
      </c>
      <c r="CP222" s="296" t="s">
        <v>1622</v>
      </c>
      <c r="CQ222" s="296" t="s">
        <v>1131</v>
      </c>
      <c r="CR222" s="296" t="s">
        <v>644</v>
      </c>
      <c r="CS222" s="296" t="s">
        <v>1375</v>
      </c>
      <c r="CT222" s="296" t="s">
        <v>575</v>
      </c>
      <c r="CU222" s="297">
        <v>47118</v>
      </c>
      <c r="CV222" s="296">
        <v>0</v>
      </c>
      <c r="CW222" s="296">
        <v>108</v>
      </c>
      <c r="CX222" s="296">
        <v>3</v>
      </c>
      <c r="CY222" s="296">
        <v>0</v>
      </c>
      <c r="CZ222" s="296">
        <v>2</v>
      </c>
      <c r="DA222" s="296">
        <v>2</v>
      </c>
      <c r="DB222" s="296">
        <v>0</v>
      </c>
      <c r="DC222" s="296">
        <v>0</v>
      </c>
      <c r="DD222" s="296">
        <v>20.8</v>
      </c>
      <c r="DE222" s="296">
        <v>0</v>
      </c>
      <c r="DF222" s="296">
        <v>0</v>
      </c>
      <c r="DG222" s="296">
        <v>0</v>
      </c>
      <c r="DH222" s="296">
        <v>0</v>
      </c>
      <c r="DI222" s="296">
        <v>0</v>
      </c>
      <c r="DJ222" s="296">
        <v>0</v>
      </c>
      <c r="DK222" s="296">
        <v>0</v>
      </c>
      <c r="DL222" s="296">
        <v>30</v>
      </c>
      <c r="DM222" s="296">
        <v>17</v>
      </c>
      <c r="DN222" s="296" t="s">
        <v>1623</v>
      </c>
      <c r="DO222" s="296">
        <v>0</v>
      </c>
      <c r="DP222" s="296">
        <v>0</v>
      </c>
      <c r="DQ222" s="296">
        <v>0</v>
      </c>
      <c r="DR222" s="296">
        <v>0</v>
      </c>
      <c r="DS222" s="296">
        <v>0</v>
      </c>
      <c r="DT222" s="296">
        <v>0</v>
      </c>
      <c r="DU222" s="296">
        <v>0</v>
      </c>
      <c r="DV222" s="301">
        <v>6.2</v>
      </c>
    </row>
    <row r="223" spans="1:126" ht="24.95" customHeight="1" thickBot="1" x14ac:dyDescent="0.3">
      <c r="A223" s="29" t="str">
        <f t="shared" si="354"/>
        <v>222º</v>
      </c>
      <c r="B223" s="69" t="str">
        <f t="shared" si="356"/>
        <v>Vinicius Winitskowski</v>
      </c>
      <c r="C223" s="269" t="str">
        <f t="shared" si="357"/>
        <v>BRA</v>
      </c>
      <c r="D223" s="99" t="str">
        <f t="shared" si="358"/>
        <v>Pé Direito</v>
      </c>
      <c r="E223" s="28" t="str">
        <f t="shared" si="359"/>
        <v>Audax Rio</v>
      </c>
      <c r="F223" s="169">
        <f t="shared" si="360"/>
        <v>17</v>
      </c>
      <c r="G223" s="2" t="str">
        <f t="shared" si="361"/>
        <v>0 €</v>
      </c>
      <c r="H223" s="154">
        <f t="shared" si="362"/>
        <v>1.89</v>
      </c>
      <c r="I223" s="64">
        <f t="shared" si="363"/>
        <v>47118</v>
      </c>
      <c r="J223" s="304" t="str">
        <f t="shared" si="364"/>
        <v>525 € p/m</v>
      </c>
      <c r="K223" s="96">
        <f t="shared" si="355"/>
        <v>3.5222222222222221</v>
      </c>
      <c r="L223" s="146">
        <f t="shared" si="365"/>
        <v>0</v>
      </c>
      <c r="M223" s="6">
        <f t="shared" si="366"/>
        <v>0</v>
      </c>
      <c r="N223" s="5">
        <f t="shared" si="367"/>
        <v>5400</v>
      </c>
      <c r="O223" s="21">
        <f t="shared" si="368"/>
        <v>0</v>
      </c>
      <c r="P223" s="2">
        <f t="shared" si="369"/>
        <v>0</v>
      </c>
      <c r="Q223" s="2">
        <f t="shared" si="370"/>
        <v>0</v>
      </c>
      <c r="R223" s="5">
        <f t="shared" si="371"/>
        <v>0</v>
      </c>
      <c r="S223" s="2">
        <f t="shared" si="372"/>
        <v>0</v>
      </c>
      <c r="T223" s="2">
        <f t="shared" si="373"/>
        <v>0</v>
      </c>
      <c r="U223" s="102">
        <f t="shared" si="374"/>
        <v>0</v>
      </c>
      <c r="V223" s="102">
        <f t="shared" si="375"/>
        <v>0</v>
      </c>
      <c r="W223" s="6">
        <f t="shared" si="376"/>
        <v>0</v>
      </c>
      <c r="X223" s="5">
        <f t="shared" si="377"/>
        <v>0</v>
      </c>
      <c r="Y223" s="6">
        <f t="shared" si="378"/>
        <v>0</v>
      </c>
      <c r="Z223" s="5" t="e">
        <f t="shared" si="379"/>
        <v>#DIV/0!</v>
      </c>
      <c r="AA223" s="21">
        <f t="shared" si="380"/>
        <v>0</v>
      </c>
      <c r="AB223" s="6">
        <f t="shared" si="381"/>
        <v>0</v>
      </c>
      <c r="AC223" s="5" t="e">
        <f t="shared" si="382"/>
        <v>#DIV/0!</v>
      </c>
      <c r="AD223" s="6">
        <f t="shared" si="383"/>
        <v>0</v>
      </c>
      <c r="AE223" s="5">
        <f t="shared" si="384"/>
        <v>0</v>
      </c>
      <c r="AF223" s="21">
        <f t="shared" si="385"/>
        <v>0</v>
      </c>
      <c r="AG223" s="6">
        <f t="shared" si="386"/>
        <v>0</v>
      </c>
      <c r="AH223" s="5">
        <f t="shared" si="387"/>
        <v>0</v>
      </c>
      <c r="AI223" s="21">
        <f t="shared" si="388"/>
        <v>0</v>
      </c>
      <c r="AJ223" s="6">
        <f t="shared" si="389"/>
        <v>0</v>
      </c>
      <c r="AK223" s="5">
        <f t="shared" si="390"/>
        <v>0</v>
      </c>
      <c r="AL223" s="21">
        <f t="shared" si="391"/>
        <v>0</v>
      </c>
      <c r="AM223" s="21">
        <f t="shared" si="392"/>
        <v>0</v>
      </c>
      <c r="AN223" s="6">
        <f t="shared" si="393"/>
        <v>0</v>
      </c>
      <c r="AO223" s="5">
        <f t="shared" si="394"/>
        <v>0</v>
      </c>
      <c r="AP223" s="6">
        <f t="shared" si="395"/>
        <v>0</v>
      </c>
      <c r="AQ223" s="5">
        <f t="shared" si="396"/>
        <v>0</v>
      </c>
      <c r="AR223" s="2">
        <f t="shared" si="397"/>
        <v>0</v>
      </c>
      <c r="AS223" s="5">
        <f t="shared" si="398"/>
        <v>0</v>
      </c>
      <c r="AT223" s="21">
        <f t="shared" si="399"/>
        <v>0</v>
      </c>
      <c r="AU223" s="20">
        <f t="shared" si="400"/>
        <v>0</v>
      </c>
      <c r="AV223" s="20">
        <f t="shared" si="401"/>
        <v>1</v>
      </c>
      <c r="AW223" s="199">
        <f t="shared" si="402"/>
        <v>0</v>
      </c>
      <c r="AX223" s="24">
        <f t="shared" si="403"/>
        <v>0</v>
      </c>
      <c r="AY223" s="5">
        <f t="shared" si="404"/>
        <v>0</v>
      </c>
      <c r="AZ223" s="5">
        <f t="shared" si="405"/>
        <v>0</v>
      </c>
      <c r="BA223" s="5">
        <f t="shared" si="406"/>
        <v>0</v>
      </c>
      <c r="BB223" s="5">
        <f t="shared" si="407"/>
        <v>0</v>
      </c>
      <c r="BC223" s="5">
        <f t="shared" si="408"/>
        <v>0</v>
      </c>
      <c r="BD223" s="5">
        <f t="shared" si="409"/>
        <v>0</v>
      </c>
      <c r="BE223" s="199">
        <f t="shared" si="410"/>
        <v>0</v>
      </c>
      <c r="BF223" s="21">
        <f t="shared" si="411"/>
        <v>0</v>
      </c>
      <c r="BG223" s="6">
        <f t="shared" si="412"/>
        <v>0</v>
      </c>
      <c r="BH223" s="5" t="e">
        <f t="shared" si="413"/>
        <v>#DIV/0!</v>
      </c>
      <c r="BI223" s="6">
        <f t="shared" si="414"/>
        <v>0</v>
      </c>
      <c r="BJ223" s="5" t="e">
        <f t="shared" si="415"/>
        <v>#DIV/0!</v>
      </c>
      <c r="BK223" s="20">
        <f t="shared" si="416"/>
        <v>-9.9999999999999998E-13</v>
      </c>
      <c r="BL223" s="20">
        <f t="shared" si="417"/>
        <v>0</v>
      </c>
      <c r="BM223" s="6">
        <f t="shared" si="418"/>
        <v>0</v>
      </c>
      <c r="BN223" s="5">
        <f t="shared" si="419"/>
        <v>0</v>
      </c>
      <c r="BO223" s="333">
        <f t="shared" si="420"/>
        <v>0</v>
      </c>
      <c r="BP223" s="334">
        <f t="shared" si="421"/>
        <v>0</v>
      </c>
      <c r="BQ223" s="6">
        <f t="shared" si="422"/>
        <v>0</v>
      </c>
      <c r="BR223" s="5">
        <f t="shared" si="423"/>
        <v>0</v>
      </c>
      <c r="BS223" s="6">
        <f t="shared" si="424"/>
        <v>0</v>
      </c>
      <c r="BT223" s="5">
        <f t="shared" si="425"/>
        <v>0</v>
      </c>
      <c r="BU223" s="181">
        <f t="shared" si="426"/>
        <v>0</v>
      </c>
      <c r="BV223" s="154">
        <f t="shared" si="427"/>
        <v>0</v>
      </c>
      <c r="BW223" s="181">
        <f t="shared" si="428"/>
        <v>0</v>
      </c>
      <c r="BX223" s="180">
        <f t="shared" si="429"/>
        <v>0</v>
      </c>
      <c r="BY223" s="181">
        <f t="shared" si="430"/>
        <v>0</v>
      </c>
      <c r="BZ223" s="154">
        <f t="shared" si="431"/>
        <v>0</v>
      </c>
      <c r="CA223" s="182">
        <f t="shared" si="432"/>
        <v>0</v>
      </c>
      <c r="CB223" s="2">
        <f t="shared" si="433"/>
        <v>0</v>
      </c>
      <c r="CC223" s="2">
        <f t="shared" si="434"/>
        <v>0</v>
      </c>
      <c r="CD223" s="2">
        <f t="shared" si="435"/>
        <v>0</v>
      </c>
      <c r="CE223" s="2">
        <f t="shared" si="436"/>
        <v>0</v>
      </c>
      <c r="CF223" s="6">
        <f t="shared" si="437"/>
        <v>0</v>
      </c>
      <c r="CG223" s="6">
        <f t="shared" si="438"/>
        <v>0</v>
      </c>
      <c r="CH223" s="6">
        <f t="shared" si="439"/>
        <v>0</v>
      </c>
      <c r="CI223" s="20">
        <f t="shared" si="440"/>
        <v>0</v>
      </c>
      <c r="CJ223" s="133">
        <f t="shared" si="441"/>
        <v>2521</v>
      </c>
      <c r="CK223" s="5">
        <f t="shared" si="442"/>
        <v>0</v>
      </c>
      <c r="CL223" s="302"/>
      <c r="CM223" s="298" t="s">
        <v>13</v>
      </c>
      <c r="CN223" s="298" t="s">
        <v>1624</v>
      </c>
      <c r="CO223" s="298">
        <v>17</v>
      </c>
      <c r="CP223" s="298" t="s">
        <v>1625</v>
      </c>
      <c r="CQ223" s="298" t="s">
        <v>1131</v>
      </c>
      <c r="CR223" s="298" t="s">
        <v>644</v>
      </c>
      <c r="CS223" s="298" t="s">
        <v>1322</v>
      </c>
      <c r="CT223" s="298" t="s">
        <v>593</v>
      </c>
      <c r="CU223" s="299">
        <v>47118</v>
      </c>
      <c r="CV223" s="298">
        <v>0</v>
      </c>
      <c r="CW223" s="298">
        <v>0</v>
      </c>
      <c r="CX223" s="298">
        <v>0</v>
      </c>
      <c r="CY223" s="298">
        <v>0</v>
      </c>
      <c r="CZ223" s="298">
        <v>0</v>
      </c>
      <c r="DA223" s="298">
        <v>0</v>
      </c>
      <c r="DB223" s="298">
        <v>0</v>
      </c>
      <c r="DC223" s="298">
        <v>0</v>
      </c>
      <c r="DD223" s="298">
        <v>0</v>
      </c>
      <c r="DE223" s="298">
        <v>0</v>
      </c>
      <c r="DF223" s="298">
        <v>0</v>
      </c>
      <c r="DG223" s="298">
        <v>0</v>
      </c>
      <c r="DH223" s="298">
        <v>0</v>
      </c>
      <c r="DI223" s="298">
        <v>0</v>
      </c>
      <c r="DJ223" s="298">
        <v>0</v>
      </c>
      <c r="DK223" s="298">
        <v>0</v>
      </c>
      <c r="DL223" s="298">
        <v>0</v>
      </c>
      <c r="DM223" s="298">
        <v>0</v>
      </c>
      <c r="DN223" s="298">
        <v>0</v>
      </c>
      <c r="DO223" s="298">
        <v>0</v>
      </c>
      <c r="DP223" s="298">
        <v>0</v>
      </c>
      <c r="DQ223" s="298">
        <v>0</v>
      </c>
      <c r="DR223" s="298">
        <v>0</v>
      </c>
      <c r="DS223" s="298">
        <v>0</v>
      </c>
      <c r="DT223" s="298">
        <v>0</v>
      </c>
      <c r="DU223" s="298">
        <v>0</v>
      </c>
      <c r="DV223" s="303" t="s">
        <v>548</v>
      </c>
    </row>
    <row r="224" spans="1:126" ht="24.95" customHeight="1" thickBot="1" x14ac:dyDescent="0.3">
      <c r="A224" s="29" t="str">
        <f t="shared" si="354"/>
        <v>223º</v>
      </c>
      <c r="B224" s="69" t="str">
        <f t="shared" si="356"/>
        <v>Matheusão</v>
      </c>
      <c r="C224" s="269" t="str">
        <f t="shared" si="357"/>
        <v>BRA</v>
      </c>
      <c r="D224" s="99" t="str">
        <f t="shared" si="358"/>
        <v>Pé Direito</v>
      </c>
      <c r="E224" s="28" t="str">
        <f t="shared" si="359"/>
        <v>Anapolina</v>
      </c>
      <c r="F224" s="169">
        <f t="shared" si="360"/>
        <v>17</v>
      </c>
      <c r="G224" s="2" t="str">
        <f t="shared" si="361"/>
        <v>0 €</v>
      </c>
      <c r="H224" s="154">
        <f t="shared" si="362"/>
        <v>1.93</v>
      </c>
      <c r="I224" s="64">
        <f t="shared" si="363"/>
        <v>47118</v>
      </c>
      <c r="J224" s="304" t="str">
        <f t="shared" si="364"/>
        <v>525 € p/m</v>
      </c>
      <c r="K224" s="96">
        <f t="shared" si="355"/>
        <v>3.5222222222222221</v>
      </c>
      <c r="L224" s="146">
        <f t="shared" si="365"/>
        <v>0</v>
      </c>
      <c r="M224" s="6">
        <f t="shared" si="366"/>
        <v>0</v>
      </c>
      <c r="N224" s="5">
        <f t="shared" si="367"/>
        <v>5400</v>
      </c>
      <c r="O224" s="21">
        <f t="shared" si="368"/>
        <v>0</v>
      </c>
      <c r="P224" s="2">
        <f t="shared" si="369"/>
        <v>0</v>
      </c>
      <c r="Q224" s="2">
        <f t="shared" si="370"/>
        <v>0</v>
      </c>
      <c r="R224" s="5">
        <f t="shared" si="371"/>
        <v>0</v>
      </c>
      <c r="S224" s="2">
        <f t="shared" si="372"/>
        <v>0</v>
      </c>
      <c r="T224" s="2">
        <f t="shared" si="373"/>
        <v>0</v>
      </c>
      <c r="U224" s="102">
        <f t="shared" si="374"/>
        <v>0</v>
      </c>
      <c r="V224" s="102">
        <f t="shared" si="375"/>
        <v>0</v>
      </c>
      <c r="W224" s="6">
        <f t="shared" si="376"/>
        <v>0</v>
      </c>
      <c r="X224" s="5">
        <f t="shared" si="377"/>
        <v>0</v>
      </c>
      <c r="Y224" s="6">
        <f t="shared" si="378"/>
        <v>0</v>
      </c>
      <c r="Z224" s="5" t="e">
        <f t="shared" si="379"/>
        <v>#DIV/0!</v>
      </c>
      <c r="AA224" s="21">
        <f t="shared" si="380"/>
        <v>0</v>
      </c>
      <c r="AB224" s="6">
        <f t="shared" si="381"/>
        <v>0</v>
      </c>
      <c r="AC224" s="5" t="e">
        <f t="shared" si="382"/>
        <v>#DIV/0!</v>
      </c>
      <c r="AD224" s="6">
        <f t="shared" si="383"/>
        <v>0</v>
      </c>
      <c r="AE224" s="5">
        <f t="shared" si="384"/>
        <v>0</v>
      </c>
      <c r="AF224" s="21">
        <f t="shared" si="385"/>
        <v>0</v>
      </c>
      <c r="AG224" s="6">
        <f t="shared" si="386"/>
        <v>0</v>
      </c>
      <c r="AH224" s="5">
        <f t="shared" si="387"/>
        <v>0</v>
      </c>
      <c r="AI224" s="21">
        <f t="shared" si="388"/>
        <v>0</v>
      </c>
      <c r="AJ224" s="6">
        <f t="shared" si="389"/>
        <v>0</v>
      </c>
      <c r="AK224" s="5">
        <f t="shared" si="390"/>
        <v>0</v>
      </c>
      <c r="AL224" s="21">
        <f t="shared" si="391"/>
        <v>0</v>
      </c>
      <c r="AM224" s="21">
        <f t="shared" si="392"/>
        <v>0</v>
      </c>
      <c r="AN224" s="6">
        <f t="shared" si="393"/>
        <v>0</v>
      </c>
      <c r="AO224" s="5">
        <f t="shared" si="394"/>
        <v>0</v>
      </c>
      <c r="AP224" s="6">
        <f t="shared" si="395"/>
        <v>0</v>
      </c>
      <c r="AQ224" s="5">
        <f t="shared" si="396"/>
        <v>0</v>
      </c>
      <c r="AR224" s="2">
        <f t="shared" si="397"/>
        <v>0</v>
      </c>
      <c r="AS224" s="5">
        <f t="shared" si="398"/>
        <v>0</v>
      </c>
      <c r="AT224" s="21">
        <f t="shared" si="399"/>
        <v>0</v>
      </c>
      <c r="AU224" s="20">
        <f t="shared" si="400"/>
        <v>0</v>
      </c>
      <c r="AV224" s="20">
        <f t="shared" si="401"/>
        <v>1</v>
      </c>
      <c r="AW224" s="199">
        <f t="shared" si="402"/>
        <v>0</v>
      </c>
      <c r="AX224" s="24">
        <f t="shared" si="403"/>
        <v>0</v>
      </c>
      <c r="AY224" s="5">
        <f t="shared" si="404"/>
        <v>0</v>
      </c>
      <c r="AZ224" s="5">
        <f t="shared" si="405"/>
        <v>0</v>
      </c>
      <c r="BA224" s="5">
        <f t="shared" si="406"/>
        <v>0</v>
      </c>
      <c r="BB224" s="5">
        <f t="shared" si="407"/>
        <v>0</v>
      </c>
      <c r="BC224" s="5">
        <f t="shared" si="408"/>
        <v>0</v>
      </c>
      <c r="BD224" s="5">
        <f t="shared" si="409"/>
        <v>0</v>
      </c>
      <c r="BE224" s="199">
        <f t="shared" si="410"/>
        <v>0</v>
      </c>
      <c r="BF224" s="21">
        <f t="shared" si="411"/>
        <v>0</v>
      </c>
      <c r="BG224" s="6">
        <f t="shared" si="412"/>
        <v>0</v>
      </c>
      <c r="BH224" s="5" t="e">
        <f t="shared" si="413"/>
        <v>#DIV/0!</v>
      </c>
      <c r="BI224" s="6">
        <f t="shared" si="414"/>
        <v>0</v>
      </c>
      <c r="BJ224" s="5" t="e">
        <f t="shared" si="415"/>
        <v>#DIV/0!</v>
      </c>
      <c r="BK224" s="20">
        <f t="shared" si="416"/>
        <v>-9.9999999999999998E-13</v>
      </c>
      <c r="BL224" s="20">
        <f t="shared" si="417"/>
        <v>0</v>
      </c>
      <c r="BM224" s="6">
        <f t="shared" si="418"/>
        <v>0</v>
      </c>
      <c r="BN224" s="5">
        <f t="shared" si="419"/>
        <v>0</v>
      </c>
      <c r="BO224" s="333">
        <f t="shared" si="420"/>
        <v>0</v>
      </c>
      <c r="BP224" s="334">
        <f t="shared" si="421"/>
        <v>0</v>
      </c>
      <c r="BQ224" s="6">
        <f t="shared" si="422"/>
        <v>0</v>
      </c>
      <c r="BR224" s="5">
        <f t="shared" si="423"/>
        <v>0</v>
      </c>
      <c r="BS224" s="6">
        <f t="shared" si="424"/>
        <v>0</v>
      </c>
      <c r="BT224" s="5">
        <f t="shared" si="425"/>
        <v>0</v>
      </c>
      <c r="BU224" s="181">
        <f t="shared" si="426"/>
        <v>0</v>
      </c>
      <c r="BV224" s="154">
        <f t="shared" si="427"/>
        <v>0</v>
      </c>
      <c r="BW224" s="181">
        <f t="shared" si="428"/>
        <v>0</v>
      </c>
      <c r="BX224" s="180">
        <f t="shared" si="429"/>
        <v>0</v>
      </c>
      <c r="BY224" s="181">
        <f t="shared" si="430"/>
        <v>0</v>
      </c>
      <c r="BZ224" s="154">
        <f t="shared" si="431"/>
        <v>0</v>
      </c>
      <c r="CA224" s="182">
        <f t="shared" si="432"/>
        <v>0</v>
      </c>
      <c r="CB224" s="2">
        <f t="shared" si="433"/>
        <v>0</v>
      </c>
      <c r="CC224" s="2">
        <f t="shared" si="434"/>
        <v>0</v>
      </c>
      <c r="CD224" s="2">
        <f t="shared" si="435"/>
        <v>0</v>
      </c>
      <c r="CE224" s="2">
        <f t="shared" si="436"/>
        <v>0</v>
      </c>
      <c r="CF224" s="6">
        <f t="shared" si="437"/>
        <v>0</v>
      </c>
      <c r="CG224" s="6">
        <f t="shared" si="438"/>
        <v>0</v>
      </c>
      <c r="CH224" s="6">
        <f t="shared" si="439"/>
        <v>0</v>
      </c>
      <c r="CI224" s="20">
        <f t="shared" si="440"/>
        <v>0</v>
      </c>
      <c r="CJ224" s="133">
        <f t="shared" si="441"/>
        <v>2521</v>
      </c>
      <c r="CK224" s="5">
        <f t="shared" si="442"/>
        <v>0</v>
      </c>
      <c r="CL224" s="300" t="s">
        <v>1235</v>
      </c>
      <c r="CM224" s="296" t="s">
        <v>13</v>
      </c>
      <c r="CN224" s="296" t="s">
        <v>1626</v>
      </c>
      <c r="CO224" s="296">
        <v>17</v>
      </c>
      <c r="CP224" s="296" t="s">
        <v>1627</v>
      </c>
      <c r="CQ224" s="296" t="s">
        <v>1131</v>
      </c>
      <c r="CR224" s="296" t="s">
        <v>644</v>
      </c>
      <c r="CS224" s="296" t="s">
        <v>1322</v>
      </c>
      <c r="CT224" s="296" t="s">
        <v>1123</v>
      </c>
      <c r="CU224" s="297">
        <v>47118</v>
      </c>
      <c r="CV224" s="296">
        <v>0</v>
      </c>
      <c r="CW224" s="296">
        <v>0</v>
      </c>
      <c r="CX224" s="296">
        <v>0</v>
      </c>
      <c r="CY224" s="296">
        <v>0</v>
      </c>
      <c r="CZ224" s="296">
        <v>0</v>
      </c>
      <c r="DA224" s="296">
        <v>0</v>
      </c>
      <c r="DB224" s="296">
        <v>0</v>
      </c>
      <c r="DC224" s="296">
        <v>0</v>
      </c>
      <c r="DD224" s="296">
        <v>0</v>
      </c>
      <c r="DE224" s="296">
        <v>0</v>
      </c>
      <c r="DF224" s="296">
        <v>0</v>
      </c>
      <c r="DG224" s="296">
        <v>0</v>
      </c>
      <c r="DH224" s="296">
        <v>0</v>
      </c>
      <c r="DI224" s="296">
        <v>0</v>
      </c>
      <c r="DJ224" s="296">
        <v>0</v>
      </c>
      <c r="DK224" s="296">
        <v>0</v>
      </c>
      <c r="DL224" s="296">
        <v>0</v>
      </c>
      <c r="DM224" s="296">
        <v>0</v>
      </c>
      <c r="DN224" s="296">
        <v>0</v>
      </c>
      <c r="DO224" s="296">
        <v>0</v>
      </c>
      <c r="DP224" s="296">
        <v>0</v>
      </c>
      <c r="DQ224" s="296">
        <v>0</v>
      </c>
      <c r="DR224" s="296">
        <v>0</v>
      </c>
      <c r="DS224" s="296">
        <v>0</v>
      </c>
      <c r="DT224" s="296">
        <v>0</v>
      </c>
      <c r="DU224" s="296">
        <v>0</v>
      </c>
      <c r="DV224" s="301" t="s">
        <v>548</v>
      </c>
    </row>
    <row r="225" spans="1:126" ht="24.95" customHeight="1" thickBot="1" x14ac:dyDescent="0.3">
      <c r="A225" s="29" t="str">
        <f t="shared" si="354"/>
        <v>224º</v>
      </c>
      <c r="B225" s="69" t="str">
        <f t="shared" si="356"/>
        <v>Alexandre Luiz</v>
      </c>
      <c r="C225" s="269" t="str">
        <f t="shared" si="357"/>
        <v>BRA</v>
      </c>
      <c r="D225" s="99" t="str">
        <f t="shared" si="358"/>
        <v>Pé Direito</v>
      </c>
      <c r="E225" s="28" t="str">
        <f t="shared" si="359"/>
        <v>Alecrim</v>
      </c>
      <c r="F225" s="169">
        <f t="shared" si="360"/>
        <v>17</v>
      </c>
      <c r="G225" s="2" t="str">
        <f t="shared" si="361"/>
        <v>0 €</v>
      </c>
      <c r="H225" s="154">
        <f t="shared" si="362"/>
        <v>1.89</v>
      </c>
      <c r="I225" s="64">
        <f t="shared" si="363"/>
        <v>47118</v>
      </c>
      <c r="J225" s="304" t="str">
        <f t="shared" si="364"/>
        <v>525 € p/m</v>
      </c>
      <c r="K225" s="96">
        <f t="shared" si="355"/>
        <v>3.5222222222222221</v>
      </c>
      <c r="L225" s="146">
        <f t="shared" si="365"/>
        <v>0</v>
      </c>
      <c r="M225" s="6">
        <f t="shared" si="366"/>
        <v>0</v>
      </c>
      <c r="N225" s="5">
        <f t="shared" si="367"/>
        <v>5400</v>
      </c>
      <c r="O225" s="21">
        <f t="shared" si="368"/>
        <v>0</v>
      </c>
      <c r="P225" s="2">
        <f t="shared" si="369"/>
        <v>0</v>
      </c>
      <c r="Q225" s="2">
        <f t="shared" si="370"/>
        <v>0</v>
      </c>
      <c r="R225" s="5">
        <f t="shared" si="371"/>
        <v>0</v>
      </c>
      <c r="S225" s="2">
        <f t="shared" si="372"/>
        <v>0</v>
      </c>
      <c r="T225" s="2">
        <f t="shared" si="373"/>
        <v>0</v>
      </c>
      <c r="U225" s="102">
        <f t="shared" si="374"/>
        <v>0</v>
      </c>
      <c r="V225" s="102">
        <f t="shared" si="375"/>
        <v>0</v>
      </c>
      <c r="W225" s="6">
        <f t="shared" si="376"/>
        <v>0</v>
      </c>
      <c r="X225" s="5">
        <f t="shared" si="377"/>
        <v>0</v>
      </c>
      <c r="Y225" s="6">
        <f t="shared" si="378"/>
        <v>0</v>
      </c>
      <c r="Z225" s="5" t="e">
        <f t="shared" si="379"/>
        <v>#DIV/0!</v>
      </c>
      <c r="AA225" s="21">
        <f t="shared" si="380"/>
        <v>0</v>
      </c>
      <c r="AB225" s="6">
        <f t="shared" si="381"/>
        <v>0</v>
      </c>
      <c r="AC225" s="5" t="e">
        <f t="shared" si="382"/>
        <v>#DIV/0!</v>
      </c>
      <c r="AD225" s="6">
        <f t="shared" si="383"/>
        <v>0</v>
      </c>
      <c r="AE225" s="5">
        <f t="shared" si="384"/>
        <v>0</v>
      </c>
      <c r="AF225" s="21">
        <f t="shared" si="385"/>
        <v>0</v>
      </c>
      <c r="AG225" s="6">
        <f t="shared" si="386"/>
        <v>0</v>
      </c>
      <c r="AH225" s="5">
        <f t="shared" si="387"/>
        <v>0</v>
      </c>
      <c r="AI225" s="21">
        <f t="shared" si="388"/>
        <v>0</v>
      </c>
      <c r="AJ225" s="6">
        <f t="shared" si="389"/>
        <v>0</v>
      </c>
      <c r="AK225" s="5">
        <f t="shared" si="390"/>
        <v>0</v>
      </c>
      <c r="AL225" s="21">
        <f t="shared" si="391"/>
        <v>0</v>
      </c>
      <c r="AM225" s="21">
        <f t="shared" si="392"/>
        <v>0</v>
      </c>
      <c r="AN225" s="6">
        <f t="shared" si="393"/>
        <v>0</v>
      </c>
      <c r="AO225" s="5">
        <f t="shared" si="394"/>
        <v>0</v>
      </c>
      <c r="AP225" s="6">
        <f t="shared" si="395"/>
        <v>0</v>
      </c>
      <c r="AQ225" s="5">
        <f t="shared" si="396"/>
        <v>0</v>
      </c>
      <c r="AR225" s="2">
        <f t="shared" si="397"/>
        <v>0</v>
      </c>
      <c r="AS225" s="5">
        <f t="shared" si="398"/>
        <v>0</v>
      </c>
      <c r="AT225" s="21">
        <f t="shared" si="399"/>
        <v>0</v>
      </c>
      <c r="AU225" s="20">
        <f t="shared" si="400"/>
        <v>0</v>
      </c>
      <c r="AV225" s="20">
        <f t="shared" si="401"/>
        <v>1</v>
      </c>
      <c r="AW225" s="199">
        <f t="shared" si="402"/>
        <v>0</v>
      </c>
      <c r="AX225" s="24">
        <f t="shared" si="403"/>
        <v>0</v>
      </c>
      <c r="AY225" s="5">
        <f t="shared" si="404"/>
        <v>0</v>
      </c>
      <c r="AZ225" s="5">
        <f t="shared" si="405"/>
        <v>0</v>
      </c>
      <c r="BA225" s="5">
        <f t="shared" si="406"/>
        <v>0</v>
      </c>
      <c r="BB225" s="5">
        <f t="shared" si="407"/>
        <v>0</v>
      </c>
      <c r="BC225" s="5">
        <f t="shared" si="408"/>
        <v>0</v>
      </c>
      <c r="BD225" s="5">
        <f t="shared" si="409"/>
        <v>0</v>
      </c>
      <c r="BE225" s="199">
        <f t="shared" si="410"/>
        <v>0</v>
      </c>
      <c r="BF225" s="21">
        <f t="shared" si="411"/>
        <v>0</v>
      </c>
      <c r="BG225" s="6">
        <f t="shared" si="412"/>
        <v>0</v>
      </c>
      <c r="BH225" s="5" t="e">
        <f t="shared" si="413"/>
        <v>#DIV/0!</v>
      </c>
      <c r="BI225" s="6">
        <f t="shared" si="414"/>
        <v>0</v>
      </c>
      <c r="BJ225" s="5" t="e">
        <f t="shared" si="415"/>
        <v>#DIV/0!</v>
      </c>
      <c r="BK225" s="20">
        <f t="shared" si="416"/>
        <v>-9.9999999999999998E-13</v>
      </c>
      <c r="BL225" s="20">
        <f t="shared" si="417"/>
        <v>0</v>
      </c>
      <c r="BM225" s="6">
        <f t="shared" si="418"/>
        <v>0</v>
      </c>
      <c r="BN225" s="5">
        <f t="shared" si="419"/>
        <v>0</v>
      </c>
      <c r="BO225" s="333">
        <f t="shared" si="420"/>
        <v>0</v>
      </c>
      <c r="BP225" s="334">
        <f t="shared" si="421"/>
        <v>0</v>
      </c>
      <c r="BQ225" s="6">
        <f t="shared" si="422"/>
        <v>0</v>
      </c>
      <c r="BR225" s="5">
        <f t="shared" si="423"/>
        <v>0</v>
      </c>
      <c r="BS225" s="6">
        <f t="shared" si="424"/>
        <v>0</v>
      </c>
      <c r="BT225" s="5">
        <f t="shared" si="425"/>
        <v>0</v>
      </c>
      <c r="BU225" s="181">
        <f t="shared" si="426"/>
        <v>0</v>
      </c>
      <c r="BV225" s="154">
        <f t="shared" si="427"/>
        <v>0</v>
      </c>
      <c r="BW225" s="181">
        <f t="shared" si="428"/>
        <v>0</v>
      </c>
      <c r="BX225" s="180">
        <f t="shared" si="429"/>
        <v>0</v>
      </c>
      <c r="BY225" s="181">
        <f t="shared" si="430"/>
        <v>0</v>
      </c>
      <c r="BZ225" s="154">
        <f t="shared" si="431"/>
        <v>0</v>
      </c>
      <c r="CA225" s="182">
        <f t="shared" si="432"/>
        <v>0</v>
      </c>
      <c r="CB225" s="2">
        <f t="shared" si="433"/>
        <v>0</v>
      </c>
      <c r="CC225" s="2">
        <f t="shared" si="434"/>
        <v>0</v>
      </c>
      <c r="CD225" s="2">
        <f t="shared" si="435"/>
        <v>0</v>
      </c>
      <c r="CE225" s="2">
        <f t="shared" si="436"/>
        <v>0</v>
      </c>
      <c r="CF225" s="6">
        <f t="shared" si="437"/>
        <v>0</v>
      </c>
      <c r="CG225" s="6">
        <f t="shared" si="438"/>
        <v>0</v>
      </c>
      <c r="CH225" s="6">
        <f t="shared" si="439"/>
        <v>0</v>
      </c>
      <c r="CI225" s="20">
        <f t="shared" si="440"/>
        <v>0</v>
      </c>
      <c r="CJ225" s="133">
        <f t="shared" si="441"/>
        <v>2521</v>
      </c>
      <c r="CK225" s="5">
        <f t="shared" si="442"/>
        <v>0</v>
      </c>
      <c r="CL225" s="302" t="s">
        <v>1235</v>
      </c>
      <c r="CM225" s="298" t="s">
        <v>13</v>
      </c>
      <c r="CN225" s="298" t="s">
        <v>1628</v>
      </c>
      <c r="CO225" s="298">
        <v>17</v>
      </c>
      <c r="CP225" s="298" t="s">
        <v>1629</v>
      </c>
      <c r="CQ225" s="298" t="s">
        <v>1131</v>
      </c>
      <c r="CR225" s="298" t="s">
        <v>644</v>
      </c>
      <c r="CS225" s="298" t="s">
        <v>1322</v>
      </c>
      <c r="CT225" s="298" t="s">
        <v>593</v>
      </c>
      <c r="CU225" s="299">
        <v>47118</v>
      </c>
      <c r="CV225" s="298">
        <v>0</v>
      </c>
      <c r="CW225" s="298">
        <v>0</v>
      </c>
      <c r="CX225" s="298">
        <v>0</v>
      </c>
      <c r="CY225" s="298">
        <v>0</v>
      </c>
      <c r="CZ225" s="298">
        <v>0</v>
      </c>
      <c r="DA225" s="298">
        <v>0</v>
      </c>
      <c r="DB225" s="298">
        <v>0</v>
      </c>
      <c r="DC225" s="298">
        <v>0</v>
      </c>
      <c r="DD225" s="298">
        <v>0</v>
      </c>
      <c r="DE225" s="298">
        <v>0</v>
      </c>
      <c r="DF225" s="298">
        <v>0</v>
      </c>
      <c r="DG225" s="298">
        <v>0</v>
      </c>
      <c r="DH225" s="298">
        <v>0</v>
      </c>
      <c r="DI225" s="298">
        <v>0</v>
      </c>
      <c r="DJ225" s="298">
        <v>0</v>
      </c>
      <c r="DK225" s="298">
        <v>0</v>
      </c>
      <c r="DL225" s="298">
        <v>0</v>
      </c>
      <c r="DM225" s="298">
        <v>0</v>
      </c>
      <c r="DN225" s="298">
        <v>0</v>
      </c>
      <c r="DO225" s="298">
        <v>0</v>
      </c>
      <c r="DP225" s="298">
        <v>0</v>
      </c>
      <c r="DQ225" s="298">
        <v>0</v>
      </c>
      <c r="DR225" s="298">
        <v>0</v>
      </c>
      <c r="DS225" s="298">
        <v>0</v>
      </c>
      <c r="DT225" s="298">
        <v>0</v>
      </c>
      <c r="DU225" s="298">
        <v>0</v>
      </c>
      <c r="DV225" s="303" t="s">
        <v>548</v>
      </c>
    </row>
    <row r="226" spans="1:126" ht="24.95" customHeight="1" thickBot="1" x14ac:dyDescent="0.3">
      <c r="A226" s="29" t="str">
        <f t="shared" si="354"/>
        <v>225º</v>
      </c>
      <c r="B226" s="69" t="str">
        <f t="shared" si="356"/>
        <v>Ronaldo</v>
      </c>
      <c r="C226" s="269" t="str">
        <f t="shared" si="357"/>
        <v>BRA</v>
      </c>
      <c r="D226" s="99" t="str">
        <f t="shared" si="358"/>
        <v>Pé Direito</v>
      </c>
      <c r="E226" s="28" t="str">
        <f t="shared" si="359"/>
        <v>BFC</v>
      </c>
      <c r="F226" s="169">
        <f t="shared" si="360"/>
        <v>17</v>
      </c>
      <c r="G226" s="2" t="str">
        <f t="shared" si="361"/>
        <v>0 €</v>
      </c>
      <c r="H226" s="154">
        <f t="shared" si="362"/>
        <v>1.92</v>
      </c>
      <c r="I226" s="64">
        <f t="shared" si="363"/>
        <v>47118</v>
      </c>
      <c r="J226" s="304" t="str">
        <f t="shared" si="364"/>
        <v>525 € p/m</v>
      </c>
      <c r="K226" s="96">
        <f t="shared" si="355"/>
        <v>3.5222222222222221</v>
      </c>
      <c r="L226" s="146">
        <f t="shared" si="365"/>
        <v>0</v>
      </c>
      <c r="M226" s="6">
        <f t="shared" si="366"/>
        <v>0</v>
      </c>
      <c r="N226" s="5">
        <f t="shared" si="367"/>
        <v>5400</v>
      </c>
      <c r="O226" s="21">
        <f t="shared" si="368"/>
        <v>0</v>
      </c>
      <c r="P226" s="2">
        <f t="shared" si="369"/>
        <v>0</v>
      </c>
      <c r="Q226" s="2">
        <f t="shared" si="370"/>
        <v>0</v>
      </c>
      <c r="R226" s="5">
        <f t="shared" si="371"/>
        <v>0</v>
      </c>
      <c r="S226" s="2">
        <f t="shared" si="372"/>
        <v>0</v>
      </c>
      <c r="T226" s="2">
        <f t="shared" si="373"/>
        <v>0</v>
      </c>
      <c r="U226" s="102">
        <f t="shared" si="374"/>
        <v>0</v>
      </c>
      <c r="V226" s="102">
        <f t="shared" si="375"/>
        <v>0</v>
      </c>
      <c r="W226" s="6">
        <f t="shared" si="376"/>
        <v>0</v>
      </c>
      <c r="X226" s="5">
        <f t="shared" si="377"/>
        <v>0</v>
      </c>
      <c r="Y226" s="6">
        <f t="shared" si="378"/>
        <v>0</v>
      </c>
      <c r="Z226" s="5" t="e">
        <f t="shared" si="379"/>
        <v>#DIV/0!</v>
      </c>
      <c r="AA226" s="21">
        <f t="shared" si="380"/>
        <v>0</v>
      </c>
      <c r="AB226" s="6">
        <f t="shared" si="381"/>
        <v>0</v>
      </c>
      <c r="AC226" s="5" t="e">
        <f t="shared" si="382"/>
        <v>#DIV/0!</v>
      </c>
      <c r="AD226" s="6">
        <f t="shared" si="383"/>
        <v>0</v>
      </c>
      <c r="AE226" s="5">
        <f t="shared" si="384"/>
        <v>0</v>
      </c>
      <c r="AF226" s="21">
        <f t="shared" si="385"/>
        <v>0</v>
      </c>
      <c r="AG226" s="6">
        <f t="shared" si="386"/>
        <v>0</v>
      </c>
      <c r="AH226" s="5">
        <f t="shared" si="387"/>
        <v>0</v>
      </c>
      <c r="AI226" s="21">
        <f t="shared" si="388"/>
        <v>0</v>
      </c>
      <c r="AJ226" s="6">
        <f t="shared" si="389"/>
        <v>0</v>
      </c>
      <c r="AK226" s="5">
        <f t="shared" si="390"/>
        <v>0</v>
      </c>
      <c r="AL226" s="21">
        <f t="shared" si="391"/>
        <v>0</v>
      </c>
      <c r="AM226" s="21">
        <f t="shared" si="392"/>
        <v>0</v>
      </c>
      <c r="AN226" s="6">
        <f t="shared" si="393"/>
        <v>0</v>
      </c>
      <c r="AO226" s="5">
        <f t="shared" si="394"/>
        <v>0</v>
      </c>
      <c r="AP226" s="6">
        <f t="shared" si="395"/>
        <v>0</v>
      </c>
      <c r="AQ226" s="5">
        <f t="shared" si="396"/>
        <v>0</v>
      </c>
      <c r="AR226" s="2">
        <f t="shared" si="397"/>
        <v>0</v>
      </c>
      <c r="AS226" s="5">
        <f t="shared" si="398"/>
        <v>0</v>
      </c>
      <c r="AT226" s="21">
        <f t="shared" si="399"/>
        <v>0</v>
      </c>
      <c r="AU226" s="20">
        <f t="shared" si="400"/>
        <v>0</v>
      </c>
      <c r="AV226" s="20">
        <f t="shared" si="401"/>
        <v>1</v>
      </c>
      <c r="AW226" s="199">
        <f t="shared" si="402"/>
        <v>0</v>
      </c>
      <c r="AX226" s="24">
        <f t="shared" si="403"/>
        <v>0</v>
      </c>
      <c r="AY226" s="5">
        <f t="shared" si="404"/>
        <v>0</v>
      </c>
      <c r="AZ226" s="5">
        <f t="shared" si="405"/>
        <v>0</v>
      </c>
      <c r="BA226" s="5">
        <f t="shared" si="406"/>
        <v>0</v>
      </c>
      <c r="BB226" s="5">
        <f t="shared" si="407"/>
        <v>0</v>
      </c>
      <c r="BC226" s="5">
        <f t="shared" si="408"/>
        <v>0</v>
      </c>
      <c r="BD226" s="5">
        <f t="shared" si="409"/>
        <v>0</v>
      </c>
      <c r="BE226" s="199">
        <f t="shared" si="410"/>
        <v>0</v>
      </c>
      <c r="BF226" s="21">
        <f t="shared" si="411"/>
        <v>0</v>
      </c>
      <c r="BG226" s="6">
        <f t="shared" si="412"/>
        <v>0</v>
      </c>
      <c r="BH226" s="5" t="e">
        <f t="shared" si="413"/>
        <v>#DIV/0!</v>
      </c>
      <c r="BI226" s="6">
        <f t="shared" si="414"/>
        <v>0</v>
      </c>
      <c r="BJ226" s="5" t="e">
        <f t="shared" si="415"/>
        <v>#DIV/0!</v>
      </c>
      <c r="BK226" s="20">
        <f t="shared" si="416"/>
        <v>-9.9999999999999998E-13</v>
      </c>
      <c r="BL226" s="20">
        <f t="shared" si="417"/>
        <v>0</v>
      </c>
      <c r="BM226" s="6">
        <f t="shared" si="418"/>
        <v>0</v>
      </c>
      <c r="BN226" s="5">
        <f t="shared" si="419"/>
        <v>0</v>
      </c>
      <c r="BO226" s="333">
        <f t="shared" si="420"/>
        <v>0</v>
      </c>
      <c r="BP226" s="334">
        <f t="shared" si="421"/>
        <v>0</v>
      </c>
      <c r="BQ226" s="6">
        <f t="shared" si="422"/>
        <v>0</v>
      </c>
      <c r="BR226" s="5">
        <f t="shared" si="423"/>
        <v>0</v>
      </c>
      <c r="BS226" s="6">
        <f t="shared" si="424"/>
        <v>0</v>
      </c>
      <c r="BT226" s="5">
        <f t="shared" si="425"/>
        <v>0</v>
      </c>
      <c r="BU226" s="181">
        <f t="shared" si="426"/>
        <v>0</v>
      </c>
      <c r="BV226" s="154">
        <f t="shared" si="427"/>
        <v>0</v>
      </c>
      <c r="BW226" s="181">
        <f t="shared" si="428"/>
        <v>0</v>
      </c>
      <c r="BX226" s="180">
        <f t="shared" si="429"/>
        <v>0</v>
      </c>
      <c r="BY226" s="181">
        <f t="shared" si="430"/>
        <v>0</v>
      </c>
      <c r="BZ226" s="154">
        <f t="shared" si="431"/>
        <v>0</v>
      </c>
      <c r="CA226" s="182">
        <f t="shared" si="432"/>
        <v>0</v>
      </c>
      <c r="CB226" s="2">
        <f t="shared" si="433"/>
        <v>0</v>
      </c>
      <c r="CC226" s="2">
        <f t="shared" si="434"/>
        <v>0</v>
      </c>
      <c r="CD226" s="2">
        <f t="shared" si="435"/>
        <v>0</v>
      </c>
      <c r="CE226" s="2">
        <f t="shared" si="436"/>
        <v>0</v>
      </c>
      <c r="CF226" s="6">
        <f t="shared" si="437"/>
        <v>0</v>
      </c>
      <c r="CG226" s="6">
        <f t="shared" si="438"/>
        <v>0</v>
      </c>
      <c r="CH226" s="6">
        <f t="shared" si="439"/>
        <v>0</v>
      </c>
      <c r="CI226" s="20">
        <f t="shared" si="440"/>
        <v>0</v>
      </c>
      <c r="CJ226" s="133">
        <f t="shared" si="441"/>
        <v>2521</v>
      </c>
      <c r="CK226" s="5">
        <f t="shared" si="442"/>
        <v>0</v>
      </c>
      <c r="CL226" s="300"/>
      <c r="CM226" s="296" t="s">
        <v>13</v>
      </c>
      <c r="CN226" s="296" t="s">
        <v>1630</v>
      </c>
      <c r="CO226" s="296">
        <v>17</v>
      </c>
      <c r="CP226" s="296" t="s">
        <v>1515</v>
      </c>
      <c r="CQ226" s="296" t="s">
        <v>1131</v>
      </c>
      <c r="CR226" s="296" t="s">
        <v>644</v>
      </c>
      <c r="CS226" s="296" t="s">
        <v>1322</v>
      </c>
      <c r="CT226" s="296" t="s">
        <v>549</v>
      </c>
      <c r="CU226" s="297">
        <v>47118</v>
      </c>
      <c r="CV226" s="296">
        <v>0</v>
      </c>
      <c r="CW226" s="296">
        <v>0</v>
      </c>
      <c r="CX226" s="296">
        <v>0</v>
      </c>
      <c r="CY226" s="296">
        <v>0</v>
      </c>
      <c r="CZ226" s="296">
        <v>0</v>
      </c>
      <c r="DA226" s="296">
        <v>0</v>
      </c>
      <c r="DB226" s="296">
        <v>0</v>
      </c>
      <c r="DC226" s="296">
        <v>0</v>
      </c>
      <c r="DD226" s="296">
        <v>0</v>
      </c>
      <c r="DE226" s="296">
        <v>0</v>
      </c>
      <c r="DF226" s="296">
        <v>0</v>
      </c>
      <c r="DG226" s="296">
        <v>0</v>
      </c>
      <c r="DH226" s="296">
        <v>0</v>
      </c>
      <c r="DI226" s="296">
        <v>0</v>
      </c>
      <c r="DJ226" s="296">
        <v>0</v>
      </c>
      <c r="DK226" s="296">
        <v>0</v>
      </c>
      <c r="DL226" s="296">
        <v>0</v>
      </c>
      <c r="DM226" s="296">
        <v>0</v>
      </c>
      <c r="DN226" s="296">
        <v>0</v>
      </c>
      <c r="DO226" s="296">
        <v>0</v>
      </c>
      <c r="DP226" s="296">
        <v>0</v>
      </c>
      <c r="DQ226" s="296">
        <v>0</v>
      </c>
      <c r="DR226" s="296">
        <v>0</v>
      </c>
      <c r="DS226" s="296">
        <v>0</v>
      </c>
      <c r="DT226" s="296">
        <v>0</v>
      </c>
      <c r="DU226" s="296">
        <v>0</v>
      </c>
      <c r="DV226" s="301" t="s">
        <v>548</v>
      </c>
    </row>
    <row r="227" spans="1:126" ht="24.95" customHeight="1" thickBot="1" x14ac:dyDescent="0.3">
      <c r="A227" s="29" t="str">
        <f t="shared" si="354"/>
        <v>226º</v>
      </c>
      <c r="B227" s="69" t="str">
        <f t="shared" si="356"/>
        <v>Steninho</v>
      </c>
      <c r="C227" s="269" t="str">
        <f t="shared" si="357"/>
        <v>BRA</v>
      </c>
      <c r="D227" s="99" t="str">
        <f t="shared" si="358"/>
        <v>Pé Direito</v>
      </c>
      <c r="E227" s="28" t="str">
        <f t="shared" si="359"/>
        <v>Linense (SP)</v>
      </c>
      <c r="F227" s="169">
        <f t="shared" si="360"/>
        <v>16</v>
      </c>
      <c r="G227" s="2" t="str">
        <f t="shared" si="361"/>
        <v>0 €</v>
      </c>
      <c r="H227" s="154">
        <f t="shared" si="362"/>
        <v>1.92</v>
      </c>
      <c r="I227" s="64">
        <f t="shared" si="363"/>
        <v>47118</v>
      </c>
      <c r="J227" s="304" t="str">
        <f t="shared" si="364"/>
        <v>525 € p/m</v>
      </c>
      <c r="K227" s="96">
        <f t="shared" si="355"/>
        <v>3.5222222222222221</v>
      </c>
      <c r="L227" s="146">
        <f t="shared" si="365"/>
        <v>0</v>
      </c>
      <c r="M227" s="6">
        <f t="shared" si="366"/>
        <v>0</v>
      </c>
      <c r="N227" s="5">
        <f t="shared" si="367"/>
        <v>5400</v>
      </c>
      <c r="O227" s="21">
        <f t="shared" si="368"/>
        <v>0</v>
      </c>
      <c r="P227" s="2">
        <f t="shared" si="369"/>
        <v>0</v>
      </c>
      <c r="Q227" s="2">
        <f t="shared" si="370"/>
        <v>0</v>
      </c>
      <c r="R227" s="5">
        <f t="shared" si="371"/>
        <v>0</v>
      </c>
      <c r="S227" s="2">
        <f t="shared" si="372"/>
        <v>0</v>
      </c>
      <c r="T227" s="2">
        <f t="shared" si="373"/>
        <v>0</v>
      </c>
      <c r="U227" s="102">
        <f t="shared" si="374"/>
        <v>0</v>
      </c>
      <c r="V227" s="102">
        <f t="shared" si="375"/>
        <v>0</v>
      </c>
      <c r="W227" s="6">
        <f t="shared" si="376"/>
        <v>0</v>
      </c>
      <c r="X227" s="5">
        <f t="shared" si="377"/>
        <v>0</v>
      </c>
      <c r="Y227" s="6">
        <f t="shared" si="378"/>
        <v>0</v>
      </c>
      <c r="Z227" s="5" t="e">
        <f t="shared" si="379"/>
        <v>#DIV/0!</v>
      </c>
      <c r="AA227" s="21">
        <f t="shared" si="380"/>
        <v>0</v>
      </c>
      <c r="AB227" s="6">
        <f t="shared" si="381"/>
        <v>0</v>
      </c>
      <c r="AC227" s="5" t="e">
        <f t="shared" si="382"/>
        <v>#DIV/0!</v>
      </c>
      <c r="AD227" s="6">
        <f t="shared" si="383"/>
        <v>0</v>
      </c>
      <c r="AE227" s="5">
        <f t="shared" si="384"/>
        <v>0</v>
      </c>
      <c r="AF227" s="21">
        <f t="shared" si="385"/>
        <v>0</v>
      </c>
      <c r="AG227" s="6">
        <f t="shared" si="386"/>
        <v>0</v>
      </c>
      <c r="AH227" s="5">
        <f t="shared" si="387"/>
        <v>0</v>
      </c>
      <c r="AI227" s="21">
        <f t="shared" si="388"/>
        <v>0</v>
      </c>
      <c r="AJ227" s="6">
        <f t="shared" si="389"/>
        <v>0</v>
      </c>
      <c r="AK227" s="5">
        <f t="shared" si="390"/>
        <v>0</v>
      </c>
      <c r="AL227" s="21">
        <f t="shared" si="391"/>
        <v>0</v>
      </c>
      <c r="AM227" s="21">
        <f t="shared" si="392"/>
        <v>0</v>
      </c>
      <c r="AN227" s="6">
        <f t="shared" si="393"/>
        <v>0</v>
      </c>
      <c r="AO227" s="5">
        <f t="shared" si="394"/>
        <v>0</v>
      </c>
      <c r="AP227" s="6">
        <f t="shared" si="395"/>
        <v>0</v>
      </c>
      <c r="AQ227" s="5">
        <f t="shared" si="396"/>
        <v>0</v>
      </c>
      <c r="AR227" s="2">
        <f t="shared" si="397"/>
        <v>0</v>
      </c>
      <c r="AS227" s="5">
        <f t="shared" si="398"/>
        <v>0</v>
      </c>
      <c r="AT227" s="21">
        <f t="shared" si="399"/>
        <v>0</v>
      </c>
      <c r="AU227" s="20">
        <f t="shared" si="400"/>
        <v>0</v>
      </c>
      <c r="AV227" s="20">
        <f t="shared" si="401"/>
        <v>1</v>
      </c>
      <c r="AW227" s="199">
        <f t="shared" si="402"/>
        <v>0</v>
      </c>
      <c r="AX227" s="24">
        <f t="shared" si="403"/>
        <v>0</v>
      </c>
      <c r="AY227" s="5">
        <f t="shared" si="404"/>
        <v>0</v>
      </c>
      <c r="AZ227" s="5">
        <f t="shared" si="405"/>
        <v>0</v>
      </c>
      <c r="BA227" s="5">
        <f t="shared" si="406"/>
        <v>0</v>
      </c>
      <c r="BB227" s="5">
        <f t="shared" si="407"/>
        <v>0</v>
      </c>
      <c r="BC227" s="5">
        <f t="shared" si="408"/>
        <v>0</v>
      </c>
      <c r="BD227" s="5">
        <f t="shared" si="409"/>
        <v>0</v>
      </c>
      <c r="BE227" s="199">
        <f t="shared" si="410"/>
        <v>0</v>
      </c>
      <c r="BF227" s="21">
        <f t="shared" si="411"/>
        <v>0</v>
      </c>
      <c r="BG227" s="6">
        <f t="shared" si="412"/>
        <v>0</v>
      </c>
      <c r="BH227" s="5" t="e">
        <f t="shared" si="413"/>
        <v>#DIV/0!</v>
      </c>
      <c r="BI227" s="6">
        <f t="shared" si="414"/>
        <v>0</v>
      </c>
      <c r="BJ227" s="5" t="e">
        <f t="shared" si="415"/>
        <v>#DIV/0!</v>
      </c>
      <c r="BK227" s="20">
        <f t="shared" si="416"/>
        <v>-9.9999999999999998E-13</v>
      </c>
      <c r="BL227" s="20">
        <f t="shared" si="417"/>
        <v>0</v>
      </c>
      <c r="BM227" s="6">
        <f t="shared" si="418"/>
        <v>0</v>
      </c>
      <c r="BN227" s="5">
        <f t="shared" si="419"/>
        <v>0</v>
      </c>
      <c r="BO227" s="333">
        <f t="shared" si="420"/>
        <v>0</v>
      </c>
      <c r="BP227" s="334">
        <f t="shared" si="421"/>
        <v>0</v>
      </c>
      <c r="BQ227" s="6">
        <f t="shared" si="422"/>
        <v>0</v>
      </c>
      <c r="BR227" s="5">
        <f t="shared" si="423"/>
        <v>0</v>
      </c>
      <c r="BS227" s="6">
        <f t="shared" si="424"/>
        <v>0</v>
      </c>
      <c r="BT227" s="5">
        <f t="shared" si="425"/>
        <v>0</v>
      </c>
      <c r="BU227" s="181">
        <f t="shared" si="426"/>
        <v>0</v>
      </c>
      <c r="BV227" s="154">
        <f t="shared" si="427"/>
        <v>0</v>
      </c>
      <c r="BW227" s="181">
        <f t="shared" si="428"/>
        <v>0</v>
      </c>
      <c r="BX227" s="180">
        <f t="shared" si="429"/>
        <v>0</v>
      </c>
      <c r="BY227" s="181">
        <f t="shared" si="430"/>
        <v>0</v>
      </c>
      <c r="BZ227" s="154">
        <f t="shared" si="431"/>
        <v>0</v>
      </c>
      <c r="CA227" s="182">
        <f t="shared" si="432"/>
        <v>0</v>
      </c>
      <c r="CB227" s="2">
        <f t="shared" si="433"/>
        <v>0</v>
      </c>
      <c r="CC227" s="2">
        <f t="shared" si="434"/>
        <v>0</v>
      </c>
      <c r="CD227" s="2">
        <f t="shared" si="435"/>
        <v>0</v>
      </c>
      <c r="CE227" s="2">
        <f t="shared" si="436"/>
        <v>0</v>
      </c>
      <c r="CF227" s="6">
        <f t="shared" si="437"/>
        <v>0</v>
      </c>
      <c r="CG227" s="6">
        <f t="shared" si="438"/>
        <v>0</v>
      </c>
      <c r="CH227" s="6">
        <f t="shared" si="439"/>
        <v>0</v>
      </c>
      <c r="CI227" s="20">
        <f t="shared" si="440"/>
        <v>0</v>
      </c>
      <c r="CJ227" s="133">
        <f t="shared" si="441"/>
        <v>2521</v>
      </c>
      <c r="CK227" s="5">
        <f t="shared" si="442"/>
        <v>0</v>
      </c>
      <c r="CL227" s="302"/>
      <c r="CM227" s="298" t="s">
        <v>13</v>
      </c>
      <c r="CN227" s="298" t="s">
        <v>1631</v>
      </c>
      <c r="CO227" s="298">
        <v>16</v>
      </c>
      <c r="CP227" s="298" t="s">
        <v>1632</v>
      </c>
      <c r="CQ227" s="298" t="s">
        <v>1131</v>
      </c>
      <c r="CR227" s="298" t="s">
        <v>644</v>
      </c>
      <c r="CS227" s="298" t="s">
        <v>1322</v>
      </c>
      <c r="CT227" s="298" t="s">
        <v>549</v>
      </c>
      <c r="CU227" s="299">
        <v>47118</v>
      </c>
      <c r="CV227" s="298">
        <v>0</v>
      </c>
      <c r="CW227" s="298">
        <v>0</v>
      </c>
      <c r="CX227" s="298">
        <v>0</v>
      </c>
      <c r="CY227" s="298">
        <v>0</v>
      </c>
      <c r="CZ227" s="298">
        <v>0</v>
      </c>
      <c r="DA227" s="298">
        <v>0</v>
      </c>
      <c r="DB227" s="298">
        <v>0</v>
      </c>
      <c r="DC227" s="298">
        <v>0</v>
      </c>
      <c r="DD227" s="298">
        <v>0</v>
      </c>
      <c r="DE227" s="298">
        <v>0</v>
      </c>
      <c r="DF227" s="298">
        <v>0</v>
      </c>
      <c r="DG227" s="298">
        <v>0</v>
      </c>
      <c r="DH227" s="298">
        <v>0</v>
      </c>
      <c r="DI227" s="298">
        <v>0</v>
      </c>
      <c r="DJ227" s="298">
        <v>0</v>
      </c>
      <c r="DK227" s="298">
        <v>0</v>
      </c>
      <c r="DL227" s="298">
        <v>0</v>
      </c>
      <c r="DM227" s="298">
        <v>0</v>
      </c>
      <c r="DN227" s="298">
        <v>0</v>
      </c>
      <c r="DO227" s="298">
        <v>0</v>
      </c>
      <c r="DP227" s="298">
        <v>0</v>
      </c>
      <c r="DQ227" s="298">
        <v>0</v>
      </c>
      <c r="DR227" s="298">
        <v>0</v>
      </c>
      <c r="DS227" s="298">
        <v>0</v>
      </c>
      <c r="DT227" s="298">
        <v>0</v>
      </c>
      <c r="DU227" s="298">
        <v>0</v>
      </c>
      <c r="DV227" s="303" t="s">
        <v>548</v>
      </c>
    </row>
    <row r="228" spans="1:126" ht="24.95" customHeight="1" thickBot="1" x14ac:dyDescent="0.3">
      <c r="A228" s="29" t="str">
        <f t="shared" si="354"/>
        <v>227º</v>
      </c>
      <c r="B228" s="69" t="str">
        <f t="shared" si="356"/>
        <v>Marcelo</v>
      </c>
      <c r="C228" s="269" t="str">
        <f t="shared" si="357"/>
        <v>BRA</v>
      </c>
      <c r="D228" s="99" t="str">
        <f t="shared" si="358"/>
        <v>Pé Direito</v>
      </c>
      <c r="E228" s="28" t="str">
        <f t="shared" si="359"/>
        <v>Olaria</v>
      </c>
      <c r="F228" s="169">
        <f t="shared" si="360"/>
        <v>17</v>
      </c>
      <c r="G228" s="2" t="str">
        <f t="shared" si="361"/>
        <v>0 €</v>
      </c>
      <c r="H228" s="154">
        <f t="shared" si="362"/>
        <v>1.89</v>
      </c>
      <c r="I228" s="64">
        <f t="shared" si="363"/>
        <v>47118</v>
      </c>
      <c r="J228" s="304" t="str">
        <f t="shared" si="364"/>
        <v>525 € p/m</v>
      </c>
      <c r="K228" s="96">
        <f t="shared" si="355"/>
        <v>3.5222222222222221</v>
      </c>
      <c r="L228" s="146">
        <f t="shared" si="365"/>
        <v>0</v>
      </c>
      <c r="M228" s="6">
        <f t="shared" si="366"/>
        <v>0</v>
      </c>
      <c r="N228" s="5">
        <f t="shared" si="367"/>
        <v>5400</v>
      </c>
      <c r="O228" s="21">
        <f t="shared" si="368"/>
        <v>0</v>
      </c>
      <c r="P228" s="2">
        <f t="shared" si="369"/>
        <v>0</v>
      </c>
      <c r="Q228" s="2">
        <f t="shared" si="370"/>
        <v>0</v>
      </c>
      <c r="R228" s="5">
        <f t="shared" si="371"/>
        <v>0</v>
      </c>
      <c r="S228" s="2">
        <f t="shared" si="372"/>
        <v>0</v>
      </c>
      <c r="T228" s="2">
        <f t="shared" si="373"/>
        <v>0</v>
      </c>
      <c r="U228" s="102">
        <f t="shared" si="374"/>
        <v>0</v>
      </c>
      <c r="V228" s="102">
        <f t="shared" si="375"/>
        <v>0</v>
      </c>
      <c r="W228" s="6">
        <f t="shared" si="376"/>
        <v>0</v>
      </c>
      <c r="X228" s="5">
        <f t="shared" si="377"/>
        <v>0</v>
      </c>
      <c r="Y228" s="6">
        <f t="shared" si="378"/>
        <v>0</v>
      </c>
      <c r="Z228" s="5" t="e">
        <f t="shared" si="379"/>
        <v>#DIV/0!</v>
      </c>
      <c r="AA228" s="21">
        <f t="shared" si="380"/>
        <v>0</v>
      </c>
      <c r="AB228" s="6">
        <f t="shared" si="381"/>
        <v>0</v>
      </c>
      <c r="AC228" s="5" t="e">
        <f t="shared" si="382"/>
        <v>#DIV/0!</v>
      </c>
      <c r="AD228" s="6">
        <f t="shared" si="383"/>
        <v>0</v>
      </c>
      <c r="AE228" s="5">
        <f t="shared" si="384"/>
        <v>0</v>
      </c>
      <c r="AF228" s="21">
        <f t="shared" si="385"/>
        <v>0</v>
      </c>
      <c r="AG228" s="6">
        <f t="shared" si="386"/>
        <v>0</v>
      </c>
      <c r="AH228" s="5">
        <f t="shared" si="387"/>
        <v>0</v>
      </c>
      <c r="AI228" s="21">
        <f t="shared" si="388"/>
        <v>0</v>
      </c>
      <c r="AJ228" s="6">
        <f t="shared" si="389"/>
        <v>0</v>
      </c>
      <c r="AK228" s="5">
        <f t="shared" si="390"/>
        <v>0</v>
      </c>
      <c r="AL228" s="21">
        <f t="shared" si="391"/>
        <v>0</v>
      </c>
      <c r="AM228" s="21">
        <f t="shared" si="392"/>
        <v>0</v>
      </c>
      <c r="AN228" s="6">
        <f t="shared" si="393"/>
        <v>0</v>
      </c>
      <c r="AO228" s="5">
        <f t="shared" si="394"/>
        <v>0</v>
      </c>
      <c r="AP228" s="6">
        <f t="shared" si="395"/>
        <v>0</v>
      </c>
      <c r="AQ228" s="5">
        <f t="shared" si="396"/>
        <v>0</v>
      </c>
      <c r="AR228" s="2">
        <f t="shared" si="397"/>
        <v>0</v>
      </c>
      <c r="AS228" s="5">
        <f t="shared" si="398"/>
        <v>0</v>
      </c>
      <c r="AT228" s="21">
        <f t="shared" si="399"/>
        <v>0</v>
      </c>
      <c r="AU228" s="20">
        <f t="shared" si="400"/>
        <v>0</v>
      </c>
      <c r="AV228" s="20">
        <f t="shared" si="401"/>
        <v>1</v>
      </c>
      <c r="AW228" s="199">
        <f t="shared" si="402"/>
        <v>0</v>
      </c>
      <c r="AX228" s="24">
        <f t="shared" si="403"/>
        <v>0</v>
      </c>
      <c r="AY228" s="5">
        <f t="shared" si="404"/>
        <v>0</v>
      </c>
      <c r="AZ228" s="5">
        <f t="shared" si="405"/>
        <v>0</v>
      </c>
      <c r="BA228" s="5">
        <f t="shared" si="406"/>
        <v>0</v>
      </c>
      <c r="BB228" s="5">
        <f t="shared" si="407"/>
        <v>0</v>
      </c>
      <c r="BC228" s="5">
        <f t="shared" si="408"/>
        <v>0</v>
      </c>
      <c r="BD228" s="5">
        <f t="shared" si="409"/>
        <v>0</v>
      </c>
      <c r="BE228" s="199">
        <f t="shared" si="410"/>
        <v>0</v>
      </c>
      <c r="BF228" s="21">
        <f t="shared" si="411"/>
        <v>0</v>
      </c>
      <c r="BG228" s="6">
        <f t="shared" si="412"/>
        <v>0</v>
      </c>
      <c r="BH228" s="5" t="e">
        <f t="shared" si="413"/>
        <v>#DIV/0!</v>
      </c>
      <c r="BI228" s="6">
        <f t="shared" si="414"/>
        <v>0</v>
      </c>
      <c r="BJ228" s="5" t="e">
        <f t="shared" si="415"/>
        <v>#DIV/0!</v>
      </c>
      <c r="BK228" s="20">
        <f t="shared" si="416"/>
        <v>-9.9999999999999998E-13</v>
      </c>
      <c r="BL228" s="20">
        <f t="shared" si="417"/>
        <v>0</v>
      </c>
      <c r="BM228" s="6">
        <f t="shared" si="418"/>
        <v>0</v>
      </c>
      <c r="BN228" s="5">
        <f t="shared" si="419"/>
        <v>0</v>
      </c>
      <c r="BO228" s="333">
        <f t="shared" si="420"/>
        <v>0</v>
      </c>
      <c r="BP228" s="334">
        <f t="shared" si="421"/>
        <v>0</v>
      </c>
      <c r="BQ228" s="6">
        <f t="shared" si="422"/>
        <v>0</v>
      </c>
      <c r="BR228" s="5">
        <f t="shared" si="423"/>
        <v>0</v>
      </c>
      <c r="BS228" s="6">
        <f t="shared" si="424"/>
        <v>0</v>
      </c>
      <c r="BT228" s="5">
        <f t="shared" si="425"/>
        <v>0</v>
      </c>
      <c r="BU228" s="181">
        <f t="shared" si="426"/>
        <v>0</v>
      </c>
      <c r="BV228" s="154">
        <f t="shared" si="427"/>
        <v>0</v>
      </c>
      <c r="BW228" s="181">
        <f t="shared" si="428"/>
        <v>0</v>
      </c>
      <c r="BX228" s="180">
        <f t="shared" si="429"/>
        <v>0</v>
      </c>
      <c r="BY228" s="181">
        <f t="shared" si="430"/>
        <v>0</v>
      </c>
      <c r="BZ228" s="154">
        <f t="shared" si="431"/>
        <v>0</v>
      </c>
      <c r="CA228" s="182">
        <f t="shared" si="432"/>
        <v>0</v>
      </c>
      <c r="CB228" s="2">
        <f t="shared" si="433"/>
        <v>0</v>
      </c>
      <c r="CC228" s="2">
        <f t="shared" si="434"/>
        <v>0</v>
      </c>
      <c r="CD228" s="2">
        <f t="shared" si="435"/>
        <v>0</v>
      </c>
      <c r="CE228" s="2">
        <f t="shared" si="436"/>
        <v>0</v>
      </c>
      <c r="CF228" s="6">
        <f t="shared" si="437"/>
        <v>0</v>
      </c>
      <c r="CG228" s="6">
        <f t="shared" si="438"/>
        <v>0</v>
      </c>
      <c r="CH228" s="6">
        <f t="shared" si="439"/>
        <v>0</v>
      </c>
      <c r="CI228" s="20">
        <f t="shared" si="440"/>
        <v>0</v>
      </c>
      <c r="CJ228" s="133">
        <f t="shared" si="441"/>
        <v>2521</v>
      </c>
      <c r="CK228" s="5">
        <f t="shared" si="442"/>
        <v>0</v>
      </c>
      <c r="CL228" s="300"/>
      <c r="CM228" s="296" t="s">
        <v>13</v>
      </c>
      <c r="CN228" s="296" t="s">
        <v>1633</v>
      </c>
      <c r="CO228" s="296">
        <v>17</v>
      </c>
      <c r="CP228" s="296" t="s">
        <v>1306</v>
      </c>
      <c r="CQ228" s="296" t="s">
        <v>1131</v>
      </c>
      <c r="CR228" s="296" t="s">
        <v>644</v>
      </c>
      <c r="CS228" s="296" t="s">
        <v>1322</v>
      </c>
      <c r="CT228" s="296" t="s">
        <v>593</v>
      </c>
      <c r="CU228" s="297">
        <v>47118</v>
      </c>
      <c r="CV228" s="296">
        <v>0</v>
      </c>
      <c r="CW228" s="296">
        <v>0</v>
      </c>
      <c r="CX228" s="296">
        <v>0</v>
      </c>
      <c r="CY228" s="296">
        <v>0</v>
      </c>
      <c r="CZ228" s="296">
        <v>0</v>
      </c>
      <c r="DA228" s="296">
        <v>0</v>
      </c>
      <c r="DB228" s="296">
        <v>0</v>
      </c>
      <c r="DC228" s="296">
        <v>0</v>
      </c>
      <c r="DD228" s="296">
        <v>0</v>
      </c>
      <c r="DE228" s="296">
        <v>0</v>
      </c>
      <c r="DF228" s="296">
        <v>0</v>
      </c>
      <c r="DG228" s="296">
        <v>0</v>
      </c>
      <c r="DH228" s="296">
        <v>0</v>
      </c>
      <c r="DI228" s="296">
        <v>0</v>
      </c>
      <c r="DJ228" s="296">
        <v>0</v>
      </c>
      <c r="DK228" s="296">
        <v>0</v>
      </c>
      <c r="DL228" s="296">
        <v>0</v>
      </c>
      <c r="DM228" s="296">
        <v>0</v>
      </c>
      <c r="DN228" s="296">
        <v>0</v>
      </c>
      <c r="DO228" s="296">
        <v>0</v>
      </c>
      <c r="DP228" s="296">
        <v>0</v>
      </c>
      <c r="DQ228" s="296">
        <v>0</v>
      </c>
      <c r="DR228" s="296">
        <v>0</v>
      </c>
      <c r="DS228" s="296">
        <v>0</v>
      </c>
      <c r="DT228" s="296">
        <v>0</v>
      </c>
      <c r="DU228" s="296">
        <v>0</v>
      </c>
      <c r="DV228" s="301" t="s">
        <v>548</v>
      </c>
    </row>
    <row r="229" spans="1:126" ht="24.95" customHeight="1" thickBot="1" x14ac:dyDescent="0.3">
      <c r="A229" s="29" t="str">
        <f t="shared" si="354"/>
        <v>228º</v>
      </c>
      <c r="B229" s="69" t="str">
        <f t="shared" si="356"/>
        <v>Andrinho</v>
      </c>
      <c r="C229" s="269" t="str">
        <f t="shared" si="357"/>
        <v>BRA</v>
      </c>
      <c r="D229" s="99" t="str">
        <f t="shared" si="358"/>
        <v>Pé Direito</v>
      </c>
      <c r="E229" s="28" t="str">
        <f t="shared" si="359"/>
        <v>Bahia de Feira</v>
      </c>
      <c r="F229" s="169">
        <f t="shared" si="360"/>
        <v>16</v>
      </c>
      <c r="G229" s="2" t="str">
        <f t="shared" si="361"/>
        <v>0 €</v>
      </c>
      <c r="H229" s="154">
        <f t="shared" si="362"/>
        <v>1.96</v>
      </c>
      <c r="I229" s="64">
        <f t="shared" si="363"/>
        <v>47118</v>
      </c>
      <c r="J229" s="304" t="str">
        <f t="shared" si="364"/>
        <v>525 € p/m</v>
      </c>
      <c r="K229" s="96">
        <f t="shared" si="355"/>
        <v>3.5222222222222221</v>
      </c>
      <c r="L229" s="146">
        <f t="shared" si="365"/>
        <v>0</v>
      </c>
      <c r="M229" s="6">
        <f t="shared" si="366"/>
        <v>0</v>
      </c>
      <c r="N229" s="5">
        <f t="shared" si="367"/>
        <v>5400</v>
      </c>
      <c r="O229" s="21">
        <f t="shared" si="368"/>
        <v>0</v>
      </c>
      <c r="P229" s="2">
        <f t="shared" si="369"/>
        <v>0</v>
      </c>
      <c r="Q229" s="2">
        <f t="shared" si="370"/>
        <v>0</v>
      </c>
      <c r="R229" s="5">
        <f t="shared" si="371"/>
        <v>0</v>
      </c>
      <c r="S229" s="2">
        <f t="shared" si="372"/>
        <v>0</v>
      </c>
      <c r="T229" s="2">
        <f t="shared" si="373"/>
        <v>0</v>
      </c>
      <c r="U229" s="102">
        <f t="shared" si="374"/>
        <v>0</v>
      </c>
      <c r="V229" s="102">
        <f t="shared" si="375"/>
        <v>0</v>
      </c>
      <c r="W229" s="6">
        <f t="shared" si="376"/>
        <v>0</v>
      </c>
      <c r="X229" s="5">
        <f t="shared" si="377"/>
        <v>0</v>
      </c>
      <c r="Y229" s="6">
        <f t="shared" si="378"/>
        <v>0</v>
      </c>
      <c r="Z229" s="5" t="e">
        <f t="shared" si="379"/>
        <v>#DIV/0!</v>
      </c>
      <c r="AA229" s="21">
        <f t="shared" si="380"/>
        <v>0</v>
      </c>
      <c r="AB229" s="6">
        <f t="shared" si="381"/>
        <v>0</v>
      </c>
      <c r="AC229" s="5" t="e">
        <f t="shared" si="382"/>
        <v>#DIV/0!</v>
      </c>
      <c r="AD229" s="6">
        <f t="shared" si="383"/>
        <v>0</v>
      </c>
      <c r="AE229" s="5">
        <f t="shared" si="384"/>
        <v>0</v>
      </c>
      <c r="AF229" s="21">
        <f t="shared" si="385"/>
        <v>0</v>
      </c>
      <c r="AG229" s="6">
        <f t="shared" si="386"/>
        <v>0</v>
      </c>
      <c r="AH229" s="5">
        <f t="shared" si="387"/>
        <v>0</v>
      </c>
      <c r="AI229" s="21">
        <f t="shared" si="388"/>
        <v>0</v>
      </c>
      <c r="AJ229" s="6">
        <f t="shared" si="389"/>
        <v>0</v>
      </c>
      <c r="AK229" s="5">
        <f t="shared" si="390"/>
        <v>0</v>
      </c>
      <c r="AL229" s="21">
        <f t="shared" si="391"/>
        <v>0</v>
      </c>
      <c r="AM229" s="21">
        <f t="shared" si="392"/>
        <v>0</v>
      </c>
      <c r="AN229" s="6">
        <f t="shared" si="393"/>
        <v>0</v>
      </c>
      <c r="AO229" s="5">
        <f t="shared" si="394"/>
        <v>0</v>
      </c>
      <c r="AP229" s="6">
        <f t="shared" si="395"/>
        <v>0</v>
      </c>
      <c r="AQ229" s="5">
        <f t="shared" si="396"/>
        <v>0</v>
      </c>
      <c r="AR229" s="2">
        <f t="shared" si="397"/>
        <v>0</v>
      </c>
      <c r="AS229" s="5">
        <f t="shared" si="398"/>
        <v>0</v>
      </c>
      <c r="AT229" s="21">
        <f t="shared" si="399"/>
        <v>0</v>
      </c>
      <c r="AU229" s="20">
        <f t="shared" si="400"/>
        <v>0</v>
      </c>
      <c r="AV229" s="20">
        <f t="shared" si="401"/>
        <v>1</v>
      </c>
      <c r="AW229" s="199">
        <f t="shared" si="402"/>
        <v>0</v>
      </c>
      <c r="AX229" s="24">
        <f t="shared" si="403"/>
        <v>0</v>
      </c>
      <c r="AY229" s="5">
        <f t="shared" si="404"/>
        <v>0</v>
      </c>
      <c r="AZ229" s="5">
        <f t="shared" si="405"/>
        <v>0</v>
      </c>
      <c r="BA229" s="5">
        <f t="shared" si="406"/>
        <v>0</v>
      </c>
      <c r="BB229" s="5">
        <f t="shared" si="407"/>
        <v>0</v>
      </c>
      <c r="BC229" s="5">
        <f t="shared" si="408"/>
        <v>0</v>
      </c>
      <c r="BD229" s="5">
        <f t="shared" si="409"/>
        <v>0</v>
      </c>
      <c r="BE229" s="199">
        <f t="shared" si="410"/>
        <v>0</v>
      </c>
      <c r="BF229" s="21">
        <f t="shared" si="411"/>
        <v>0</v>
      </c>
      <c r="BG229" s="6">
        <f t="shared" si="412"/>
        <v>0</v>
      </c>
      <c r="BH229" s="5" t="e">
        <f t="shared" si="413"/>
        <v>#DIV/0!</v>
      </c>
      <c r="BI229" s="6">
        <f t="shared" si="414"/>
        <v>0</v>
      </c>
      <c r="BJ229" s="5" t="e">
        <f t="shared" si="415"/>
        <v>#DIV/0!</v>
      </c>
      <c r="BK229" s="20">
        <f t="shared" si="416"/>
        <v>-9.9999999999999998E-13</v>
      </c>
      <c r="BL229" s="20">
        <f t="shared" si="417"/>
        <v>0</v>
      </c>
      <c r="BM229" s="6">
        <f t="shared" si="418"/>
        <v>0</v>
      </c>
      <c r="BN229" s="5">
        <f t="shared" si="419"/>
        <v>0</v>
      </c>
      <c r="BO229" s="333">
        <f t="shared" si="420"/>
        <v>0</v>
      </c>
      <c r="BP229" s="334">
        <f t="shared" si="421"/>
        <v>0</v>
      </c>
      <c r="BQ229" s="6">
        <f t="shared" si="422"/>
        <v>0</v>
      </c>
      <c r="BR229" s="5">
        <f t="shared" si="423"/>
        <v>0</v>
      </c>
      <c r="BS229" s="6">
        <f t="shared" si="424"/>
        <v>0</v>
      </c>
      <c r="BT229" s="5">
        <f t="shared" si="425"/>
        <v>0</v>
      </c>
      <c r="BU229" s="181">
        <f t="shared" si="426"/>
        <v>0</v>
      </c>
      <c r="BV229" s="154">
        <f t="shared" si="427"/>
        <v>0</v>
      </c>
      <c r="BW229" s="181">
        <f t="shared" si="428"/>
        <v>0</v>
      </c>
      <c r="BX229" s="180">
        <f t="shared" si="429"/>
        <v>0</v>
      </c>
      <c r="BY229" s="181">
        <f t="shared" si="430"/>
        <v>0</v>
      </c>
      <c r="BZ229" s="154">
        <f t="shared" si="431"/>
        <v>0</v>
      </c>
      <c r="CA229" s="182">
        <f t="shared" si="432"/>
        <v>0</v>
      </c>
      <c r="CB229" s="2">
        <f t="shared" si="433"/>
        <v>0</v>
      </c>
      <c r="CC229" s="2">
        <f t="shared" si="434"/>
        <v>0</v>
      </c>
      <c r="CD229" s="2">
        <f t="shared" si="435"/>
        <v>0</v>
      </c>
      <c r="CE229" s="2">
        <f t="shared" si="436"/>
        <v>0</v>
      </c>
      <c r="CF229" s="6">
        <f t="shared" si="437"/>
        <v>0</v>
      </c>
      <c r="CG229" s="6">
        <f t="shared" si="438"/>
        <v>0</v>
      </c>
      <c r="CH229" s="6">
        <f t="shared" si="439"/>
        <v>0</v>
      </c>
      <c r="CI229" s="20">
        <f t="shared" si="440"/>
        <v>0</v>
      </c>
      <c r="CJ229" s="133">
        <f t="shared" si="441"/>
        <v>2521</v>
      </c>
      <c r="CK229" s="5">
        <f t="shared" si="442"/>
        <v>0</v>
      </c>
      <c r="CL229" s="302" t="s">
        <v>1235</v>
      </c>
      <c r="CM229" s="298" t="s">
        <v>13</v>
      </c>
      <c r="CN229" s="298" t="s">
        <v>1634</v>
      </c>
      <c r="CO229" s="298">
        <v>16</v>
      </c>
      <c r="CP229" s="298" t="s">
        <v>1635</v>
      </c>
      <c r="CQ229" s="298" t="s">
        <v>1131</v>
      </c>
      <c r="CR229" s="298" t="s">
        <v>644</v>
      </c>
      <c r="CS229" s="298" t="s">
        <v>1322</v>
      </c>
      <c r="CT229" s="298" t="s">
        <v>833</v>
      </c>
      <c r="CU229" s="299">
        <v>47118</v>
      </c>
      <c r="CV229" s="298">
        <v>0</v>
      </c>
      <c r="CW229" s="298">
        <v>0</v>
      </c>
      <c r="CX229" s="298">
        <v>0</v>
      </c>
      <c r="CY229" s="298">
        <v>0</v>
      </c>
      <c r="CZ229" s="298">
        <v>0</v>
      </c>
      <c r="DA229" s="298">
        <v>0</v>
      </c>
      <c r="DB229" s="298">
        <v>0</v>
      </c>
      <c r="DC229" s="298">
        <v>0</v>
      </c>
      <c r="DD229" s="298">
        <v>0</v>
      </c>
      <c r="DE229" s="298">
        <v>0</v>
      </c>
      <c r="DF229" s="298">
        <v>0</v>
      </c>
      <c r="DG229" s="298">
        <v>0</v>
      </c>
      <c r="DH229" s="298">
        <v>0</v>
      </c>
      <c r="DI229" s="298">
        <v>0</v>
      </c>
      <c r="DJ229" s="298">
        <v>0</v>
      </c>
      <c r="DK229" s="298">
        <v>0</v>
      </c>
      <c r="DL229" s="298">
        <v>0</v>
      </c>
      <c r="DM229" s="298">
        <v>0</v>
      </c>
      <c r="DN229" s="298">
        <v>0</v>
      </c>
      <c r="DO229" s="298">
        <v>0</v>
      </c>
      <c r="DP229" s="298">
        <v>0</v>
      </c>
      <c r="DQ229" s="298">
        <v>0</v>
      </c>
      <c r="DR229" s="298">
        <v>0</v>
      </c>
      <c r="DS229" s="298">
        <v>0</v>
      </c>
      <c r="DT229" s="298">
        <v>0</v>
      </c>
      <c r="DU229" s="298">
        <v>0</v>
      </c>
      <c r="DV229" s="303" t="s">
        <v>548</v>
      </c>
    </row>
    <row r="230" spans="1:126" ht="24.95" customHeight="1" thickBot="1" x14ac:dyDescent="0.3">
      <c r="A230" s="29" t="str">
        <f t="shared" si="354"/>
        <v>229º</v>
      </c>
      <c r="B230" s="69" t="str">
        <f t="shared" si="356"/>
        <v>Eliomar</v>
      </c>
      <c r="C230" s="269" t="str">
        <f t="shared" si="357"/>
        <v>BRA</v>
      </c>
      <c r="D230" s="99" t="str">
        <f t="shared" si="358"/>
        <v>Pé Direito</v>
      </c>
      <c r="E230" s="28" t="str">
        <f t="shared" si="359"/>
        <v>Galícia</v>
      </c>
      <c r="F230" s="169">
        <f t="shared" si="360"/>
        <v>17</v>
      </c>
      <c r="G230" s="2" t="str">
        <f t="shared" si="361"/>
        <v>0 €</v>
      </c>
      <c r="H230" s="154">
        <f t="shared" si="362"/>
        <v>1.89</v>
      </c>
      <c r="I230" s="64">
        <f t="shared" si="363"/>
        <v>47118</v>
      </c>
      <c r="J230" s="304" t="str">
        <f t="shared" si="364"/>
        <v>525 € p/m</v>
      </c>
      <c r="K230" s="96">
        <f t="shared" si="355"/>
        <v>3.5222222222222221</v>
      </c>
      <c r="L230" s="146">
        <f t="shared" si="365"/>
        <v>0</v>
      </c>
      <c r="M230" s="6">
        <f t="shared" si="366"/>
        <v>0</v>
      </c>
      <c r="N230" s="5">
        <f t="shared" si="367"/>
        <v>5400</v>
      </c>
      <c r="O230" s="21">
        <f t="shared" si="368"/>
        <v>0</v>
      </c>
      <c r="P230" s="2">
        <f t="shared" si="369"/>
        <v>0</v>
      </c>
      <c r="Q230" s="2">
        <f t="shared" si="370"/>
        <v>0</v>
      </c>
      <c r="R230" s="5">
        <f t="shared" si="371"/>
        <v>0</v>
      </c>
      <c r="S230" s="2">
        <f t="shared" si="372"/>
        <v>0</v>
      </c>
      <c r="T230" s="2">
        <f t="shared" si="373"/>
        <v>0</v>
      </c>
      <c r="U230" s="102">
        <f t="shared" si="374"/>
        <v>0</v>
      </c>
      <c r="V230" s="102">
        <f t="shared" si="375"/>
        <v>0</v>
      </c>
      <c r="W230" s="6">
        <f t="shared" si="376"/>
        <v>0</v>
      </c>
      <c r="X230" s="5">
        <f t="shared" si="377"/>
        <v>0</v>
      </c>
      <c r="Y230" s="6">
        <f t="shared" si="378"/>
        <v>0</v>
      </c>
      <c r="Z230" s="5" t="e">
        <f t="shared" si="379"/>
        <v>#DIV/0!</v>
      </c>
      <c r="AA230" s="21">
        <f t="shared" si="380"/>
        <v>0</v>
      </c>
      <c r="AB230" s="6">
        <f t="shared" si="381"/>
        <v>0</v>
      </c>
      <c r="AC230" s="5" t="e">
        <f t="shared" si="382"/>
        <v>#DIV/0!</v>
      </c>
      <c r="AD230" s="6">
        <f t="shared" si="383"/>
        <v>0</v>
      </c>
      <c r="AE230" s="5">
        <f t="shared" si="384"/>
        <v>0</v>
      </c>
      <c r="AF230" s="21">
        <f t="shared" si="385"/>
        <v>0</v>
      </c>
      <c r="AG230" s="6">
        <f t="shared" si="386"/>
        <v>0</v>
      </c>
      <c r="AH230" s="5">
        <f t="shared" si="387"/>
        <v>0</v>
      </c>
      <c r="AI230" s="21">
        <f t="shared" si="388"/>
        <v>0</v>
      </c>
      <c r="AJ230" s="6">
        <f t="shared" si="389"/>
        <v>0</v>
      </c>
      <c r="AK230" s="5">
        <f t="shared" si="390"/>
        <v>0</v>
      </c>
      <c r="AL230" s="21">
        <f t="shared" si="391"/>
        <v>0</v>
      </c>
      <c r="AM230" s="21">
        <f t="shared" si="392"/>
        <v>0</v>
      </c>
      <c r="AN230" s="6">
        <f t="shared" si="393"/>
        <v>0</v>
      </c>
      <c r="AO230" s="5">
        <f t="shared" si="394"/>
        <v>0</v>
      </c>
      <c r="AP230" s="6">
        <f t="shared" si="395"/>
        <v>0</v>
      </c>
      <c r="AQ230" s="5">
        <f t="shared" si="396"/>
        <v>0</v>
      </c>
      <c r="AR230" s="2">
        <f t="shared" si="397"/>
        <v>0</v>
      </c>
      <c r="AS230" s="5">
        <f t="shared" si="398"/>
        <v>0</v>
      </c>
      <c r="AT230" s="21">
        <f t="shared" si="399"/>
        <v>0</v>
      </c>
      <c r="AU230" s="20">
        <f t="shared" si="400"/>
        <v>0</v>
      </c>
      <c r="AV230" s="20">
        <f t="shared" si="401"/>
        <v>1</v>
      </c>
      <c r="AW230" s="199">
        <f t="shared" si="402"/>
        <v>0</v>
      </c>
      <c r="AX230" s="24">
        <f t="shared" si="403"/>
        <v>0</v>
      </c>
      <c r="AY230" s="5">
        <f t="shared" si="404"/>
        <v>0</v>
      </c>
      <c r="AZ230" s="5">
        <f t="shared" si="405"/>
        <v>0</v>
      </c>
      <c r="BA230" s="5">
        <f t="shared" si="406"/>
        <v>0</v>
      </c>
      <c r="BB230" s="5">
        <f t="shared" si="407"/>
        <v>0</v>
      </c>
      <c r="BC230" s="5">
        <f t="shared" si="408"/>
        <v>0</v>
      </c>
      <c r="BD230" s="5">
        <f t="shared" si="409"/>
        <v>0</v>
      </c>
      <c r="BE230" s="199">
        <f t="shared" si="410"/>
        <v>0</v>
      </c>
      <c r="BF230" s="21">
        <f t="shared" si="411"/>
        <v>0</v>
      </c>
      <c r="BG230" s="6">
        <f t="shared" si="412"/>
        <v>0</v>
      </c>
      <c r="BH230" s="5" t="e">
        <f t="shared" si="413"/>
        <v>#DIV/0!</v>
      </c>
      <c r="BI230" s="6">
        <f t="shared" si="414"/>
        <v>0</v>
      </c>
      <c r="BJ230" s="5" t="e">
        <f t="shared" si="415"/>
        <v>#DIV/0!</v>
      </c>
      <c r="BK230" s="20">
        <f t="shared" si="416"/>
        <v>-9.9999999999999998E-13</v>
      </c>
      <c r="BL230" s="20">
        <f t="shared" si="417"/>
        <v>0</v>
      </c>
      <c r="BM230" s="6">
        <f t="shared" si="418"/>
        <v>0</v>
      </c>
      <c r="BN230" s="5">
        <f t="shared" si="419"/>
        <v>0</v>
      </c>
      <c r="BO230" s="333">
        <f t="shared" si="420"/>
        <v>0</v>
      </c>
      <c r="BP230" s="334">
        <f t="shared" si="421"/>
        <v>0</v>
      </c>
      <c r="BQ230" s="6">
        <f t="shared" si="422"/>
        <v>0</v>
      </c>
      <c r="BR230" s="5">
        <f t="shared" si="423"/>
        <v>0</v>
      </c>
      <c r="BS230" s="6">
        <f t="shared" si="424"/>
        <v>0</v>
      </c>
      <c r="BT230" s="5">
        <f t="shared" si="425"/>
        <v>0</v>
      </c>
      <c r="BU230" s="181">
        <f t="shared" si="426"/>
        <v>0</v>
      </c>
      <c r="BV230" s="154">
        <f t="shared" si="427"/>
        <v>0</v>
      </c>
      <c r="BW230" s="181">
        <f t="shared" si="428"/>
        <v>0</v>
      </c>
      <c r="BX230" s="180">
        <f t="shared" si="429"/>
        <v>0</v>
      </c>
      <c r="BY230" s="181">
        <f t="shared" si="430"/>
        <v>0</v>
      </c>
      <c r="BZ230" s="154">
        <f t="shared" si="431"/>
        <v>0</v>
      </c>
      <c r="CA230" s="182">
        <f t="shared" si="432"/>
        <v>0</v>
      </c>
      <c r="CB230" s="2">
        <f t="shared" si="433"/>
        <v>0</v>
      </c>
      <c r="CC230" s="2">
        <f t="shared" si="434"/>
        <v>0</v>
      </c>
      <c r="CD230" s="2">
        <f t="shared" si="435"/>
        <v>0</v>
      </c>
      <c r="CE230" s="2">
        <f t="shared" si="436"/>
        <v>0</v>
      </c>
      <c r="CF230" s="6">
        <f t="shared" si="437"/>
        <v>0</v>
      </c>
      <c r="CG230" s="6">
        <f t="shared" si="438"/>
        <v>0</v>
      </c>
      <c r="CH230" s="6">
        <f t="shared" si="439"/>
        <v>0</v>
      </c>
      <c r="CI230" s="20">
        <f t="shared" si="440"/>
        <v>0</v>
      </c>
      <c r="CJ230" s="133">
        <f t="shared" si="441"/>
        <v>2521</v>
      </c>
      <c r="CK230" s="5">
        <f t="shared" si="442"/>
        <v>0</v>
      </c>
      <c r="CL230" s="300"/>
      <c r="CM230" s="296" t="s">
        <v>13</v>
      </c>
      <c r="CN230" s="296" t="s">
        <v>1636</v>
      </c>
      <c r="CO230" s="296">
        <v>17</v>
      </c>
      <c r="CP230" s="296" t="s">
        <v>1637</v>
      </c>
      <c r="CQ230" s="296" t="s">
        <v>1131</v>
      </c>
      <c r="CR230" s="296" t="s">
        <v>644</v>
      </c>
      <c r="CS230" s="296" t="s">
        <v>1322</v>
      </c>
      <c r="CT230" s="296" t="s">
        <v>593</v>
      </c>
      <c r="CU230" s="297">
        <v>47118</v>
      </c>
      <c r="CV230" s="296">
        <v>0</v>
      </c>
      <c r="CW230" s="296">
        <v>0</v>
      </c>
      <c r="CX230" s="296">
        <v>0</v>
      </c>
      <c r="CY230" s="296">
        <v>0</v>
      </c>
      <c r="CZ230" s="296">
        <v>0</v>
      </c>
      <c r="DA230" s="296">
        <v>0</v>
      </c>
      <c r="DB230" s="296">
        <v>0</v>
      </c>
      <c r="DC230" s="296">
        <v>0</v>
      </c>
      <c r="DD230" s="296">
        <v>0</v>
      </c>
      <c r="DE230" s="296">
        <v>0</v>
      </c>
      <c r="DF230" s="296">
        <v>0</v>
      </c>
      <c r="DG230" s="296">
        <v>0</v>
      </c>
      <c r="DH230" s="296">
        <v>0</v>
      </c>
      <c r="DI230" s="296">
        <v>0</v>
      </c>
      <c r="DJ230" s="296">
        <v>0</v>
      </c>
      <c r="DK230" s="296">
        <v>0</v>
      </c>
      <c r="DL230" s="296">
        <v>0</v>
      </c>
      <c r="DM230" s="296">
        <v>0</v>
      </c>
      <c r="DN230" s="296">
        <v>0</v>
      </c>
      <c r="DO230" s="296">
        <v>0</v>
      </c>
      <c r="DP230" s="296">
        <v>0</v>
      </c>
      <c r="DQ230" s="296">
        <v>0</v>
      </c>
      <c r="DR230" s="296">
        <v>0</v>
      </c>
      <c r="DS230" s="296">
        <v>0</v>
      </c>
      <c r="DT230" s="296">
        <v>0</v>
      </c>
      <c r="DU230" s="296">
        <v>0</v>
      </c>
      <c r="DV230" s="301" t="s">
        <v>548</v>
      </c>
    </row>
    <row r="231" spans="1:126" ht="24.95" customHeight="1" thickBot="1" x14ac:dyDescent="0.3">
      <c r="A231" s="29" t="str">
        <f t="shared" si="354"/>
        <v>230º</v>
      </c>
      <c r="B231" s="69" t="str">
        <f t="shared" si="356"/>
        <v>Jefferson</v>
      </c>
      <c r="C231" s="269" t="str">
        <f t="shared" si="357"/>
        <v>BRA</v>
      </c>
      <c r="D231" s="99" t="str">
        <f t="shared" si="358"/>
        <v>Pé Direito</v>
      </c>
      <c r="E231" s="28" t="str">
        <f t="shared" si="359"/>
        <v>Caruaru City</v>
      </c>
      <c r="F231" s="169">
        <f t="shared" si="360"/>
        <v>17</v>
      </c>
      <c r="G231" s="2" t="str">
        <f t="shared" si="361"/>
        <v>0 €</v>
      </c>
      <c r="H231" s="154">
        <f t="shared" si="362"/>
        <v>1.81</v>
      </c>
      <c r="I231" s="64">
        <f t="shared" si="363"/>
        <v>47118</v>
      </c>
      <c r="J231" s="304" t="str">
        <f t="shared" si="364"/>
        <v>525 € p/m</v>
      </c>
      <c r="K231" s="96">
        <f t="shared" si="355"/>
        <v>3.5222222222222221</v>
      </c>
      <c r="L231" s="146">
        <f t="shared" si="365"/>
        <v>0</v>
      </c>
      <c r="M231" s="6">
        <f t="shared" si="366"/>
        <v>0</v>
      </c>
      <c r="N231" s="5">
        <f t="shared" si="367"/>
        <v>5400</v>
      </c>
      <c r="O231" s="21">
        <f t="shared" si="368"/>
        <v>0</v>
      </c>
      <c r="P231" s="2">
        <f t="shared" si="369"/>
        <v>0</v>
      </c>
      <c r="Q231" s="2">
        <f t="shared" si="370"/>
        <v>0</v>
      </c>
      <c r="R231" s="5">
        <f t="shared" si="371"/>
        <v>0</v>
      </c>
      <c r="S231" s="2">
        <f t="shared" si="372"/>
        <v>0</v>
      </c>
      <c r="T231" s="2">
        <f t="shared" si="373"/>
        <v>0</v>
      </c>
      <c r="U231" s="102">
        <f t="shared" si="374"/>
        <v>0</v>
      </c>
      <c r="V231" s="102">
        <f t="shared" si="375"/>
        <v>0</v>
      </c>
      <c r="W231" s="6">
        <f t="shared" si="376"/>
        <v>0</v>
      </c>
      <c r="X231" s="5">
        <f t="shared" si="377"/>
        <v>0</v>
      </c>
      <c r="Y231" s="6">
        <f t="shared" si="378"/>
        <v>0</v>
      </c>
      <c r="Z231" s="5" t="e">
        <f t="shared" si="379"/>
        <v>#DIV/0!</v>
      </c>
      <c r="AA231" s="21">
        <f t="shared" si="380"/>
        <v>0</v>
      </c>
      <c r="AB231" s="6">
        <f t="shared" si="381"/>
        <v>0</v>
      </c>
      <c r="AC231" s="5" t="e">
        <f t="shared" si="382"/>
        <v>#DIV/0!</v>
      </c>
      <c r="AD231" s="6">
        <f t="shared" si="383"/>
        <v>0</v>
      </c>
      <c r="AE231" s="5">
        <f t="shared" si="384"/>
        <v>0</v>
      </c>
      <c r="AF231" s="21">
        <f t="shared" si="385"/>
        <v>0</v>
      </c>
      <c r="AG231" s="6">
        <f t="shared" si="386"/>
        <v>0</v>
      </c>
      <c r="AH231" s="5">
        <f t="shared" si="387"/>
        <v>0</v>
      </c>
      <c r="AI231" s="21">
        <f t="shared" si="388"/>
        <v>0</v>
      </c>
      <c r="AJ231" s="6">
        <f t="shared" si="389"/>
        <v>0</v>
      </c>
      <c r="AK231" s="5">
        <f t="shared" si="390"/>
        <v>0</v>
      </c>
      <c r="AL231" s="21">
        <f t="shared" si="391"/>
        <v>0</v>
      </c>
      <c r="AM231" s="21">
        <f t="shared" si="392"/>
        <v>0</v>
      </c>
      <c r="AN231" s="6">
        <f t="shared" si="393"/>
        <v>0</v>
      </c>
      <c r="AO231" s="5">
        <f t="shared" si="394"/>
        <v>0</v>
      </c>
      <c r="AP231" s="6">
        <f t="shared" si="395"/>
        <v>0</v>
      </c>
      <c r="AQ231" s="5">
        <f t="shared" si="396"/>
        <v>0</v>
      </c>
      <c r="AR231" s="2">
        <f t="shared" si="397"/>
        <v>0</v>
      </c>
      <c r="AS231" s="5">
        <f t="shared" si="398"/>
        <v>0</v>
      </c>
      <c r="AT231" s="21">
        <f t="shared" si="399"/>
        <v>0</v>
      </c>
      <c r="AU231" s="20">
        <f t="shared" si="400"/>
        <v>0</v>
      </c>
      <c r="AV231" s="20">
        <f t="shared" si="401"/>
        <v>1</v>
      </c>
      <c r="AW231" s="199">
        <f t="shared" si="402"/>
        <v>0</v>
      </c>
      <c r="AX231" s="24">
        <f t="shared" si="403"/>
        <v>0</v>
      </c>
      <c r="AY231" s="5">
        <f t="shared" si="404"/>
        <v>0</v>
      </c>
      <c r="AZ231" s="5">
        <f t="shared" si="405"/>
        <v>0</v>
      </c>
      <c r="BA231" s="5">
        <f t="shared" si="406"/>
        <v>0</v>
      </c>
      <c r="BB231" s="5">
        <f t="shared" si="407"/>
        <v>0</v>
      </c>
      <c r="BC231" s="5">
        <f t="shared" si="408"/>
        <v>0</v>
      </c>
      <c r="BD231" s="5">
        <f t="shared" si="409"/>
        <v>0</v>
      </c>
      <c r="BE231" s="199">
        <f t="shared" si="410"/>
        <v>0</v>
      </c>
      <c r="BF231" s="21">
        <f t="shared" si="411"/>
        <v>0</v>
      </c>
      <c r="BG231" s="6">
        <f t="shared" si="412"/>
        <v>0</v>
      </c>
      <c r="BH231" s="5" t="e">
        <f t="shared" si="413"/>
        <v>#DIV/0!</v>
      </c>
      <c r="BI231" s="6">
        <f t="shared" si="414"/>
        <v>0</v>
      </c>
      <c r="BJ231" s="5" t="e">
        <f t="shared" si="415"/>
        <v>#DIV/0!</v>
      </c>
      <c r="BK231" s="20">
        <f t="shared" si="416"/>
        <v>-9.9999999999999998E-13</v>
      </c>
      <c r="BL231" s="20">
        <f t="shared" si="417"/>
        <v>0</v>
      </c>
      <c r="BM231" s="6">
        <f t="shared" si="418"/>
        <v>0</v>
      </c>
      <c r="BN231" s="5">
        <f t="shared" si="419"/>
        <v>0</v>
      </c>
      <c r="BO231" s="333">
        <f t="shared" si="420"/>
        <v>0</v>
      </c>
      <c r="BP231" s="334">
        <f t="shared" si="421"/>
        <v>0</v>
      </c>
      <c r="BQ231" s="6">
        <f t="shared" si="422"/>
        <v>0</v>
      </c>
      <c r="BR231" s="5">
        <f t="shared" si="423"/>
        <v>0</v>
      </c>
      <c r="BS231" s="6">
        <f t="shared" si="424"/>
        <v>0</v>
      </c>
      <c r="BT231" s="5">
        <f t="shared" si="425"/>
        <v>0</v>
      </c>
      <c r="BU231" s="181">
        <f t="shared" si="426"/>
        <v>0</v>
      </c>
      <c r="BV231" s="154">
        <f t="shared" si="427"/>
        <v>0</v>
      </c>
      <c r="BW231" s="181">
        <f t="shared" si="428"/>
        <v>0</v>
      </c>
      <c r="BX231" s="180">
        <f t="shared" si="429"/>
        <v>0</v>
      </c>
      <c r="BY231" s="181">
        <f t="shared" si="430"/>
        <v>0</v>
      </c>
      <c r="BZ231" s="154">
        <f t="shared" si="431"/>
        <v>0</v>
      </c>
      <c r="CA231" s="182">
        <f t="shared" si="432"/>
        <v>0</v>
      </c>
      <c r="CB231" s="2">
        <f t="shared" si="433"/>
        <v>0</v>
      </c>
      <c r="CC231" s="2">
        <f t="shared" si="434"/>
        <v>0</v>
      </c>
      <c r="CD231" s="2">
        <f t="shared" si="435"/>
        <v>0</v>
      </c>
      <c r="CE231" s="2">
        <f t="shared" si="436"/>
        <v>0</v>
      </c>
      <c r="CF231" s="6">
        <f t="shared" si="437"/>
        <v>0</v>
      </c>
      <c r="CG231" s="6">
        <f t="shared" si="438"/>
        <v>0</v>
      </c>
      <c r="CH231" s="6">
        <f t="shared" si="439"/>
        <v>0</v>
      </c>
      <c r="CI231" s="20">
        <f t="shared" si="440"/>
        <v>0</v>
      </c>
      <c r="CJ231" s="133">
        <f t="shared" si="441"/>
        <v>2521</v>
      </c>
      <c r="CK231" s="5">
        <f t="shared" si="442"/>
        <v>0</v>
      </c>
      <c r="CL231" s="302"/>
      <c r="CM231" s="298" t="s">
        <v>13</v>
      </c>
      <c r="CN231" s="298" t="s">
        <v>1638</v>
      </c>
      <c r="CO231" s="298">
        <v>17</v>
      </c>
      <c r="CP231" s="298" t="s">
        <v>1142</v>
      </c>
      <c r="CQ231" s="298" t="s">
        <v>1131</v>
      </c>
      <c r="CR231" s="298" t="s">
        <v>644</v>
      </c>
      <c r="CS231" s="298" t="s">
        <v>1322</v>
      </c>
      <c r="CT231" s="298" t="s">
        <v>607</v>
      </c>
      <c r="CU231" s="299">
        <v>47118</v>
      </c>
      <c r="CV231" s="298">
        <v>0</v>
      </c>
      <c r="CW231" s="298">
        <v>0</v>
      </c>
      <c r="CX231" s="298">
        <v>0</v>
      </c>
      <c r="CY231" s="298">
        <v>0</v>
      </c>
      <c r="CZ231" s="298">
        <v>0</v>
      </c>
      <c r="DA231" s="298">
        <v>0</v>
      </c>
      <c r="DB231" s="298">
        <v>0</v>
      </c>
      <c r="DC231" s="298">
        <v>0</v>
      </c>
      <c r="DD231" s="298">
        <v>0</v>
      </c>
      <c r="DE231" s="298">
        <v>0</v>
      </c>
      <c r="DF231" s="298">
        <v>0</v>
      </c>
      <c r="DG231" s="298">
        <v>0</v>
      </c>
      <c r="DH231" s="298">
        <v>0</v>
      </c>
      <c r="DI231" s="298">
        <v>0</v>
      </c>
      <c r="DJ231" s="298">
        <v>0</v>
      </c>
      <c r="DK231" s="298">
        <v>0</v>
      </c>
      <c r="DL231" s="298">
        <v>0</v>
      </c>
      <c r="DM231" s="298">
        <v>0</v>
      </c>
      <c r="DN231" s="298">
        <v>0</v>
      </c>
      <c r="DO231" s="298">
        <v>0</v>
      </c>
      <c r="DP231" s="298">
        <v>0</v>
      </c>
      <c r="DQ231" s="298">
        <v>0</v>
      </c>
      <c r="DR231" s="298">
        <v>0</v>
      </c>
      <c r="DS231" s="298">
        <v>0</v>
      </c>
      <c r="DT231" s="298">
        <v>0</v>
      </c>
      <c r="DU231" s="298">
        <v>0</v>
      </c>
      <c r="DV231" s="303" t="s">
        <v>548</v>
      </c>
    </row>
    <row r="232" spans="1:126" ht="24.95" customHeight="1" thickBot="1" x14ac:dyDescent="0.3">
      <c r="A232" s="29" t="str">
        <f t="shared" si="354"/>
        <v>231º</v>
      </c>
      <c r="B232" s="69" t="str">
        <f t="shared" si="356"/>
        <v>Clayton</v>
      </c>
      <c r="C232" s="269" t="str">
        <f t="shared" si="357"/>
        <v>BRA</v>
      </c>
      <c r="D232" s="99" t="str">
        <f t="shared" si="358"/>
        <v>Pé Direito</v>
      </c>
      <c r="E232" s="28" t="str">
        <f t="shared" si="359"/>
        <v>Novo Hamburgo</v>
      </c>
      <c r="F232" s="169">
        <f t="shared" si="360"/>
        <v>17</v>
      </c>
      <c r="G232" s="2" t="str">
        <f t="shared" si="361"/>
        <v>0 €</v>
      </c>
      <c r="H232" s="154">
        <f t="shared" si="362"/>
        <v>1.85</v>
      </c>
      <c r="I232" s="64">
        <f t="shared" si="363"/>
        <v>47118</v>
      </c>
      <c r="J232" s="304" t="str">
        <f t="shared" si="364"/>
        <v>525 € p/m</v>
      </c>
      <c r="K232" s="96">
        <f t="shared" si="355"/>
        <v>3.5222222222222221</v>
      </c>
      <c r="L232" s="146">
        <f t="shared" si="365"/>
        <v>0</v>
      </c>
      <c r="M232" s="6">
        <f t="shared" si="366"/>
        <v>0</v>
      </c>
      <c r="N232" s="5">
        <f t="shared" si="367"/>
        <v>5400</v>
      </c>
      <c r="O232" s="21">
        <f t="shared" si="368"/>
        <v>0</v>
      </c>
      <c r="P232" s="2">
        <f t="shared" si="369"/>
        <v>0</v>
      </c>
      <c r="Q232" s="2">
        <f t="shared" si="370"/>
        <v>0</v>
      </c>
      <c r="R232" s="5">
        <f t="shared" si="371"/>
        <v>0</v>
      </c>
      <c r="S232" s="2">
        <f t="shared" si="372"/>
        <v>0</v>
      </c>
      <c r="T232" s="2">
        <f t="shared" si="373"/>
        <v>0</v>
      </c>
      <c r="U232" s="102">
        <f t="shared" si="374"/>
        <v>0</v>
      </c>
      <c r="V232" s="102">
        <f t="shared" si="375"/>
        <v>0</v>
      </c>
      <c r="W232" s="6">
        <f t="shared" si="376"/>
        <v>0</v>
      </c>
      <c r="X232" s="5">
        <f t="shared" si="377"/>
        <v>0</v>
      </c>
      <c r="Y232" s="6">
        <f t="shared" si="378"/>
        <v>0</v>
      </c>
      <c r="Z232" s="5" t="e">
        <f t="shared" si="379"/>
        <v>#DIV/0!</v>
      </c>
      <c r="AA232" s="21">
        <f t="shared" si="380"/>
        <v>0</v>
      </c>
      <c r="AB232" s="6">
        <f t="shared" si="381"/>
        <v>0</v>
      </c>
      <c r="AC232" s="5" t="e">
        <f t="shared" si="382"/>
        <v>#DIV/0!</v>
      </c>
      <c r="AD232" s="6">
        <f t="shared" si="383"/>
        <v>0</v>
      </c>
      <c r="AE232" s="5">
        <f t="shared" si="384"/>
        <v>0</v>
      </c>
      <c r="AF232" s="21">
        <f t="shared" si="385"/>
        <v>0</v>
      </c>
      <c r="AG232" s="6">
        <f t="shared" si="386"/>
        <v>0</v>
      </c>
      <c r="AH232" s="5">
        <f t="shared" si="387"/>
        <v>0</v>
      </c>
      <c r="AI232" s="21">
        <f t="shared" si="388"/>
        <v>0</v>
      </c>
      <c r="AJ232" s="6">
        <f t="shared" si="389"/>
        <v>0</v>
      </c>
      <c r="AK232" s="5">
        <f t="shared" si="390"/>
        <v>0</v>
      </c>
      <c r="AL232" s="21">
        <f t="shared" si="391"/>
        <v>0</v>
      </c>
      <c r="AM232" s="21">
        <f t="shared" si="392"/>
        <v>0</v>
      </c>
      <c r="AN232" s="6">
        <f t="shared" si="393"/>
        <v>0</v>
      </c>
      <c r="AO232" s="5">
        <f t="shared" si="394"/>
        <v>0</v>
      </c>
      <c r="AP232" s="6">
        <f t="shared" si="395"/>
        <v>0</v>
      </c>
      <c r="AQ232" s="5">
        <f t="shared" si="396"/>
        <v>0</v>
      </c>
      <c r="AR232" s="2">
        <f t="shared" si="397"/>
        <v>0</v>
      </c>
      <c r="AS232" s="5">
        <f t="shared" si="398"/>
        <v>0</v>
      </c>
      <c r="AT232" s="21">
        <f t="shared" si="399"/>
        <v>0</v>
      </c>
      <c r="AU232" s="20">
        <f t="shared" si="400"/>
        <v>0</v>
      </c>
      <c r="AV232" s="20">
        <f t="shared" si="401"/>
        <v>1</v>
      </c>
      <c r="AW232" s="199">
        <f t="shared" si="402"/>
        <v>0</v>
      </c>
      <c r="AX232" s="24">
        <f t="shared" si="403"/>
        <v>0</v>
      </c>
      <c r="AY232" s="5">
        <f t="shared" si="404"/>
        <v>0</v>
      </c>
      <c r="AZ232" s="5">
        <f t="shared" si="405"/>
        <v>0</v>
      </c>
      <c r="BA232" s="5">
        <f t="shared" si="406"/>
        <v>0</v>
      </c>
      <c r="BB232" s="5">
        <f t="shared" si="407"/>
        <v>0</v>
      </c>
      <c r="BC232" s="5">
        <f t="shared" si="408"/>
        <v>0</v>
      </c>
      <c r="BD232" s="5">
        <f t="shared" si="409"/>
        <v>0</v>
      </c>
      <c r="BE232" s="199">
        <f t="shared" si="410"/>
        <v>0</v>
      </c>
      <c r="BF232" s="21">
        <f t="shared" si="411"/>
        <v>0</v>
      </c>
      <c r="BG232" s="6">
        <f t="shared" si="412"/>
        <v>0</v>
      </c>
      <c r="BH232" s="5" t="e">
        <f t="shared" si="413"/>
        <v>#DIV/0!</v>
      </c>
      <c r="BI232" s="6">
        <f t="shared" si="414"/>
        <v>0</v>
      </c>
      <c r="BJ232" s="5" t="e">
        <f t="shared" si="415"/>
        <v>#DIV/0!</v>
      </c>
      <c r="BK232" s="20">
        <f t="shared" si="416"/>
        <v>-9.9999999999999998E-13</v>
      </c>
      <c r="BL232" s="20">
        <f t="shared" si="417"/>
        <v>0</v>
      </c>
      <c r="BM232" s="6">
        <f t="shared" si="418"/>
        <v>0</v>
      </c>
      <c r="BN232" s="5">
        <f t="shared" si="419"/>
        <v>0</v>
      </c>
      <c r="BO232" s="333">
        <f t="shared" si="420"/>
        <v>0</v>
      </c>
      <c r="BP232" s="334">
        <f t="shared" si="421"/>
        <v>0</v>
      </c>
      <c r="BQ232" s="6">
        <f t="shared" si="422"/>
        <v>0</v>
      </c>
      <c r="BR232" s="5">
        <f t="shared" si="423"/>
        <v>0</v>
      </c>
      <c r="BS232" s="6">
        <f t="shared" si="424"/>
        <v>0</v>
      </c>
      <c r="BT232" s="5">
        <f t="shared" si="425"/>
        <v>0</v>
      </c>
      <c r="BU232" s="181">
        <f t="shared" si="426"/>
        <v>0</v>
      </c>
      <c r="BV232" s="154">
        <f t="shared" si="427"/>
        <v>0</v>
      </c>
      <c r="BW232" s="181">
        <f t="shared" si="428"/>
        <v>0</v>
      </c>
      <c r="BX232" s="180">
        <f t="shared" si="429"/>
        <v>0</v>
      </c>
      <c r="BY232" s="181">
        <f t="shared" si="430"/>
        <v>0</v>
      </c>
      <c r="BZ232" s="154">
        <f t="shared" si="431"/>
        <v>0</v>
      </c>
      <c r="CA232" s="182">
        <f t="shared" si="432"/>
        <v>0</v>
      </c>
      <c r="CB232" s="2">
        <f t="shared" si="433"/>
        <v>0</v>
      </c>
      <c r="CC232" s="2">
        <f t="shared" si="434"/>
        <v>0</v>
      </c>
      <c r="CD232" s="2">
        <f t="shared" si="435"/>
        <v>0</v>
      </c>
      <c r="CE232" s="2">
        <f t="shared" si="436"/>
        <v>0</v>
      </c>
      <c r="CF232" s="6">
        <f t="shared" si="437"/>
        <v>0</v>
      </c>
      <c r="CG232" s="6">
        <f t="shared" si="438"/>
        <v>0</v>
      </c>
      <c r="CH232" s="6">
        <f t="shared" si="439"/>
        <v>0</v>
      </c>
      <c r="CI232" s="20">
        <f t="shared" si="440"/>
        <v>0</v>
      </c>
      <c r="CJ232" s="133">
        <f t="shared" si="441"/>
        <v>2521</v>
      </c>
      <c r="CK232" s="5">
        <f t="shared" si="442"/>
        <v>0</v>
      </c>
      <c r="CL232" s="300" t="s">
        <v>1235</v>
      </c>
      <c r="CM232" s="296" t="s">
        <v>13</v>
      </c>
      <c r="CN232" s="296" t="s">
        <v>1490</v>
      </c>
      <c r="CO232" s="296">
        <v>17</v>
      </c>
      <c r="CP232" s="296" t="s">
        <v>1639</v>
      </c>
      <c r="CQ232" s="296" t="s">
        <v>1131</v>
      </c>
      <c r="CR232" s="296" t="s">
        <v>644</v>
      </c>
      <c r="CS232" s="296" t="s">
        <v>1322</v>
      </c>
      <c r="CT232" s="296" t="s">
        <v>587</v>
      </c>
      <c r="CU232" s="297">
        <v>47118</v>
      </c>
      <c r="CV232" s="296">
        <v>0</v>
      </c>
      <c r="CW232" s="296">
        <v>0</v>
      </c>
      <c r="CX232" s="296">
        <v>0</v>
      </c>
      <c r="CY232" s="296">
        <v>0</v>
      </c>
      <c r="CZ232" s="296">
        <v>0</v>
      </c>
      <c r="DA232" s="296">
        <v>0</v>
      </c>
      <c r="DB232" s="296">
        <v>0</v>
      </c>
      <c r="DC232" s="296">
        <v>0</v>
      </c>
      <c r="DD232" s="296">
        <v>0</v>
      </c>
      <c r="DE232" s="296">
        <v>0</v>
      </c>
      <c r="DF232" s="296">
        <v>0</v>
      </c>
      <c r="DG232" s="296">
        <v>0</v>
      </c>
      <c r="DH232" s="296">
        <v>0</v>
      </c>
      <c r="DI232" s="296">
        <v>0</v>
      </c>
      <c r="DJ232" s="296">
        <v>0</v>
      </c>
      <c r="DK232" s="296">
        <v>0</v>
      </c>
      <c r="DL232" s="296">
        <v>0</v>
      </c>
      <c r="DM232" s="296">
        <v>0</v>
      </c>
      <c r="DN232" s="296">
        <v>0</v>
      </c>
      <c r="DO232" s="296">
        <v>0</v>
      </c>
      <c r="DP232" s="296">
        <v>0</v>
      </c>
      <c r="DQ232" s="296">
        <v>0</v>
      </c>
      <c r="DR232" s="296">
        <v>0</v>
      </c>
      <c r="DS232" s="296">
        <v>0</v>
      </c>
      <c r="DT232" s="296">
        <v>0</v>
      </c>
      <c r="DU232" s="296">
        <v>0</v>
      </c>
      <c r="DV232" s="301" t="s">
        <v>548</v>
      </c>
    </row>
    <row r="233" spans="1:126" ht="24.95" customHeight="1" thickBot="1" x14ac:dyDescent="0.3">
      <c r="A233" s="29" t="str">
        <f t="shared" si="354"/>
        <v>232º</v>
      </c>
      <c r="B233" s="69" t="str">
        <f t="shared" si="356"/>
        <v>Guilherme</v>
      </c>
      <c r="C233" s="269" t="str">
        <f t="shared" si="357"/>
        <v>BRA</v>
      </c>
      <c r="D233" s="99" t="str">
        <f t="shared" si="358"/>
        <v>Pé Direito</v>
      </c>
      <c r="E233" s="28" t="str">
        <f t="shared" si="359"/>
        <v>ASEEV</v>
      </c>
      <c r="F233" s="169">
        <f t="shared" si="360"/>
        <v>16</v>
      </c>
      <c r="G233" s="2" t="str">
        <f t="shared" si="361"/>
        <v>0 €</v>
      </c>
      <c r="H233" s="154">
        <f t="shared" si="362"/>
        <v>1.91</v>
      </c>
      <c r="I233" s="64">
        <f t="shared" si="363"/>
        <v>47118</v>
      </c>
      <c r="J233" s="304" t="str">
        <f t="shared" si="364"/>
        <v>525 € p/m</v>
      </c>
      <c r="K233" s="96">
        <f t="shared" si="355"/>
        <v>3.5222222222222221</v>
      </c>
      <c r="L233" s="146">
        <f t="shared" si="365"/>
        <v>0</v>
      </c>
      <c r="M233" s="6">
        <f t="shared" si="366"/>
        <v>0</v>
      </c>
      <c r="N233" s="5">
        <f t="shared" si="367"/>
        <v>5400</v>
      </c>
      <c r="O233" s="21">
        <f t="shared" si="368"/>
        <v>0</v>
      </c>
      <c r="P233" s="2">
        <f t="shared" si="369"/>
        <v>0</v>
      </c>
      <c r="Q233" s="2">
        <f t="shared" si="370"/>
        <v>0</v>
      </c>
      <c r="R233" s="5">
        <f t="shared" si="371"/>
        <v>0</v>
      </c>
      <c r="S233" s="2">
        <f t="shared" si="372"/>
        <v>0</v>
      </c>
      <c r="T233" s="2">
        <f t="shared" si="373"/>
        <v>0</v>
      </c>
      <c r="U233" s="102">
        <f t="shared" si="374"/>
        <v>0</v>
      </c>
      <c r="V233" s="102">
        <f t="shared" si="375"/>
        <v>0</v>
      </c>
      <c r="W233" s="6">
        <f t="shared" si="376"/>
        <v>0</v>
      </c>
      <c r="X233" s="5">
        <f t="shared" si="377"/>
        <v>0</v>
      </c>
      <c r="Y233" s="6">
        <f t="shared" si="378"/>
        <v>0</v>
      </c>
      <c r="Z233" s="5" t="e">
        <f t="shared" si="379"/>
        <v>#DIV/0!</v>
      </c>
      <c r="AA233" s="21">
        <f t="shared" si="380"/>
        <v>0</v>
      </c>
      <c r="AB233" s="6">
        <f t="shared" si="381"/>
        <v>0</v>
      </c>
      <c r="AC233" s="5" t="e">
        <f t="shared" si="382"/>
        <v>#DIV/0!</v>
      </c>
      <c r="AD233" s="6">
        <f t="shared" si="383"/>
        <v>0</v>
      </c>
      <c r="AE233" s="5">
        <f t="shared" si="384"/>
        <v>0</v>
      </c>
      <c r="AF233" s="21">
        <f t="shared" si="385"/>
        <v>0</v>
      </c>
      <c r="AG233" s="6">
        <f t="shared" si="386"/>
        <v>0</v>
      </c>
      <c r="AH233" s="5">
        <f t="shared" si="387"/>
        <v>0</v>
      </c>
      <c r="AI233" s="21">
        <f t="shared" si="388"/>
        <v>0</v>
      </c>
      <c r="AJ233" s="6">
        <f t="shared" si="389"/>
        <v>0</v>
      </c>
      <c r="AK233" s="5">
        <f t="shared" si="390"/>
        <v>0</v>
      </c>
      <c r="AL233" s="21">
        <f t="shared" si="391"/>
        <v>0</v>
      </c>
      <c r="AM233" s="21">
        <f t="shared" si="392"/>
        <v>0</v>
      </c>
      <c r="AN233" s="6">
        <f t="shared" si="393"/>
        <v>0</v>
      </c>
      <c r="AO233" s="5">
        <f t="shared" si="394"/>
        <v>0</v>
      </c>
      <c r="AP233" s="6">
        <f t="shared" si="395"/>
        <v>0</v>
      </c>
      <c r="AQ233" s="5">
        <f t="shared" si="396"/>
        <v>0</v>
      </c>
      <c r="AR233" s="2">
        <f t="shared" si="397"/>
        <v>0</v>
      </c>
      <c r="AS233" s="5">
        <f t="shared" si="398"/>
        <v>0</v>
      </c>
      <c r="AT233" s="21">
        <f t="shared" si="399"/>
        <v>0</v>
      </c>
      <c r="AU233" s="20">
        <f t="shared" si="400"/>
        <v>0</v>
      </c>
      <c r="AV233" s="20">
        <f t="shared" si="401"/>
        <v>1</v>
      </c>
      <c r="AW233" s="199">
        <f t="shared" si="402"/>
        <v>0</v>
      </c>
      <c r="AX233" s="24">
        <f t="shared" si="403"/>
        <v>0</v>
      </c>
      <c r="AY233" s="5">
        <f t="shared" si="404"/>
        <v>0</v>
      </c>
      <c r="AZ233" s="5">
        <f t="shared" si="405"/>
        <v>0</v>
      </c>
      <c r="BA233" s="5">
        <f t="shared" si="406"/>
        <v>0</v>
      </c>
      <c r="BB233" s="5">
        <f t="shared" si="407"/>
        <v>0</v>
      </c>
      <c r="BC233" s="5">
        <f t="shared" si="408"/>
        <v>0</v>
      </c>
      <c r="BD233" s="5">
        <f t="shared" si="409"/>
        <v>0</v>
      </c>
      <c r="BE233" s="199">
        <f t="shared" si="410"/>
        <v>0</v>
      </c>
      <c r="BF233" s="21">
        <f t="shared" si="411"/>
        <v>0</v>
      </c>
      <c r="BG233" s="6">
        <f t="shared" si="412"/>
        <v>0</v>
      </c>
      <c r="BH233" s="5" t="e">
        <f t="shared" si="413"/>
        <v>#DIV/0!</v>
      </c>
      <c r="BI233" s="6">
        <f t="shared" si="414"/>
        <v>0</v>
      </c>
      <c r="BJ233" s="5" t="e">
        <f t="shared" si="415"/>
        <v>#DIV/0!</v>
      </c>
      <c r="BK233" s="20">
        <f t="shared" si="416"/>
        <v>-9.9999999999999998E-13</v>
      </c>
      <c r="BL233" s="20">
        <f t="shared" si="417"/>
        <v>0</v>
      </c>
      <c r="BM233" s="6">
        <f t="shared" si="418"/>
        <v>0</v>
      </c>
      <c r="BN233" s="5">
        <f t="shared" si="419"/>
        <v>0</v>
      </c>
      <c r="BO233" s="333">
        <f t="shared" si="420"/>
        <v>0</v>
      </c>
      <c r="BP233" s="334">
        <f t="shared" si="421"/>
        <v>0</v>
      </c>
      <c r="BQ233" s="6">
        <f t="shared" si="422"/>
        <v>0</v>
      </c>
      <c r="BR233" s="5">
        <f t="shared" si="423"/>
        <v>0</v>
      </c>
      <c r="BS233" s="6">
        <f t="shared" si="424"/>
        <v>0</v>
      </c>
      <c r="BT233" s="5">
        <f t="shared" si="425"/>
        <v>0</v>
      </c>
      <c r="BU233" s="181">
        <f t="shared" si="426"/>
        <v>0</v>
      </c>
      <c r="BV233" s="154">
        <f t="shared" si="427"/>
        <v>0</v>
      </c>
      <c r="BW233" s="181">
        <f t="shared" si="428"/>
        <v>0</v>
      </c>
      <c r="BX233" s="180">
        <f t="shared" si="429"/>
        <v>0</v>
      </c>
      <c r="BY233" s="181">
        <f t="shared" si="430"/>
        <v>0</v>
      </c>
      <c r="BZ233" s="154">
        <f t="shared" si="431"/>
        <v>0</v>
      </c>
      <c r="CA233" s="182">
        <f t="shared" si="432"/>
        <v>0</v>
      </c>
      <c r="CB233" s="2">
        <f t="shared" si="433"/>
        <v>0</v>
      </c>
      <c r="CC233" s="2">
        <f t="shared" si="434"/>
        <v>0</v>
      </c>
      <c r="CD233" s="2">
        <f t="shared" si="435"/>
        <v>0</v>
      </c>
      <c r="CE233" s="2">
        <f t="shared" si="436"/>
        <v>0</v>
      </c>
      <c r="CF233" s="6">
        <f t="shared" si="437"/>
        <v>0</v>
      </c>
      <c r="CG233" s="6">
        <f t="shared" si="438"/>
        <v>0</v>
      </c>
      <c r="CH233" s="6">
        <f t="shared" si="439"/>
        <v>0</v>
      </c>
      <c r="CI233" s="20">
        <f t="shared" si="440"/>
        <v>0</v>
      </c>
      <c r="CJ233" s="133">
        <f t="shared" si="441"/>
        <v>2521</v>
      </c>
      <c r="CK233" s="5">
        <f t="shared" si="442"/>
        <v>0</v>
      </c>
      <c r="CL233" s="302"/>
      <c r="CM233" s="298" t="s">
        <v>13</v>
      </c>
      <c r="CN233" s="298" t="s">
        <v>1640</v>
      </c>
      <c r="CO233" s="298">
        <v>16</v>
      </c>
      <c r="CP233" s="298" t="s">
        <v>1422</v>
      </c>
      <c r="CQ233" s="298" t="s">
        <v>1131</v>
      </c>
      <c r="CR233" s="298" t="s">
        <v>644</v>
      </c>
      <c r="CS233" s="298" t="s">
        <v>1322</v>
      </c>
      <c r="CT233" s="298" t="s">
        <v>595</v>
      </c>
      <c r="CU233" s="299">
        <v>47118</v>
      </c>
      <c r="CV233" s="298">
        <v>0</v>
      </c>
      <c r="CW233" s="298">
        <v>0</v>
      </c>
      <c r="CX233" s="298">
        <v>0</v>
      </c>
      <c r="CY233" s="298">
        <v>0</v>
      </c>
      <c r="CZ233" s="298">
        <v>0</v>
      </c>
      <c r="DA233" s="298">
        <v>0</v>
      </c>
      <c r="DB233" s="298">
        <v>0</v>
      </c>
      <c r="DC233" s="298">
        <v>0</v>
      </c>
      <c r="DD233" s="298">
        <v>0</v>
      </c>
      <c r="DE233" s="298">
        <v>0</v>
      </c>
      <c r="DF233" s="298">
        <v>0</v>
      </c>
      <c r="DG233" s="298">
        <v>0</v>
      </c>
      <c r="DH233" s="298">
        <v>0</v>
      </c>
      <c r="DI233" s="298">
        <v>0</v>
      </c>
      <c r="DJ233" s="298">
        <v>0</v>
      </c>
      <c r="DK233" s="298">
        <v>0</v>
      </c>
      <c r="DL233" s="298">
        <v>0</v>
      </c>
      <c r="DM233" s="298">
        <v>0</v>
      </c>
      <c r="DN233" s="298">
        <v>0</v>
      </c>
      <c r="DO233" s="298">
        <v>0</v>
      </c>
      <c r="DP233" s="298">
        <v>0</v>
      </c>
      <c r="DQ233" s="298">
        <v>0</v>
      </c>
      <c r="DR233" s="298">
        <v>0</v>
      </c>
      <c r="DS233" s="298">
        <v>0</v>
      </c>
      <c r="DT233" s="298">
        <v>0</v>
      </c>
      <c r="DU233" s="298">
        <v>0</v>
      </c>
      <c r="DV233" s="303" t="s">
        <v>548</v>
      </c>
    </row>
    <row r="234" spans="1:126" ht="24.95" customHeight="1" thickBot="1" x14ac:dyDescent="0.3">
      <c r="A234" s="29" t="str">
        <f t="shared" si="354"/>
        <v>233º</v>
      </c>
      <c r="B234" s="69" t="str">
        <f t="shared" si="356"/>
        <v>Chico</v>
      </c>
      <c r="C234" s="269" t="str">
        <f t="shared" si="357"/>
        <v>BRA</v>
      </c>
      <c r="D234" s="99" t="str">
        <f t="shared" si="358"/>
        <v>Pé Direito</v>
      </c>
      <c r="E234" s="28" t="str">
        <f t="shared" si="359"/>
        <v>Cruz Alta</v>
      </c>
      <c r="F234" s="169">
        <f t="shared" si="360"/>
        <v>17</v>
      </c>
      <c r="G234" s="2" t="str">
        <f t="shared" si="361"/>
        <v>0 €</v>
      </c>
      <c r="H234" s="154">
        <f t="shared" si="362"/>
        <v>1.87</v>
      </c>
      <c r="I234" s="64">
        <f t="shared" si="363"/>
        <v>47118</v>
      </c>
      <c r="J234" s="304" t="str">
        <f t="shared" si="364"/>
        <v>525 € p/m</v>
      </c>
      <c r="K234" s="96">
        <f t="shared" si="355"/>
        <v>3.5222222222222221</v>
      </c>
      <c r="L234" s="146">
        <f t="shared" si="365"/>
        <v>0</v>
      </c>
      <c r="M234" s="6">
        <f t="shared" si="366"/>
        <v>0</v>
      </c>
      <c r="N234" s="5">
        <f t="shared" si="367"/>
        <v>5400</v>
      </c>
      <c r="O234" s="21">
        <f t="shared" si="368"/>
        <v>0</v>
      </c>
      <c r="P234" s="2">
        <f t="shared" si="369"/>
        <v>0</v>
      </c>
      <c r="Q234" s="2">
        <f t="shared" si="370"/>
        <v>0</v>
      </c>
      <c r="R234" s="5">
        <f t="shared" si="371"/>
        <v>0</v>
      </c>
      <c r="S234" s="2">
        <f t="shared" si="372"/>
        <v>0</v>
      </c>
      <c r="T234" s="2">
        <f t="shared" si="373"/>
        <v>0</v>
      </c>
      <c r="U234" s="102">
        <f t="shared" si="374"/>
        <v>0</v>
      </c>
      <c r="V234" s="102">
        <f t="shared" si="375"/>
        <v>0</v>
      </c>
      <c r="W234" s="6">
        <f t="shared" si="376"/>
        <v>0</v>
      </c>
      <c r="X234" s="5">
        <f t="shared" si="377"/>
        <v>0</v>
      </c>
      <c r="Y234" s="6">
        <f t="shared" si="378"/>
        <v>0</v>
      </c>
      <c r="Z234" s="5" t="e">
        <f t="shared" si="379"/>
        <v>#DIV/0!</v>
      </c>
      <c r="AA234" s="21">
        <f t="shared" si="380"/>
        <v>0</v>
      </c>
      <c r="AB234" s="6">
        <f t="shared" si="381"/>
        <v>0</v>
      </c>
      <c r="AC234" s="5" t="e">
        <f t="shared" si="382"/>
        <v>#DIV/0!</v>
      </c>
      <c r="AD234" s="6">
        <f t="shared" si="383"/>
        <v>0</v>
      </c>
      <c r="AE234" s="5">
        <f t="shared" si="384"/>
        <v>0</v>
      </c>
      <c r="AF234" s="21">
        <f t="shared" si="385"/>
        <v>0</v>
      </c>
      <c r="AG234" s="6">
        <f t="shared" si="386"/>
        <v>0</v>
      </c>
      <c r="AH234" s="5">
        <f t="shared" si="387"/>
        <v>0</v>
      </c>
      <c r="AI234" s="21">
        <f t="shared" si="388"/>
        <v>0</v>
      </c>
      <c r="AJ234" s="6">
        <f t="shared" si="389"/>
        <v>0</v>
      </c>
      <c r="AK234" s="5">
        <f t="shared" si="390"/>
        <v>0</v>
      </c>
      <c r="AL234" s="21">
        <f t="shared" si="391"/>
        <v>0</v>
      </c>
      <c r="AM234" s="21">
        <f t="shared" si="392"/>
        <v>0</v>
      </c>
      <c r="AN234" s="6">
        <f t="shared" si="393"/>
        <v>0</v>
      </c>
      <c r="AO234" s="5">
        <f t="shared" si="394"/>
        <v>0</v>
      </c>
      <c r="AP234" s="6">
        <f t="shared" si="395"/>
        <v>0</v>
      </c>
      <c r="AQ234" s="5">
        <f t="shared" si="396"/>
        <v>0</v>
      </c>
      <c r="AR234" s="2">
        <f t="shared" si="397"/>
        <v>0</v>
      </c>
      <c r="AS234" s="5">
        <f t="shared" si="398"/>
        <v>0</v>
      </c>
      <c r="AT234" s="21">
        <f t="shared" si="399"/>
        <v>0</v>
      </c>
      <c r="AU234" s="20">
        <f t="shared" si="400"/>
        <v>0</v>
      </c>
      <c r="AV234" s="20">
        <f t="shared" si="401"/>
        <v>1</v>
      </c>
      <c r="AW234" s="199">
        <f t="shared" si="402"/>
        <v>0</v>
      </c>
      <c r="AX234" s="24">
        <f t="shared" si="403"/>
        <v>0</v>
      </c>
      <c r="AY234" s="5">
        <f t="shared" si="404"/>
        <v>0</v>
      </c>
      <c r="AZ234" s="5">
        <f t="shared" si="405"/>
        <v>0</v>
      </c>
      <c r="BA234" s="5">
        <f t="shared" si="406"/>
        <v>0</v>
      </c>
      <c r="BB234" s="5">
        <f t="shared" si="407"/>
        <v>0</v>
      </c>
      <c r="BC234" s="5">
        <f t="shared" si="408"/>
        <v>0</v>
      </c>
      <c r="BD234" s="5">
        <f t="shared" si="409"/>
        <v>0</v>
      </c>
      <c r="BE234" s="199">
        <f t="shared" si="410"/>
        <v>0</v>
      </c>
      <c r="BF234" s="21">
        <f t="shared" si="411"/>
        <v>0</v>
      </c>
      <c r="BG234" s="6">
        <f t="shared" si="412"/>
        <v>0</v>
      </c>
      <c r="BH234" s="5" t="e">
        <f t="shared" si="413"/>
        <v>#DIV/0!</v>
      </c>
      <c r="BI234" s="6">
        <f t="shared" si="414"/>
        <v>0</v>
      </c>
      <c r="BJ234" s="5" t="e">
        <f t="shared" si="415"/>
        <v>#DIV/0!</v>
      </c>
      <c r="BK234" s="20">
        <f t="shared" si="416"/>
        <v>-9.9999999999999998E-13</v>
      </c>
      <c r="BL234" s="20">
        <f t="shared" si="417"/>
        <v>0</v>
      </c>
      <c r="BM234" s="6">
        <f t="shared" si="418"/>
        <v>0</v>
      </c>
      <c r="BN234" s="5">
        <f t="shared" si="419"/>
        <v>0</v>
      </c>
      <c r="BO234" s="333">
        <f t="shared" si="420"/>
        <v>0</v>
      </c>
      <c r="BP234" s="334">
        <f t="shared" si="421"/>
        <v>0</v>
      </c>
      <c r="BQ234" s="6">
        <f t="shared" si="422"/>
        <v>0</v>
      </c>
      <c r="BR234" s="5">
        <f t="shared" si="423"/>
        <v>0</v>
      </c>
      <c r="BS234" s="6">
        <f t="shared" si="424"/>
        <v>0</v>
      </c>
      <c r="BT234" s="5">
        <f t="shared" si="425"/>
        <v>0</v>
      </c>
      <c r="BU234" s="181">
        <f t="shared" si="426"/>
        <v>0</v>
      </c>
      <c r="BV234" s="154">
        <f t="shared" si="427"/>
        <v>0</v>
      </c>
      <c r="BW234" s="181">
        <f t="shared" si="428"/>
        <v>0</v>
      </c>
      <c r="BX234" s="180">
        <f t="shared" si="429"/>
        <v>0</v>
      </c>
      <c r="BY234" s="181">
        <f t="shared" si="430"/>
        <v>0</v>
      </c>
      <c r="BZ234" s="154">
        <f t="shared" si="431"/>
        <v>0</v>
      </c>
      <c r="CA234" s="182">
        <f t="shared" si="432"/>
        <v>0</v>
      </c>
      <c r="CB234" s="2">
        <f t="shared" si="433"/>
        <v>0</v>
      </c>
      <c r="CC234" s="2">
        <f t="shared" si="434"/>
        <v>0</v>
      </c>
      <c r="CD234" s="2">
        <f t="shared" si="435"/>
        <v>0</v>
      </c>
      <c r="CE234" s="2">
        <f t="shared" si="436"/>
        <v>0</v>
      </c>
      <c r="CF234" s="6">
        <f t="shared" si="437"/>
        <v>0</v>
      </c>
      <c r="CG234" s="6">
        <f t="shared" si="438"/>
        <v>0</v>
      </c>
      <c r="CH234" s="6">
        <f t="shared" si="439"/>
        <v>0</v>
      </c>
      <c r="CI234" s="20">
        <f t="shared" si="440"/>
        <v>0</v>
      </c>
      <c r="CJ234" s="133">
        <f t="shared" si="441"/>
        <v>2521</v>
      </c>
      <c r="CK234" s="5">
        <f t="shared" si="442"/>
        <v>0</v>
      </c>
      <c r="CL234" s="300"/>
      <c r="CM234" s="296" t="s">
        <v>13</v>
      </c>
      <c r="CN234" s="296" t="s">
        <v>1641</v>
      </c>
      <c r="CO234" s="296">
        <v>17</v>
      </c>
      <c r="CP234" s="296" t="s">
        <v>1642</v>
      </c>
      <c r="CQ234" s="296" t="s">
        <v>1131</v>
      </c>
      <c r="CR234" s="296" t="s">
        <v>644</v>
      </c>
      <c r="CS234" s="296" t="s">
        <v>1322</v>
      </c>
      <c r="CT234" s="296" t="s">
        <v>911</v>
      </c>
      <c r="CU234" s="297">
        <v>47118</v>
      </c>
      <c r="CV234" s="296">
        <v>0</v>
      </c>
      <c r="CW234" s="296">
        <v>0</v>
      </c>
      <c r="CX234" s="296">
        <v>0</v>
      </c>
      <c r="CY234" s="296">
        <v>0</v>
      </c>
      <c r="CZ234" s="296">
        <v>0</v>
      </c>
      <c r="DA234" s="296">
        <v>0</v>
      </c>
      <c r="DB234" s="296">
        <v>0</v>
      </c>
      <c r="DC234" s="296">
        <v>0</v>
      </c>
      <c r="DD234" s="296">
        <v>0</v>
      </c>
      <c r="DE234" s="296">
        <v>0</v>
      </c>
      <c r="DF234" s="296">
        <v>0</v>
      </c>
      <c r="DG234" s="296">
        <v>0</v>
      </c>
      <c r="DH234" s="296">
        <v>0</v>
      </c>
      <c r="DI234" s="296">
        <v>0</v>
      </c>
      <c r="DJ234" s="296">
        <v>0</v>
      </c>
      <c r="DK234" s="296">
        <v>0</v>
      </c>
      <c r="DL234" s="296">
        <v>0</v>
      </c>
      <c r="DM234" s="296">
        <v>0</v>
      </c>
      <c r="DN234" s="296">
        <v>0</v>
      </c>
      <c r="DO234" s="296">
        <v>0</v>
      </c>
      <c r="DP234" s="296">
        <v>0</v>
      </c>
      <c r="DQ234" s="296">
        <v>0</v>
      </c>
      <c r="DR234" s="296">
        <v>0</v>
      </c>
      <c r="DS234" s="296">
        <v>0</v>
      </c>
      <c r="DT234" s="296">
        <v>0</v>
      </c>
      <c r="DU234" s="296">
        <v>0</v>
      </c>
      <c r="DV234" s="301" t="s">
        <v>548</v>
      </c>
    </row>
    <row r="235" spans="1:126" ht="24.95" customHeight="1" thickBot="1" x14ac:dyDescent="0.3">
      <c r="A235" s="29" t="str">
        <f t="shared" si="354"/>
        <v>234º</v>
      </c>
      <c r="B235" s="69" t="str">
        <f t="shared" si="356"/>
        <v>Fabiano Rech</v>
      </c>
      <c r="C235" s="269" t="str">
        <f t="shared" si="357"/>
        <v>BRA</v>
      </c>
      <c r="D235" s="99" t="str">
        <f t="shared" si="358"/>
        <v>Pé Direito</v>
      </c>
      <c r="E235" s="28" t="str">
        <f t="shared" si="359"/>
        <v>Cametá</v>
      </c>
      <c r="F235" s="169">
        <f t="shared" si="360"/>
        <v>17</v>
      </c>
      <c r="G235" s="2" t="str">
        <f t="shared" si="361"/>
        <v>0 €</v>
      </c>
      <c r="H235" s="154">
        <f t="shared" si="362"/>
        <v>1.82</v>
      </c>
      <c r="I235" s="64">
        <f t="shared" si="363"/>
        <v>47118</v>
      </c>
      <c r="J235" s="304" t="str">
        <f t="shared" si="364"/>
        <v>525 € p/m</v>
      </c>
      <c r="K235" s="96">
        <f t="shared" si="355"/>
        <v>3.5222222222222221</v>
      </c>
      <c r="L235" s="146">
        <f t="shared" si="365"/>
        <v>0</v>
      </c>
      <c r="M235" s="6">
        <f t="shared" si="366"/>
        <v>0</v>
      </c>
      <c r="N235" s="5">
        <f t="shared" si="367"/>
        <v>5400</v>
      </c>
      <c r="O235" s="21">
        <f t="shared" si="368"/>
        <v>0</v>
      </c>
      <c r="P235" s="2">
        <f t="shared" si="369"/>
        <v>0</v>
      </c>
      <c r="Q235" s="2">
        <f t="shared" si="370"/>
        <v>0</v>
      </c>
      <c r="R235" s="5">
        <f t="shared" si="371"/>
        <v>0</v>
      </c>
      <c r="S235" s="2">
        <f t="shared" si="372"/>
        <v>0</v>
      </c>
      <c r="T235" s="2">
        <f t="shared" si="373"/>
        <v>0</v>
      </c>
      <c r="U235" s="102">
        <f t="shared" si="374"/>
        <v>0</v>
      </c>
      <c r="V235" s="102">
        <f t="shared" si="375"/>
        <v>0</v>
      </c>
      <c r="W235" s="6">
        <f t="shared" si="376"/>
        <v>0</v>
      </c>
      <c r="X235" s="5">
        <f t="shared" si="377"/>
        <v>0</v>
      </c>
      <c r="Y235" s="6">
        <f t="shared" si="378"/>
        <v>0</v>
      </c>
      <c r="Z235" s="5" t="e">
        <f t="shared" si="379"/>
        <v>#DIV/0!</v>
      </c>
      <c r="AA235" s="21">
        <f t="shared" si="380"/>
        <v>0</v>
      </c>
      <c r="AB235" s="6">
        <f t="shared" si="381"/>
        <v>0</v>
      </c>
      <c r="AC235" s="5" t="e">
        <f t="shared" si="382"/>
        <v>#DIV/0!</v>
      </c>
      <c r="AD235" s="6">
        <f t="shared" si="383"/>
        <v>0</v>
      </c>
      <c r="AE235" s="5">
        <f t="shared" si="384"/>
        <v>0</v>
      </c>
      <c r="AF235" s="21">
        <f t="shared" si="385"/>
        <v>0</v>
      </c>
      <c r="AG235" s="6">
        <f t="shared" si="386"/>
        <v>0</v>
      </c>
      <c r="AH235" s="5">
        <f t="shared" si="387"/>
        <v>0</v>
      </c>
      <c r="AI235" s="21">
        <f t="shared" si="388"/>
        <v>0</v>
      </c>
      <c r="AJ235" s="6">
        <f t="shared" si="389"/>
        <v>0</v>
      </c>
      <c r="AK235" s="5">
        <f t="shared" si="390"/>
        <v>0</v>
      </c>
      <c r="AL235" s="21">
        <f t="shared" si="391"/>
        <v>0</v>
      </c>
      <c r="AM235" s="21">
        <f t="shared" si="392"/>
        <v>0</v>
      </c>
      <c r="AN235" s="6">
        <f t="shared" si="393"/>
        <v>0</v>
      </c>
      <c r="AO235" s="5">
        <f t="shared" si="394"/>
        <v>0</v>
      </c>
      <c r="AP235" s="6">
        <f t="shared" si="395"/>
        <v>0</v>
      </c>
      <c r="AQ235" s="5">
        <f t="shared" si="396"/>
        <v>0</v>
      </c>
      <c r="AR235" s="2">
        <f t="shared" si="397"/>
        <v>0</v>
      </c>
      <c r="AS235" s="5">
        <f t="shared" si="398"/>
        <v>0</v>
      </c>
      <c r="AT235" s="21">
        <f t="shared" si="399"/>
        <v>0</v>
      </c>
      <c r="AU235" s="20">
        <f t="shared" si="400"/>
        <v>0</v>
      </c>
      <c r="AV235" s="20">
        <f t="shared" si="401"/>
        <v>1</v>
      </c>
      <c r="AW235" s="199">
        <f t="shared" si="402"/>
        <v>0</v>
      </c>
      <c r="AX235" s="24">
        <f t="shared" si="403"/>
        <v>0</v>
      </c>
      <c r="AY235" s="5">
        <f t="shared" si="404"/>
        <v>0</v>
      </c>
      <c r="AZ235" s="5">
        <f t="shared" si="405"/>
        <v>0</v>
      </c>
      <c r="BA235" s="5">
        <f t="shared" si="406"/>
        <v>0</v>
      </c>
      <c r="BB235" s="5">
        <f t="shared" si="407"/>
        <v>0</v>
      </c>
      <c r="BC235" s="5">
        <f t="shared" si="408"/>
        <v>0</v>
      </c>
      <c r="BD235" s="5">
        <f t="shared" si="409"/>
        <v>0</v>
      </c>
      <c r="BE235" s="199">
        <f t="shared" si="410"/>
        <v>0</v>
      </c>
      <c r="BF235" s="21">
        <f t="shared" si="411"/>
        <v>0</v>
      </c>
      <c r="BG235" s="6">
        <f t="shared" si="412"/>
        <v>0</v>
      </c>
      <c r="BH235" s="5" t="e">
        <f t="shared" si="413"/>
        <v>#DIV/0!</v>
      </c>
      <c r="BI235" s="6">
        <f t="shared" si="414"/>
        <v>0</v>
      </c>
      <c r="BJ235" s="5" t="e">
        <f t="shared" si="415"/>
        <v>#DIV/0!</v>
      </c>
      <c r="BK235" s="20">
        <f t="shared" si="416"/>
        <v>-9.9999999999999998E-13</v>
      </c>
      <c r="BL235" s="20">
        <f t="shared" si="417"/>
        <v>0</v>
      </c>
      <c r="BM235" s="6">
        <f t="shared" si="418"/>
        <v>0</v>
      </c>
      <c r="BN235" s="5">
        <f t="shared" si="419"/>
        <v>0</v>
      </c>
      <c r="BO235" s="333">
        <f t="shared" si="420"/>
        <v>0</v>
      </c>
      <c r="BP235" s="334">
        <f t="shared" si="421"/>
        <v>0</v>
      </c>
      <c r="BQ235" s="6">
        <f t="shared" si="422"/>
        <v>0</v>
      </c>
      <c r="BR235" s="5">
        <f t="shared" si="423"/>
        <v>0</v>
      </c>
      <c r="BS235" s="6">
        <f t="shared" si="424"/>
        <v>0</v>
      </c>
      <c r="BT235" s="5">
        <f t="shared" si="425"/>
        <v>0</v>
      </c>
      <c r="BU235" s="181">
        <f t="shared" si="426"/>
        <v>0</v>
      </c>
      <c r="BV235" s="154">
        <f t="shared" si="427"/>
        <v>0</v>
      </c>
      <c r="BW235" s="181">
        <f t="shared" si="428"/>
        <v>0</v>
      </c>
      <c r="BX235" s="180">
        <f t="shared" si="429"/>
        <v>0</v>
      </c>
      <c r="BY235" s="181">
        <f t="shared" si="430"/>
        <v>0</v>
      </c>
      <c r="BZ235" s="154">
        <f t="shared" si="431"/>
        <v>0</v>
      </c>
      <c r="CA235" s="182">
        <f t="shared" si="432"/>
        <v>0</v>
      </c>
      <c r="CB235" s="2">
        <f t="shared" si="433"/>
        <v>0</v>
      </c>
      <c r="CC235" s="2">
        <f t="shared" si="434"/>
        <v>0</v>
      </c>
      <c r="CD235" s="2">
        <f t="shared" si="435"/>
        <v>0</v>
      </c>
      <c r="CE235" s="2">
        <f t="shared" si="436"/>
        <v>0</v>
      </c>
      <c r="CF235" s="6">
        <f t="shared" si="437"/>
        <v>0</v>
      </c>
      <c r="CG235" s="6">
        <f t="shared" si="438"/>
        <v>0</v>
      </c>
      <c r="CH235" s="6">
        <f t="shared" si="439"/>
        <v>0</v>
      </c>
      <c r="CI235" s="20">
        <f t="shared" si="440"/>
        <v>0</v>
      </c>
      <c r="CJ235" s="133">
        <f t="shared" si="441"/>
        <v>2521</v>
      </c>
      <c r="CK235" s="5">
        <f t="shared" si="442"/>
        <v>0</v>
      </c>
      <c r="CL235" s="302"/>
      <c r="CM235" s="298" t="s">
        <v>13</v>
      </c>
      <c r="CN235" s="298" t="s">
        <v>1643</v>
      </c>
      <c r="CO235" s="298">
        <v>17</v>
      </c>
      <c r="CP235" s="298" t="s">
        <v>1644</v>
      </c>
      <c r="CQ235" s="298" t="s">
        <v>1131</v>
      </c>
      <c r="CR235" s="298" t="s">
        <v>644</v>
      </c>
      <c r="CS235" s="298" t="s">
        <v>1322</v>
      </c>
      <c r="CT235" s="298" t="s">
        <v>546</v>
      </c>
      <c r="CU235" s="299">
        <v>47118</v>
      </c>
      <c r="CV235" s="298">
        <v>0</v>
      </c>
      <c r="CW235" s="298">
        <v>0</v>
      </c>
      <c r="CX235" s="298">
        <v>0</v>
      </c>
      <c r="CY235" s="298">
        <v>0</v>
      </c>
      <c r="CZ235" s="298">
        <v>0</v>
      </c>
      <c r="DA235" s="298">
        <v>0</v>
      </c>
      <c r="DB235" s="298">
        <v>0</v>
      </c>
      <c r="DC235" s="298">
        <v>0</v>
      </c>
      <c r="DD235" s="298">
        <v>0</v>
      </c>
      <c r="DE235" s="298">
        <v>0</v>
      </c>
      <c r="DF235" s="298">
        <v>0</v>
      </c>
      <c r="DG235" s="298">
        <v>0</v>
      </c>
      <c r="DH235" s="298">
        <v>0</v>
      </c>
      <c r="DI235" s="298">
        <v>0</v>
      </c>
      <c r="DJ235" s="298">
        <v>0</v>
      </c>
      <c r="DK235" s="298">
        <v>0</v>
      </c>
      <c r="DL235" s="298">
        <v>0</v>
      </c>
      <c r="DM235" s="298">
        <v>0</v>
      </c>
      <c r="DN235" s="298">
        <v>0</v>
      </c>
      <c r="DO235" s="298">
        <v>0</v>
      </c>
      <c r="DP235" s="298">
        <v>0</v>
      </c>
      <c r="DQ235" s="298">
        <v>0</v>
      </c>
      <c r="DR235" s="298">
        <v>0</v>
      </c>
      <c r="DS235" s="298">
        <v>0</v>
      </c>
      <c r="DT235" s="298">
        <v>0</v>
      </c>
      <c r="DU235" s="298">
        <v>0</v>
      </c>
      <c r="DV235" s="303" t="s">
        <v>548</v>
      </c>
    </row>
    <row r="236" spans="1:126" ht="24.95" customHeight="1" thickBot="1" x14ac:dyDescent="0.3">
      <c r="A236" s="29" t="str">
        <f t="shared" si="354"/>
        <v>235º</v>
      </c>
      <c r="B236" s="69" t="str">
        <f t="shared" si="356"/>
        <v>Bruno Batata</v>
      </c>
      <c r="C236" s="269" t="str">
        <f t="shared" si="357"/>
        <v>BRA</v>
      </c>
      <c r="D236" s="99" t="str">
        <f t="shared" si="358"/>
        <v>Pé Direito</v>
      </c>
      <c r="E236" s="28" t="str">
        <f t="shared" si="359"/>
        <v>Blumenau</v>
      </c>
      <c r="F236" s="169">
        <f t="shared" si="360"/>
        <v>17</v>
      </c>
      <c r="G236" s="2" t="str">
        <f t="shared" si="361"/>
        <v>0 €</v>
      </c>
      <c r="H236" s="154">
        <f t="shared" si="362"/>
        <v>1.91</v>
      </c>
      <c r="I236" s="64">
        <f t="shared" si="363"/>
        <v>47118</v>
      </c>
      <c r="J236" s="304" t="str">
        <f t="shared" si="364"/>
        <v>525 € p/m</v>
      </c>
      <c r="K236" s="96">
        <f t="shared" si="355"/>
        <v>3.5222222222222221</v>
      </c>
      <c r="L236" s="146">
        <f t="shared" si="365"/>
        <v>0</v>
      </c>
      <c r="M236" s="6">
        <f t="shared" si="366"/>
        <v>0</v>
      </c>
      <c r="N236" s="5">
        <f t="shared" si="367"/>
        <v>5400</v>
      </c>
      <c r="O236" s="21">
        <f t="shared" si="368"/>
        <v>0</v>
      </c>
      <c r="P236" s="2">
        <f t="shared" si="369"/>
        <v>0</v>
      </c>
      <c r="Q236" s="2">
        <f t="shared" si="370"/>
        <v>0</v>
      </c>
      <c r="R236" s="5">
        <f t="shared" si="371"/>
        <v>0</v>
      </c>
      <c r="S236" s="2">
        <f t="shared" si="372"/>
        <v>0</v>
      </c>
      <c r="T236" s="2">
        <f t="shared" si="373"/>
        <v>0</v>
      </c>
      <c r="U236" s="102">
        <f t="shared" si="374"/>
        <v>0</v>
      </c>
      <c r="V236" s="102">
        <f t="shared" si="375"/>
        <v>0</v>
      </c>
      <c r="W236" s="6">
        <f t="shared" si="376"/>
        <v>0</v>
      </c>
      <c r="X236" s="5">
        <f t="shared" si="377"/>
        <v>0</v>
      </c>
      <c r="Y236" s="6">
        <f t="shared" si="378"/>
        <v>0</v>
      </c>
      <c r="Z236" s="5" t="e">
        <f t="shared" si="379"/>
        <v>#DIV/0!</v>
      </c>
      <c r="AA236" s="21">
        <f t="shared" si="380"/>
        <v>0</v>
      </c>
      <c r="AB236" s="6">
        <f t="shared" si="381"/>
        <v>0</v>
      </c>
      <c r="AC236" s="5" t="e">
        <f t="shared" si="382"/>
        <v>#DIV/0!</v>
      </c>
      <c r="AD236" s="6">
        <f t="shared" si="383"/>
        <v>0</v>
      </c>
      <c r="AE236" s="5">
        <f t="shared" si="384"/>
        <v>0</v>
      </c>
      <c r="AF236" s="21">
        <f t="shared" si="385"/>
        <v>0</v>
      </c>
      <c r="AG236" s="6">
        <f t="shared" si="386"/>
        <v>0</v>
      </c>
      <c r="AH236" s="5">
        <f t="shared" si="387"/>
        <v>0</v>
      </c>
      <c r="AI236" s="21">
        <f t="shared" si="388"/>
        <v>0</v>
      </c>
      <c r="AJ236" s="6">
        <f t="shared" si="389"/>
        <v>0</v>
      </c>
      <c r="AK236" s="5">
        <f t="shared" si="390"/>
        <v>0</v>
      </c>
      <c r="AL236" s="21">
        <f t="shared" si="391"/>
        <v>0</v>
      </c>
      <c r="AM236" s="21">
        <f t="shared" si="392"/>
        <v>0</v>
      </c>
      <c r="AN236" s="6">
        <f t="shared" si="393"/>
        <v>0</v>
      </c>
      <c r="AO236" s="5">
        <f t="shared" si="394"/>
        <v>0</v>
      </c>
      <c r="AP236" s="6">
        <f t="shared" si="395"/>
        <v>0</v>
      </c>
      <c r="AQ236" s="5">
        <f t="shared" si="396"/>
        <v>0</v>
      </c>
      <c r="AR236" s="2">
        <f t="shared" si="397"/>
        <v>0</v>
      </c>
      <c r="AS236" s="5">
        <f t="shared" si="398"/>
        <v>0</v>
      </c>
      <c r="AT236" s="21">
        <f t="shared" si="399"/>
        <v>0</v>
      </c>
      <c r="AU236" s="20">
        <f t="shared" si="400"/>
        <v>0</v>
      </c>
      <c r="AV236" s="20">
        <f t="shared" si="401"/>
        <v>1</v>
      </c>
      <c r="AW236" s="199">
        <f t="shared" si="402"/>
        <v>0</v>
      </c>
      <c r="AX236" s="24">
        <f t="shared" si="403"/>
        <v>0</v>
      </c>
      <c r="AY236" s="5">
        <f t="shared" si="404"/>
        <v>0</v>
      </c>
      <c r="AZ236" s="5">
        <f t="shared" si="405"/>
        <v>0</v>
      </c>
      <c r="BA236" s="5">
        <f t="shared" si="406"/>
        <v>0</v>
      </c>
      <c r="BB236" s="5">
        <f t="shared" si="407"/>
        <v>0</v>
      </c>
      <c r="BC236" s="5">
        <f t="shared" si="408"/>
        <v>0</v>
      </c>
      <c r="BD236" s="5">
        <f t="shared" si="409"/>
        <v>0</v>
      </c>
      <c r="BE236" s="199">
        <f t="shared" si="410"/>
        <v>0</v>
      </c>
      <c r="BF236" s="21">
        <f t="shared" si="411"/>
        <v>0</v>
      </c>
      <c r="BG236" s="6">
        <f t="shared" si="412"/>
        <v>0</v>
      </c>
      <c r="BH236" s="5" t="e">
        <f t="shared" si="413"/>
        <v>#DIV/0!</v>
      </c>
      <c r="BI236" s="6">
        <f t="shared" si="414"/>
        <v>0</v>
      </c>
      <c r="BJ236" s="5" t="e">
        <f t="shared" si="415"/>
        <v>#DIV/0!</v>
      </c>
      <c r="BK236" s="20">
        <f t="shared" si="416"/>
        <v>-9.9999999999999998E-13</v>
      </c>
      <c r="BL236" s="20">
        <f t="shared" si="417"/>
        <v>0</v>
      </c>
      <c r="BM236" s="6">
        <f t="shared" si="418"/>
        <v>0</v>
      </c>
      <c r="BN236" s="5">
        <f t="shared" si="419"/>
        <v>0</v>
      </c>
      <c r="BO236" s="333">
        <f t="shared" si="420"/>
        <v>0</v>
      </c>
      <c r="BP236" s="334">
        <f t="shared" si="421"/>
        <v>0</v>
      </c>
      <c r="BQ236" s="6">
        <f t="shared" si="422"/>
        <v>0</v>
      </c>
      <c r="BR236" s="5">
        <f t="shared" si="423"/>
        <v>0</v>
      </c>
      <c r="BS236" s="6">
        <f t="shared" si="424"/>
        <v>0</v>
      </c>
      <c r="BT236" s="5">
        <f t="shared" si="425"/>
        <v>0</v>
      </c>
      <c r="BU236" s="181">
        <f t="shared" si="426"/>
        <v>0</v>
      </c>
      <c r="BV236" s="154">
        <f t="shared" si="427"/>
        <v>0</v>
      </c>
      <c r="BW236" s="181">
        <f t="shared" si="428"/>
        <v>0</v>
      </c>
      <c r="BX236" s="180">
        <f t="shared" si="429"/>
        <v>0</v>
      </c>
      <c r="BY236" s="181">
        <f t="shared" si="430"/>
        <v>0</v>
      </c>
      <c r="BZ236" s="154">
        <f t="shared" si="431"/>
        <v>0</v>
      </c>
      <c r="CA236" s="182">
        <f t="shared" si="432"/>
        <v>0</v>
      </c>
      <c r="CB236" s="2">
        <f t="shared" si="433"/>
        <v>0</v>
      </c>
      <c r="CC236" s="2">
        <f t="shared" si="434"/>
        <v>0</v>
      </c>
      <c r="CD236" s="2">
        <f t="shared" si="435"/>
        <v>0</v>
      </c>
      <c r="CE236" s="2">
        <f t="shared" si="436"/>
        <v>0</v>
      </c>
      <c r="CF236" s="6">
        <f t="shared" si="437"/>
        <v>0</v>
      </c>
      <c r="CG236" s="6">
        <f t="shared" si="438"/>
        <v>0</v>
      </c>
      <c r="CH236" s="6">
        <f t="shared" si="439"/>
        <v>0</v>
      </c>
      <c r="CI236" s="20">
        <f t="shared" si="440"/>
        <v>0</v>
      </c>
      <c r="CJ236" s="133">
        <f t="shared" si="441"/>
        <v>2521</v>
      </c>
      <c r="CK236" s="5">
        <f t="shared" si="442"/>
        <v>0</v>
      </c>
      <c r="CL236" s="300"/>
      <c r="CM236" s="296" t="s">
        <v>13</v>
      </c>
      <c r="CN236" s="296" t="s">
        <v>1645</v>
      </c>
      <c r="CO236" s="296">
        <v>17</v>
      </c>
      <c r="CP236" s="296" t="s">
        <v>1646</v>
      </c>
      <c r="CQ236" s="296" t="s">
        <v>1131</v>
      </c>
      <c r="CR236" s="296" t="s">
        <v>644</v>
      </c>
      <c r="CS236" s="296" t="s">
        <v>1322</v>
      </c>
      <c r="CT236" s="296" t="s">
        <v>595</v>
      </c>
      <c r="CU236" s="297">
        <v>47118</v>
      </c>
      <c r="CV236" s="296">
        <v>0</v>
      </c>
      <c r="CW236" s="296">
        <v>0</v>
      </c>
      <c r="CX236" s="296">
        <v>0</v>
      </c>
      <c r="CY236" s="296">
        <v>0</v>
      </c>
      <c r="CZ236" s="296">
        <v>0</v>
      </c>
      <c r="DA236" s="296">
        <v>0</v>
      </c>
      <c r="DB236" s="296">
        <v>0</v>
      </c>
      <c r="DC236" s="296">
        <v>0</v>
      </c>
      <c r="DD236" s="296">
        <v>0</v>
      </c>
      <c r="DE236" s="296">
        <v>0</v>
      </c>
      <c r="DF236" s="296">
        <v>0</v>
      </c>
      <c r="DG236" s="296">
        <v>0</v>
      </c>
      <c r="DH236" s="296">
        <v>0</v>
      </c>
      <c r="DI236" s="296">
        <v>0</v>
      </c>
      <c r="DJ236" s="296">
        <v>0</v>
      </c>
      <c r="DK236" s="296">
        <v>0</v>
      </c>
      <c r="DL236" s="296">
        <v>0</v>
      </c>
      <c r="DM236" s="296">
        <v>0</v>
      </c>
      <c r="DN236" s="296">
        <v>0</v>
      </c>
      <c r="DO236" s="296">
        <v>0</v>
      </c>
      <c r="DP236" s="296">
        <v>0</v>
      </c>
      <c r="DQ236" s="296">
        <v>0</v>
      </c>
      <c r="DR236" s="296">
        <v>0</v>
      </c>
      <c r="DS236" s="296">
        <v>0</v>
      </c>
      <c r="DT236" s="296">
        <v>0</v>
      </c>
      <c r="DU236" s="296">
        <v>0</v>
      </c>
      <c r="DV236" s="301" t="s">
        <v>548</v>
      </c>
    </row>
    <row r="237" spans="1:126" ht="24.95" customHeight="1" thickBot="1" x14ac:dyDescent="0.3">
      <c r="A237" s="29" t="str">
        <f t="shared" si="354"/>
        <v>236º</v>
      </c>
      <c r="B237" s="69" t="str">
        <f t="shared" si="356"/>
        <v>Genílson</v>
      </c>
      <c r="C237" s="269" t="str">
        <f t="shared" si="357"/>
        <v>BRA</v>
      </c>
      <c r="D237" s="99" t="str">
        <f t="shared" si="358"/>
        <v>Pé Direito</v>
      </c>
      <c r="E237" s="28" t="str">
        <f t="shared" si="359"/>
        <v>Caeté</v>
      </c>
      <c r="F237" s="169">
        <f t="shared" si="360"/>
        <v>17</v>
      </c>
      <c r="G237" s="2" t="str">
        <f t="shared" si="361"/>
        <v>0 €</v>
      </c>
      <c r="H237" s="154">
        <f t="shared" si="362"/>
        <v>1.87</v>
      </c>
      <c r="I237" s="64">
        <f t="shared" si="363"/>
        <v>47118</v>
      </c>
      <c r="J237" s="304" t="str">
        <f t="shared" si="364"/>
        <v>525 € p/m</v>
      </c>
      <c r="K237" s="96">
        <f t="shared" si="355"/>
        <v>3.5222222222222221</v>
      </c>
      <c r="L237" s="146">
        <f t="shared" si="365"/>
        <v>1</v>
      </c>
      <c r="M237" s="6">
        <f t="shared" si="366"/>
        <v>0</v>
      </c>
      <c r="N237" s="5">
        <f t="shared" si="367"/>
        <v>5400</v>
      </c>
      <c r="O237" s="21">
        <f t="shared" si="368"/>
        <v>0</v>
      </c>
      <c r="P237" s="2">
        <f t="shared" si="369"/>
        <v>25</v>
      </c>
      <c r="Q237" s="2">
        <f t="shared" si="370"/>
        <v>15</v>
      </c>
      <c r="R237" s="5">
        <f t="shared" si="371"/>
        <v>15</v>
      </c>
      <c r="S237" s="2">
        <f t="shared" si="372"/>
        <v>10</v>
      </c>
      <c r="T237" s="2">
        <f t="shared" si="373"/>
        <v>5</v>
      </c>
      <c r="U237" s="102">
        <f t="shared" si="374"/>
        <v>0.4</v>
      </c>
      <c r="V237" s="102">
        <f t="shared" si="375"/>
        <v>0.6</v>
      </c>
      <c r="W237" s="6">
        <f t="shared" si="376"/>
        <v>25</v>
      </c>
      <c r="X237" s="5">
        <f t="shared" si="377"/>
        <v>25</v>
      </c>
      <c r="Y237" s="6">
        <f t="shared" si="378"/>
        <v>0</v>
      </c>
      <c r="Z237" s="5">
        <f t="shared" si="379"/>
        <v>0</v>
      </c>
      <c r="AA237" s="21">
        <f t="shared" si="380"/>
        <v>0</v>
      </c>
      <c r="AB237" s="6">
        <f t="shared" si="381"/>
        <v>0</v>
      </c>
      <c r="AC237" s="5">
        <f t="shared" si="382"/>
        <v>0</v>
      </c>
      <c r="AD237" s="6">
        <f t="shared" si="383"/>
        <v>0</v>
      </c>
      <c r="AE237" s="5">
        <f t="shared" si="384"/>
        <v>0</v>
      </c>
      <c r="AF237" s="21">
        <f t="shared" si="385"/>
        <v>0</v>
      </c>
      <c r="AG237" s="6">
        <f t="shared" si="386"/>
        <v>0</v>
      </c>
      <c r="AH237" s="5">
        <f t="shared" si="387"/>
        <v>0</v>
      </c>
      <c r="AI237" s="21">
        <f t="shared" si="388"/>
        <v>0</v>
      </c>
      <c r="AJ237" s="6">
        <f t="shared" si="389"/>
        <v>2</v>
      </c>
      <c r="AK237" s="5">
        <f t="shared" si="390"/>
        <v>0.13333333333333333</v>
      </c>
      <c r="AL237" s="21">
        <f t="shared" si="391"/>
        <v>1</v>
      </c>
      <c r="AM237" s="21">
        <f t="shared" si="392"/>
        <v>0</v>
      </c>
      <c r="AN237" s="6">
        <f t="shared" si="393"/>
        <v>0</v>
      </c>
      <c r="AO237" s="5">
        <f t="shared" si="394"/>
        <v>0</v>
      </c>
      <c r="AP237" s="6">
        <f t="shared" si="395"/>
        <v>2</v>
      </c>
      <c r="AQ237" s="5">
        <f t="shared" si="396"/>
        <v>2</v>
      </c>
      <c r="AR237" s="2">
        <f t="shared" si="397"/>
        <v>5</v>
      </c>
      <c r="AS237" s="5">
        <f t="shared" si="398"/>
        <v>5</v>
      </c>
      <c r="AT237" s="21">
        <f t="shared" si="399"/>
        <v>0.4</v>
      </c>
      <c r="AU237" s="20">
        <f t="shared" si="400"/>
        <v>0.4</v>
      </c>
      <c r="AV237" s="20">
        <f t="shared" si="401"/>
        <v>0.6</v>
      </c>
      <c r="AW237" s="199">
        <f t="shared" si="402"/>
        <v>0.6</v>
      </c>
      <c r="AX237" s="24">
        <f t="shared" si="403"/>
        <v>30</v>
      </c>
      <c r="AY237" s="5">
        <f t="shared" si="404"/>
        <v>1.6666666666666667</v>
      </c>
      <c r="AZ237" s="5">
        <f t="shared" si="405"/>
        <v>1.6666666666666667</v>
      </c>
      <c r="BA237" s="5">
        <f t="shared" si="406"/>
        <v>-1.75</v>
      </c>
      <c r="BB237" s="5">
        <f t="shared" si="407"/>
        <v>-1.75</v>
      </c>
      <c r="BC237" s="5">
        <f t="shared" si="408"/>
        <v>-1.75</v>
      </c>
      <c r="BD237" s="5">
        <f t="shared" si="409"/>
        <v>-1.75</v>
      </c>
      <c r="BE237" s="199">
        <f t="shared" si="410"/>
        <v>-1.75</v>
      </c>
      <c r="BF237" s="21">
        <f t="shared" si="411"/>
        <v>-1.4</v>
      </c>
      <c r="BG237" s="6">
        <f t="shared" si="412"/>
        <v>1</v>
      </c>
      <c r="BH237" s="5">
        <f t="shared" si="413"/>
        <v>1</v>
      </c>
      <c r="BI237" s="6">
        <f t="shared" si="414"/>
        <v>0</v>
      </c>
      <c r="BJ237" s="5">
        <f t="shared" si="415"/>
        <v>0</v>
      </c>
      <c r="BK237" s="20">
        <f t="shared" si="416"/>
        <v>0</v>
      </c>
      <c r="BL237" s="20">
        <f t="shared" si="417"/>
        <v>2.0229265003371545E-3</v>
      </c>
      <c r="BM237" s="6">
        <f t="shared" si="418"/>
        <v>3</v>
      </c>
      <c r="BN237" s="5">
        <f t="shared" si="419"/>
        <v>3</v>
      </c>
      <c r="BO237" s="333">
        <f t="shared" si="420"/>
        <v>0</v>
      </c>
      <c r="BP237" s="334">
        <f t="shared" si="421"/>
        <v>0</v>
      </c>
      <c r="BQ237" s="6">
        <f t="shared" si="422"/>
        <v>0</v>
      </c>
      <c r="BR237" s="5">
        <f t="shared" si="423"/>
        <v>0</v>
      </c>
      <c r="BS237" s="6">
        <f t="shared" si="424"/>
        <v>9</v>
      </c>
      <c r="BT237" s="5">
        <f t="shared" si="425"/>
        <v>9</v>
      </c>
      <c r="BU237" s="181">
        <f t="shared" si="426"/>
        <v>1</v>
      </c>
      <c r="BV237" s="154">
        <f t="shared" si="427"/>
        <v>1</v>
      </c>
      <c r="BW237" s="181">
        <f t="shared" si="428"/>
        <v>0</v>
      </c>
      <c r="BX237" s="180">
        <f t="shared" si="429"/>
        <v>0</v>
      </c>
      <c r="BY237" s="181">
        <f t="shared" si="430"/>
        <v>1</v>
      </c>
      <c r="BZ237" s="154">
        <f t="shared" si="431"/>
        <v>1</v>
      </c>
      <c r="CA237" s="182">
        <f t="shared" si="432"/>
        <v>0</v>
      </c>
      <c r="CB237" s="2">
        <f t="shared" si="433"/>
        <v>0</v>
      </c>
      <c r="CC237" s="2">
        <f t="shared" si="434"/>
        <v>0</v>
      </c>
      <c r="CD237" s="2">
        <f t="shared" si="435"/>
        <v>0</v>
      </c>
      <c r="CE237" s="2">
        <f t="shared" si="436"/>
        <v>0</v>
      </c>
      <c r="CF237" s="6">
        <f t="shared" si="437"/>
        <v>0</v>
      </c>
      <c r="CG237" s="6">
        <f t="shared" si="438"/>
        <v>43.97</v>
      </c>
      <c r="CH237" s="6">
        <f t="shared" si="439"/>
        <v>17</v>
      </c>
      <c r="CI237" s="20">
        <f t="shared" si="440"/>
        <v>0.3866272458494428</v>
      </c>
      <c r="CJ237" s="133">
        <f t="shared" si="441"/>
        <v>2521</v>
      </c>
      <c r="CK237" s="5">
        <f t="shared" si="442"/>
        <v>5.4</v>
      </c>
      <c r="CL237" s="302" t="s">
        <v>1235</v>
      </c>
      <c r="CM237" s="298" t="s">
        <v>13</v>
      </c>
      <c r="CN237" s="298" t="s">
        <v>1647</v>
      </c>
      <c r="CO237" s="298">
        <v>17</v>
      </c>
      <c r="CP237" s="298" t="s">
        <v>1648</v>
      </c>
      <c r="CQ237" s="298" t="s">
        <v>1131</v>
      </c>
      <c r="CR237" s="298" t="s">
        <v>644</v>
      </c>
      <c r="CS237" s="298" t="s">
        <v>1322</v>
      </c>
      <c r="CT237" s="298" t="s">
        <v>911</v>
      </c>
      <c r="CU237" s="299">
        <v>47118</v>
      </c>
      <c r="CV237" s="298">
        <v>0</v>
      </c>
      <c r="CW237" s="298">
        <v>90</v>
      </c>
      <c r="CX237" s="298">
        <v>3</v>
      </c>
      <c r="CY237" s="298">
        <v>0</v>
      </c>
      <c r="CZ237" s="298">
        <v>0</v>
      </c>
      <c r="DA237" s="298">
        <v>2</v>
      </c>
      <c r="DB237" s="298">
        <v>0</v>
      </c>
      <c r="DC237" s="298">
        <v>0</v>
      </c>
      <c r="DD237" s="298">
        <v>9</v>
      </c>
      <c r="DE237" s="298">
        <v>0</v>
      </c>
      <c r="DF237" s="298">
        <v>0</v>
      </c>
      <c r="DG237" s="298">
        <v>0</v>
      </c>
      <c r="DH237" s="298">
        <v>0</v>
      </c>
      <c r="DI237" s="298">
        <v>0</v>
      </c>
      <c r="DJ237" s="298">
        <v>0</v>
      </c>
      <c r="DK237" s="298">
        <v>0</v>
      </c>
      <c r="DL237" s="298">
        <v>25</v>
      </c>
      <c r="DM237" s="298">
        <v>15</v>
      </c>
      <c r="DN237" s="298" t="s">
        <v>1649</v>
      </c>
      <c r="DO237" s="298">
        <v>0</v>
      </c>
      <c r="DP237" s="298">
        <v>0</v>
      </c>
      <c r="DQ237" s="298">
        <v>1</v>
      </c>
      <c r="DR237" s="298">
        <v>0</v>
      </c>
      <c r="DS237" s="298">
        <v>0</v>
      </c>
      <c r="DT237" s="298">
        <v>1</v>
      </c>
      <c r="DU237" s="298">
        <v>0</v>
      </c>
      <c r="DV237" s="303">
        <v>5.4</v>
      </c>
    </row>
    <row r="238" spans="1:126" ht="24.95" customHeight="1" thickBot="1" x14ac:dyDescent="0.3">
      <c r="A238" s="29" t="str">
        <f t="shared" si="354"/>
        <v>237º</v>
      </c>
      <c r="B238" s="69" t="str">
        <f t="shared" si="356"/>
        <v>Wagner Perondi</v>
      </c>
      <c r="C238" s="269" t="str">
        <f t="shared" si="357"/>
        <v>BRA</v>
      </c>
      <c r="D238" s="99" t="str">
        <f t="shared" si="358"/>
        <v>Pé Direito</v>
      </c>
      <c r="E238" s="28" t="str">
        <f t="shared" si="359"/>
        <v>Cerrado (GO)</v>
      </c>
      <c r="F238" s="169">
        <f t="shared" si="360"/>
        <v>17</v>
      </c>
      <c r="G238" s="2" t="str">
        <f t="shared" si="361"/>
        <v>0 €</v>
      </c>
      <c r="H238" s="154">
        <f t="shared" si="362"/>
        <v>1.9</v>
      </c>
      <c r="I238" s="64">
        <f t="shared" si="363"/>
        <v>47118</v>
      </c>
      <c r="J238" s="304" t="str">
        <f t="shared" si="364"/>
        <v>525 € p/m</v>
      </c>
      <c r="K238" s="96">
        <f t="shared" si="355"/>
        <v>3.5222222222222221</v>
      </c>
      <c r="L238" s="146">
        <f t="shared" si="365"/>
        <v>0</v>
      </c>
      <c r="M238" s="6">
        <f t="shared" si="366"/>
        <v>0</v>
      </c>
      <c r="N238" s="5">
        <f t="shared" si="367"/>
        <v>5400</v>
      </c>
      <c r="O238" s="21">
        <f t="shared" si="368"/>
        <v>0</v>
      </c>
      <c r="P238" s="2">
        <f t="shared" si="369"/>
        <v>0</v>
      </c>
      <c r="Q238" s="2">
        <f t="shared" si="370"/>
        <v>0</v>
      </c>
      <c r="R238" s="5">
        <f t="shared" si="371"/>
        <v>0</v>
      </c>
      <c r="S238" s="2">
        <f t="shared" si="372"/>
        <v>0</v>
      </c>
      <c r="T238" s="2">
        <f t="shared" si="373"/>
        <v>0</v>
      </c>
      <c r="U238" s="102">
        <f t="shared" si="374"/>
        <v>0</v>
      </c>
      <c r="V238" s="102">
        <f t="shared" si="375"/>
        <v>0</v>
      </c>
      <c r="W238" s="6">
        <f t="shared" si="376"/>
        <v>0</v>
      </c>
      <c r="X238" s="5">
        <f t="shared" si="377"/>
        <v>0</v>
      </c>
      <c r="Y238" s="6">
        <f t="shared" si="378"/>
        <v>0</v>
      </c>
      <c r="Z238" s="5" t="e">
        <f t="shared" si="379"/>
        <v>#DIV/0!</v>
      </c>
      <c r="AA238" s="21">
        <f t="shared" si="380"/>
        <v>0</v>
      </c>
      <c r="AB238" s="6">
        <f t="shared" si="381"/>
        <v>0</v>
      </c>
      <c r="AC238" s="5" t="e">
        <f t="shared" si="382"/>
        <v>#DIV/0!</v>
      </c>
      <c r="AD238" s="6">
        <f t="shared" si="383"/>
        <v>0</v>
      </c>
      <c r="AE238" s="5">
        <f t="shared" si="384"/>
        <v>0</v>
      </c>
      <c r="AF238" s="21">
        <f t="shared" si="385"/>
        <v>0</v>
      </c>
      <c r="AG238" s="6">
        <f t="shared" si="386"/>
        <v>0</v>
      </c>
      <c r="AH238" s="5">
        <f t="shared" si="387"/>
        <v>0</v>
      </c>
      <c r="AI238" s="21">
        <f t="shared" si="388"/>
        <v>0</v>
      </c>
      <c r="AJ238" s="6">
        <f t="shared" si="389"/>
        <v>0</v>
      </c>
      <c r="AK238" s="5">
        <f t="shared" si="390"/>
        <v>0</v>
      </c>
      <c r="AL238" s="21">
        <f t="shared" si="391"/>
        <v>0</v>
      </c>
      <c r="AM238" s="21">
        <f t="shared" si="392"/>
        <v>0</v>
      </c>
      <c r="AN238" s="6">
        <f t="shared" si="393"/>
        <v>0</v>
      </c>
      <c r="AO238" s="5">
        <f t="shared" si="394"/>
        <v>0</v>
      </c>
      <c r="AP238" s="6">
        <f t="shared" si="395"/>
        <v>0</v>
      </c>
      <c r="AQ238" s="5">
        <f t="shared" si="396"/>
        <v>0</v>
      </c>
      <c r="AR238" s="2">
        <f t="shared" si="397"/>
        <v>0</v>
      </c>
      <c r="AS238" s="5">
        <f t="shared" si="398"/>
        <v>0</v>
      </c>
      <c r="AT238" s="21">
        <f t="shared" si="399"/>
        <v>0</v>
      </c>
      <c r="AU238" s="20">
        <f t="shared" si="400"/>
        <v>0</v>
      </c>
      <c r="AV238" s="20">
        <f t="shared" si="401"/>
        <v>1</v>
      </c>
      <c r="AW238" s="199">
        <f t="shared" si="402"/>
        <v>0</v>
      </c>
      <c r="AX238" s="24">
        <f t="shared" si="403"/>
        <v>0</v>
      </c>
      <c r="AY238" s="5">
        <f t="shared" si="404"/>
        <v>0</v>
      </c>
      <c r="AZ238" s="5">
        <f t="shared" si="405"/>
        <v>0</v>
      </c>
      <c r="BA238" s="5">
        <f t="shared" si="406"/>
        <v>0</v>
      </c>
      <c r="BB238" s="5">
        <f t="shared" si="407"/>
        <v>0</v>
      </c>
      <c r="BC238" s="5">
        <f t="shared" si="408"/>
        <v>0</v>
      </c>
      <c r="BD238" s="5">
        <f t="shared" si="409"/>
        <v>0</v>
      </c>
      <c r="BE238" s="199">
        <f t="shared" si="410"/>
        <v>0</v>
      </c>
      <c r="BF238" s="21">
        <f t="shared" si="411"/>
        <v>0</v>
      </c>
      <c r="BG238" s="6">
        <f t="shared" si="412"/>
        <v>0</v>
      </c>
      <c r="BH238" s="5" t="e">
        <f t="shared" si="413"/>
        <v>#DIV/0!</v>
      </c>
      <c r="BI238" s="6">
        <f t="shared" si="414"/>
        <v>0</v>
      </c>
      <c r="BJ238" s="5" t="e">
        <f t="shared" si="415"/>
        <v>#DIV/0!</v>
      </c>
      <c r="BK238" s="20">
        <f t="shared" si="416"/>
        <v>-9.9999999999999998E-13</v>
      </c>
      <c r="BL238" s="20">
        <f t="shared" si="417"/>
        <v>0</v>
      </c>
      <c r="BM238" s="6">
        <f t="shared" si="418"/>
        <v>0</v>
      </c>
      <c r="BN238" s="5">
        <f t="shared" si="419"/>
        <v>0</v>
      </c>
      <c r="BO238" s="333">
        <f t="shared" si="420"/>
        <v>0</v>
      </c>
      <c r="BP238" s="334">
        <f t="shared" si="421"/>
        <v>0</v>
      </c>
      <c r="BQ238" s="6">
        <f t="shared" si="422"/>
        <v>0</v>
      </c>
      <c r="BR238" s="5">
        <f t="shared" si="423"/>
        <v>0</v>
      </c>
      <c r="BS238" s="6">
        <f t="shared" si="424"/>
        <v>0</v>
      </c>
      <c r="BT238" s="5">
        <f t="shared" si="425"/>
        <v>0</v>
      </c>
      <c r="BU238" s="181">
        <f t="shared" si="426"/>
        <v>0</v>
      </c>
      <c r="BV238" s="154">
        <f t="shared" si="427"/>
        <v>0</v>
      </c>
      <c r="BW238" s="181">
        <f t="shared" si="428"/>
        <v>0</v>
      </c>
      <c r="BX238" s="180">
        <f t="shared" si="429"/>
        <v>0</v>
      </c>
      <c r="BY238" s="181">
        <f t="shared" si="430"/>
        <v>0</v>
      </c>
      <c r="BZ238" s="154">
        <f t="shared" si="431"/>
        <v>0</v>
      </c>
      <c r="CA238" s="182">
        <f t="shared" si="432"/>
        <v>0</v>
      </c>
      <c r="CB238" s="2">
        <f t="shared" si="433"/>
        <v>0</v>
      </c>
      <c r="CC238" s="2">
        <f t="shared" si="434"/>
        <v>0</v>
      </c>
      <c r="CD238" s="2">
        <f t="shared" si="435"/>
        <v>0</v>
      </c>
      <c r="CE238" s="2">
        <f t="shared" si="436"/>
        <v>0</v>
      </c>
      <c r="CF238" s="6">
        <f t="shared" si="437"/>
        <v>0</v>
      </c>
      <c r="CG238" s="6">
        <f t="shared" si="438"/>
        <v>0</v>
      </c>
      <c r="CH238" s="6">
        <f t="shared" si="439"/>
        <v>0</v>
      </c>
      <c r="CI238" s="20">
        <f t="shared" si="440"/>
        <v>0</v>
      </c>
      <c r="CJ238" s="133">
        <f t="shared" si="441"/>
        <v>2521</v>
      </c>
      <c r="CK238" s="5">
        <f t="shared" si="442"/>
        <v>0</v>
      </c>
      <c r="CL238" s="300"/>
      <c r="CM238" s="296" t="s">
        <v>13</v>
      </c>
      <c r="CN238" s="296" t="s">
        <v>1650</v>
      </c>
      <c r="CO238" s="296">
        <v>17</v>
      </c>
      <c r="CP238" s="296" t="s">
        <v>1651</v>
      </c>
      <c r="CQ238" s="296" t="s">
        <v>1131</v>
      </c>
      <c r="CR238" s="296" t="s">
        <v>644</v>
      </c>
      <c r="CS238" s="296" t="s">
        <v>1322</v>
      </c>
      <c r="CT238" s="296" t="s">
        <v>682</v>
      </c>
      <c r="CU238" s="297">
        <v>47118</v>
      </c>
      <c r="CV238" s="296">
        <v>0</v>
      </c>
      <c r="CW238" s="296">
        <v>0</v>
      </c>
      <c r="CX238" s="296">
        <v>0</v>
      </c>
      <c r="CY238" s="296">
        <v>0</v>
      </c>
      <c r="CZ238" s="296">
        <v>0</v>
      </c>
      <c r="DA238" s="296">
        <v>0</v>
      </c>
      <c r="DB238" s="296">
        <v>0</v>
      </c>
      <c r="DC238" s="296">
        <v>0</v>
      </c>
      <c r="DD238" s="296">
        <v>0</v>
      </c>
      <c r="DE238" s="296">
        <v>0</v>
      </c>
      <c r="DF238" s="296">
        <v>0</v>
      </c>
      <c r="DG238" s="296">
        <v>0</v>
      </c>
      <c r="DH238" s="296">
        <v>0</v>
      </c>
      <c r="DI238" s="296">
        <v>0</v>
      </c>
      <c r="DJ238" s="296">
        <v>0</v>
      </c>
      <c r="DK238" s="296">
        <v>0</v>
      </c>
      <c r="DL238" s="296">
        <v>0</v>
      </c>
      <c r="DM238" s="296">
        <v>0</v>
      </c>
      <c r="DN238" s="296">
        <v>0</v>
      </c>
      <c r="DO238" s="296">
        <v>0</v>
      </c>
      <c r="DP238" s="296">
        <v>0</v>
      </c>
      <c r="DQ238" s="296">
        <v>0</v>
      </c>
      <c r="DR238" s="296">
        <v>0</v>
      </c>
      <c r="DS238" s="296">
        <v>0</v>
      </c>
      <c r="DT238" s="296">
        <v>0</v>
      </c>
      <c r="DU238" s="296">
        <v>0</v>
      </c>
      <c r="DV238" s="301" t="s">
        <v>548</v>
      </c>
    </row>
    <row r="239" spans="1:126" ht="24.95" customHeight="1" thickBot="1" x14ac:dyDescent="0.3">
      <c r="A239" s="29" t="str">
        <f t="shared" si="354"/>
        <v>238º</v>
      </c>
      <c r="B239" s="69" t="str">
        <f t="shared" si="356"/>
        <v>Victor Hugo</v>
      </c>
      <c r="C239" s="269" t="str">
        <f t="shared" si="357"/>
        <v>BRA</v>
      </c>
      <c r="D239" s="99" t="str">
        <f t="shared" si="358"/>
        <v>Pé Direito</v>
      </c>
      <c r="E239" s="28" t="str">
        <f t="shared" si="359"/>
        <v>Manthiqueira</v>
      </c>
      <c r="F239" s="169">
        <f t="shared" si="360"/>
        <v>16</v>
      </c>
      <c r="G239" s="2" t="str">
        <f t="shared" si="361"/>
        <v>0 €</v>
      </c>
      <c r="H239" s="154">
        <f t="shared" si="362"/>
        <v>1.86</v>
      </c>
      <c r="I239" s="64">
        <f t="shared" si="363"/>
        <v>47118</v>
      </c>
      <c r="J239" s="304" t="str">
        <f t="shared" si="364"/>
        <v>525 € p/m</v>
      </c>
      <c r="K239" s="96">
        <f t="shared" si="355"/>
        <v>3.5222222222222221</v>
      </c>
      <c r="L239" s="146">
        <f t="shared" si="365"/>
        <v>0</v>
      </c>
      <c r="M239" s="6">
        <f t="shared" si="366"/>
        <v>0</v>
      </c>
      <c r="N239" s="5">
        <f t="shared" si="367"/>
        <v>5400</v>
      </c>
      <c r="O239" s="21">
        <f t="shared" si="368"/>
        <v>0</v>
      </c>
      <c r="P239" s="2">
        <f t="shared" si="369"/>
        <v>0</v>
      </c>
      <c r="Q239" s="2">
        <f t="shared" si="370"/>
        <v>0</v>
      </c>
      <c r="R239" s="5">
        <f t="shared" si="371"/>
        <v>0</v>
      </c>
      <c r="S239" s="2">
        <f t="shared" si="372"/>
        <v>0</v>
      </c>
      <c r="T239" s="2">
        <f t="shared" si="373"/>
        <v>0</v>
      </c>
      <c r="U239" s="102">
        <f t="shared" si="374"/>
        <v>0</v>
      </c>
      <c r="V239" s="102">
        <f t="shared" si="375"/>
        <v>0</v>
      </c>
      <c r="W239" s="6">
        <f t="shared" si="376"/>
        <v>0</v>
      </c>
      <c r="X239" s="5">
        <f t="shared" si="377"/>
        <v>0</v>
      </c>
      <c r="Y239" s="6">
        <f t="shared" si="378"/>
        <v>0</v>
      </c>
      <c r="Z239" s="5" t="e">
        <f t="shared" si="379"/>
        <v>#DIV/0!</v>
      </c>
      <c r="AA239" s="21">
        <f t="shared" si="380"/>
        <v>0</v>
      </c>
      <c r="AB239" s="6">
        <f t="shared" si="381"/>
        <v>0</v>
      </c>
      <c r="AC239" s="5" t="e">
        <f t="shared" si="382"/>
        <v>#DIV/0!</v>
      </c>
      <c r="AD239" s="6">
        <f t="shared" si="383"/>
        <v>0</v>
      </c>
      <c r="AE239" s="5">
        <f t="shared" si="384"/>
        <v>0</v>
      </c>
      <c r="AF239" s="21">
        <f t="shared" si="385"/>
        <v>0</v>
      </c>
      <c r="AG239" s="6">
        <f t="shared" si="386"/>
        <v>0</v>
      </c>
      <c r="AH239" s="5">
        <f t="shared" si="387"/>
        <v>0</v>
      </c>
      <c r="AI239" s="21">
        <f t="shared" si="388"/>
        <v>0</v>
      </c>
      <c r="AJ239" s="6">
        <f t="shared" si="389"/>
        <v>0</v>
      </c>
      <c r="AK239" s="5">
        <f t="shared" si="390"/>
        <v>0</v>
      </c>
      <c r="AL239" s="21">
        <f t="shared" si="391"/>
        <v>0</v>
      </c>
      <c r="AM239" s="21">
        <f t="shared" si="392"/>
        <v>0</v>
      </c>
      <c r="AN239" s="6">
        <f t="shared" si="393"/>
        <v>0</v>
      </c>
      <c r="AO239" s="5">
        <f t="shared" si="394"/>
        <v>0</v>
      </c>
      <c r="AP239" s="6">
        <f t="shared" si="395"/>
        <v>0</v>
      </c>
      <c r="AQ239" s="5">
        <f t="shared" si="396"/>
        <v>0</v>
      </c>
      <c r="AR239" s="2">
        <f t="shared" si="397"/>
        <v>0</v>
      </c>
      <c r="AS239" s="5">
        <f t="shared" si="398"/>
        <v>0</v>
      </c>
      <c r="AT239" s="21">
        <f t="shared" si="399"/>
        <v>0</v>
      </c>
      <c r="AU239" s="20">
        <f t="shared" si="400"/>
        <v>0</v>
      </c>
      <c r="AV239" s="20">
        <f t="shared" si="401"/>
        <v>1</v>
      </c>
      <c r="AW239" s="199">
        <f t="shared" si="402"/>
        <v>0</v>
      </c>
      <c r="AX239" s="24">
        <f t="shared" si="403"/>
        <v>0</v>
      </c>
      <c r="AY239" s="5">
        <f t="shared" si="404"/>
        <v>0</v>
      </c>
      <c r="AZ239" s="5">
        <f t="shared" si="405"/>
        <v>0</v>
      </c>
      <c r="BA239" s="5">
        <f t="shared" si="406"/>
        <v>0</v>
      </c>
      <c r="BB239" s="5">
        <f t="shared" si="407"/>
        <v>0</v>
      </c>
      <c r="BC239" s="5">
        <f t="shared" si="408"/>
        <v>0</v>
      </c>
      <c r="BD239" s="5">
        <f t="shared" si="409"/>
        <v>0</v>
      </c>
      <c r="BE239" s="199">
        <f t="shared" si="410"/>
        <v>0</v>
      </c>
      <c r="BF239" s="21">
        <f t="shared" si="411"/>
        <v>0</v>
      </c>
      <c r="BG239" s="6">
        <f t="shared" si="412"/>
        <v>0</v>
      </c>
      <c r="BH239" s="5" t="e">
        <f t="shared" si="413"/>
        <v>#DIV/0!</v>
      </c>
      <c r="BI239" s="6">
        <f t="shared" si="414"/>
        <v>0</v>
      </c>
      <c r="BJ239" s="5" t="e">
        <f t="shared" si="415"/>
        <v>#DIV/0!</v>
      </c>
      <c r="BK239" s="20">
        <f t="shared" si="416"/>
        <v>-9.9999999999999998E-13</v>
      </c>
      <c r="BL239" s="20">
        <f t="shared" si="417"/>
        <v>0</v>
      </c>
      <c r="BM239" s="6">
        <f t="shared" si="418"/>
        <v>0</v>
      </c>
      <c r="BN239" s="5">
        <f t="shared" si="419"/>
        <v>0</v>
      </c>
      <c r="BO239" s="333">
        <f t="shared" si="420"/>
        <v>0</v>
      </c>
      <c r="BP239" s="334">
        <f t="shared" si="421"/>
        <v>0</v>
      </c>
      <c r="BQ239" s="6">
        <f t="shared" si="422"/>
        <v>0</v>
      </c>
      <c r="BR239" s="5">
        <f t="shared" si="423"/>
        <v>0</v>
      </c>
      <c r="BS239" s="6">
        <f t="shared" si="424"/>
        <v>0</v>
      </c>
      <c r="BT239" s="5">
        <f t="shared" si="425"/>
        <v>0</v>
      </c>
      <c r="BU239" s="181">
        <f t="shared" si="426"/>
        <v>0</v>
      </c>
      <c r="BV239" s="154">
        <f t="shared" si="427"/>
        <v>0</v>
      </c>
      <c r="BW239" s="181">
        <f t="shared" si="428"/>
        <v>0</v>
      </c>
      <c r="BX239" s="180">
        <f t="shared" si="429"/>
        <v>0</v>
      </c>
      <c r="BY239" s="181">
        <f t="shared" si="430"/>
        <v>0</v>
      </c>
      <c r="BZ239" s="154">
        <f t="shared" si="431"/>
        <v>0</v>
      </c>
      <c r="CA239" s="182">
        <f t="shared" si="432"/>
        <v>0</v>
      </c>
      <c r="CB239" s="2">
        <f t="shared" si="433"/>
        <v>0</v>
      </c>
      <c r="CC239" s="2">
        <f t="shared" si="434"/>
        <v>0</v>
      </c>
      <c r="CD239" s="2">
        <f t="shared" si="435"/>
        <v>0</v>
      </c>
      <c r="CE239" s="2">
        <f t="shared" si="436"/>
        <v>0</v>
      </c>
      <c r="CF239" s="6">
        <f t="shared" si="437"/>
        <v>0</v>
      </c>
      <c r="CG239" s="6">
        <f t="shared" si="438"/>
        <v>0</v>
      </c>
      <c r="CH239" s="6">
        <f t="shared" si="439"/>
        <v>0</v>
      </c>
      <c r="CI239" s="20">
        <f t="shared" si="440"/>
        <v>0</v>
      </c>
      <c r="CJ239" s="133">
        <f t="shared" si="441"/>
        <v>2521</v>
      </c>
      <c r="CK239" s="5">
        <f t="shared" si="442"/>
        <v>0</v>
      </c>
      <c r="CL239" s="302"/>
      <c r="CM239" s="298" t="s">
        <v>13</v>
      </c>
      <c r="CN239" s="298" t="s">
        <v>1652</v>
      </c>
      <c r="CO239" s="298">
        <v>16</v>
      </c>
      <c r="CP239" s="298" t="s">
        <v>1051</v>
      </c>
      <c r="CQ239" s="298" t="s">
        <v>1131</v>
      </c>
      <c r="CR239" s="298" t="s">
        <v>644</v>
      </c>
      <c r="CS239" s="298" t="s">
        <v>1322</v>
      </c>
      <c r="CT239" s="298" t="s">
        <v>575</v>
      </c>
      <c r="CU239" s="299">
        <v>47118</v>
      </c>
      <c r="CV239" s="298">
        <v>0</v>
      </c>
      <c r="CW239" s="298">
        <v>0</v>
      </c>
      <c r="CX239" s="298">
        <v>0</v>
      </c>
      <c r="CY239" s="298">
        <v>0</v>
      </c>
      <c r="CZ239" s="298">
        <v>0</v>
      </c>
      <c r="DA239" s="298">
        <v>0</v>
      </c>
      <c r="DB239" s="298">
        <v>0</v>
      </c>
      <c r="DC239" s="298">
        <v>0</v>
      </c>
      <c r="DD239" s="298">
        <v>0</v>
      </c>
      <c r="DE239" s="298">
        <v>0</v>
      </c>
      <c r="DF239" s="298">
        <v>0</v>
      </c>
      <c r="DG239" s="298">
        <v>0</v>
      </c>
      <c r="DH239" s="298">
        <v>0</v>
      </c>
      <c r="DI239" s="298">
        <v>0</v>
      </c>
      <c r="DJ239" s="298">
        <v>0</v>
      </c>
      <c r="DK239" s="298">
        <v>0</v>
      </c>
      <c r="DL239" s="298">
        <v>0</v>
      </c>
      <c r="DM239" s="298">
        <v>0</v>
      </c>
      <c r="DN239" s="298">
        <v>0</v>
      </c>
      <c r="DO239" s="298">
        <v>0</v>
      </c>
      <c r="DP239" s="298">
        <v>0</v>
      </c>
      <c r="DQ239" s="298">
        <v>0</v>
      </c>
      <c r="DR239" s="298">
        <v>0</v>
      </c>
      <c r="DS239" s="298">
        <v>0</v>
      </c>
      <c r="DT239" s="298">
        <v>0</v>
      </c>
      <c r="DU239" s="298">
        <v>0</v>
      </c>
      <c r="DV239" s="303" t="s">
        <v>548</v>
      </c>
    </row>
    <row r="240" spans="1:126" ht="24.95" customHeight="1" thickBot="1" x14ac:dyDescent="0.3">
      <c r="A240" s="29" t="str">
        <f t="shared" si="354"/>
        <v>239º</v>
      </c>
      <c r="B240" s="69" t="str">
        <f t="shared" si="356"/>
        <v>Daniel Iser</v>
      </c>
      <c r="C240" s="269" t="str">
        <f t="shared" si="357"/>
        <v>BRA</v>
      </c>
      <c r="D240" s="99" t="str">
        <f t="shared" si="358"/>
        <v>Pé Direito</v>
      </c>
      <c r="E240" s="28" t="str">
        <f t="shared" si="359"/>
        <v>Fonte Nova</v>
      </c>
      <c r="F240" s="169">
        <f t="shared" si="360"/>
        <v>17</v>
      </c>
      <c r="G240" s="2" t="str">
        <f t="shared" si="361"/>
        <v>0 €</v>
      </c>
      <c r="H240" s="154">
        <f t="shared" si="362"/>
        <v>1.82</v>
      </c>
      <c r="I240" s="64">
        <f t="shared" si="363"/>
        <v>47118</v>
      </c>
      <c r="J240" s="304" t="str">
        <f t="shared" si="364"/>
        <v>525 € p/m</v>
      </c>
      <c r="K240" s="96">
        <f t="shared" si="355"/>
        <v>3.5222222222222221</v>
      </c>
      <c r="L240" s="146">
        <f t="shared" si="365"/>
        <v>0</v>
      </c>
      <c r="M240" s="6">
        <f t="shared" si="366"/>
        <v>0</v>
      </c>
      <c r="N240" s="5">
        <f t="shared" si="367"/>
        <v>5400</v>
      </c>
      <c r="O240" s="21">
        <f t="shared" si="368"/>
        <v>0</v>
      </c>
      <c r="P240" s="2">
        <f t="shared" si="369"/>
        <v>0</v>
      </c>
      <c r="Q240" s="2">
        <f t="shared" si="370"/>
        <v>0</v>
      </c>
      <c r="R240" s="5">
        <f t="shared" si="371"/>
        <v>0</v>
      </c>
      <c r="S240" s="2">
        <f t="shared" si="372"/>
        <v>0</v>
      </c>
      <c r="T240" s="2">
        <f t="shared" si="373"/>
        <v>0</v>
      </c>
      <c r="U240" s="102">
        <f t="shared" si="374"/>
        <v>0</v>
      </c>
      <c r="V240" s="102">
        <f t="shared" si="375"/>
        <v>0</v>
      </c>
      <c r="W240" s="6">
        <f t="shared" si="376"/>
        <v>0</v>
      </c>
      <c r="X240" s="5">
        <f t="shared" si="377"/>
        <v>0</v>
      </c>
      <c r="Y240" s="6">
        <f t="shared" si="378"/>
        <v>0</v>
      </c>
      <c r="Z240" s="5" t="e">
        <f t="shared" si="379"/>
        <v>#DIV/0!</v>
      </c>
      <c r="AA240" s="21">
        <f t="shared" si="380"/>
        <v>0</v>
      </c>
      <c r="AB240" s="6">
        <f t="shared" si="381"/>
        <v>0</v>
      </c>
      <c r="AC240" s="5" t="e">
        <f t="shared" si="382"/>
        <v>#DIV/0!</v>
      </c>
      <c r="AD240" s="6">
        <f t="shared" si="383"/>
        <v>0</v>
      </c>
      <c r="AE240" s="5">
        <f t="shared" si="384"/>
        <v>0</v>
      </c>
      <c r="AF240" s="21">
        <f t="shared" si="385"/>
        <v>0</v>
      </c>
      <c r="AG240" s="6">
        <f t="shared" si="386"/>
        <v>0</v>
      </c>
      <c r="AH240" s="5">
        <f t="shared" si="387"/>
        <v>0</v>
      </c>
      <c r="AI240" s="21">
        <f t="shared" si="388"/>
        <v>0</v>
      </c>
      <c r="AJ240" s="6">
        <f t="shared" si="389"/>
        <v>0</v>
      </c>
      <c r="AK240" s="5">
        <f t="shared" si="390"/>
        <v>0</v>
      </c>
      <c r="AL240" s="21">
        <f t="shared" si="391"/>
        <v>0</v>
      </c>
      <c r="AM240" s="21">
        <f t="shared" si="392"/>
        <v>0</v>
      </c>
      <c r="AN240" s="6">
        <f t="shared" si="393"/>
        <v>0</v>
      </c>
      <c r="AO240" s="5">
        <f t="shared" si="394"/>
        <v>0</v>
      </c>
      <c r="AP240" s="6">
        <f t="shared" si="395"/>
        <v>0</v>
      </c>
      <c r="AQ240" s="5">
        <f t="shared" si="396"/>
        <v>0</v>
      </c>
      <c r="AR240" s="2">
        <f t="shared" si="397"/>
        <v>0</v>
      </c>
      <c r="AS240" s="5">
        <f t="shared" si="398"/>
        <v>0</v>
      </c>
      <c r="AT240" s="21">
        <f t="shared" si="399"/>
        <v>0</v>
      </c>
      <c r="AU240" s="20">
        <f t="shared" si="400"/>
        <v>0</v>
      </c>
      <c r="AV240" s="20">
        <f t="shared" si="401"/>
        <v>1</v>
      </c>
      <c r="AW240" s="199">
        <f t="shared" si="402"/>
        <v>0</v>
      </c>
      <c r="AX240" s="24">
        <f t="shared" si="403"/>
        <v>0</v>
      </c>
      <c r="AY240" s="5">
        <f t="shared" si="404"/>
        <v>0</v>
      </c>
      <c r="AZ240" s="5">
        <f t="shared" si="405"/>
        <v>0</v>
      </c>
      <c r="BA240" s="5">
        <f t="shared" si="406"/>
        <v>0</v>
      </c>
      <c r="BB240" s="5">
        <f t="shared" si="407"/>
        <v>0</v>
      </c>
      <c r="BC240" s="5">
        <f t="shared" si="408"/>
        <v>0</v>
      </c>
      <c r="BD240" s="5">
        <f t="shared" si="409"/>
        <v>0</v>
      </c>
      <c r="BE240" s="199">
        <f t="shared" si="410"/>
        <v>0</v>
      </c>
      <c r="BF240" s="21">
        <f t="shared" si="411"/>
        <v>0</v>
      </c>
      <c r="BG240" s="6">
        <f t="shared" si="412"/>
        <v>0</v>
      </c>
      <c r="BH240" s="5" t="e">
        <f t="shared" si="413"/>
        <v>#DIV/0!</v>
      </c>
      <c r="BI240" s="6">
        <f t="shared" si="414"/>
        <v>0</v>
      </c>
      <c r="BJ240" s="5" t="e">
        <f t="shared" si="415"/>
        <v>#DIV/0!</v>
      </c>
      <c r="BK240" s="20">
        <f t="shared" si="416"/>
        <v>-9.9999999999999998E-13</v>
      </c>
      <c r="BL240" s="20">
        <f t="shared" si="417"/>
        <v>0</v>
      </c>
      <c r="BM240" s="6">
        <f t="shared" si="418"/>
        <v>0</v>
      </c>
      <c r="BN240" s="5">
        <f t="shared" si="419"/>
        <v>0</v>
      </c>
      <c r="BO240" s="333">
        <f t="shared" si="420"/>
        <v>0</v>
      </c>
      <c r="BP240" s="334">
        <f t="shared" si="421"/>
        <v>0</v>
      </c>
      <c r="BQ240" s="6">
        <f t="shared" si="422"/>
        <v>0</v>
      </c>
      <c r="BR240" s="5">
        <f t="shared" si="423"/>
        <v>0</v>
      </c>
      <c r="BS240" s="6">
        <f t="shared" si="424"/>
        <v>0</v>
      </c>
      <c r="BT240" s="5">
        <f t="shared" si="425"/>
        <v>0</v>
      </c>
      <c r="BU240" s="181">
        <f t="shared" si="426"/>
        <v>0</v>
      </c>
      <c r="BV240" s="154">
        <f t="shared" si="427"/>
        <v>0</v>
      </c>
      <c r="BW240" s="181">
        <f t="shared" si="428"/>
        <v>0</v>
      </c>
      <c r="BX240" s="180">
        <f t="shared" si="429"/>
        <v>0</v>
      </c>
      <c r="BY240" s="181">
        <f t="shared" si="430"/>
        <v>0</v>
      </c>
      <c r="BZ240" s="154">
        <f t="shared" si="431"/>
        <v>0</v>
      </c>
      <c r="CA240" s="182">
        <f t="shared" si="432"/>
        <v>0</v>
      </c>
      <c r="CB240" s="2">
        <f t="shared" si="433"/>
        <v>0</v>
      </c>
      <c r="CC240" s="2">
        <f t="shared" si="434"/>
        <v>0</v>
      </c>
      <c r="CD240" s="2">
        <f t="shared" si="435"/>
        <v>0</v>
      </c>
      <c r="CE240" s="2">
        <f t="shared" si="436"/>
        <v>0</v>
      </c>
      <c r="CF240" s="6">
        <f t="shared" si="437"/>
        <v>0</v>
      </c>
      <c r="CG240" s="6">
        <f t="shared" si="438"/>
        <v>0</v>
      </c>
      <c r="CH240" s="6">
        <f t="shared" si="439"/>
        <v>0</v>
      </c>
      <c r="CI240" s="20">
        <f t="shared" si="440"/>
        <v>0</v>
      </c>
      <c r="CJ240" s="133">
        <f t="shared" si="441"/>
        <v>2521</v>
      </c>
      <c r="CK240" s="5">
        <f t="shared" si="442"/>
        <v>0</v>
      </c>
      <c r="CL240" s="300"/>
      <c r="CM240" s="296" t="s">
        <v>13</v>
      </c>
      <c r="CN240" s="296" t="s">
        <v>1653</v>
      </c>
      <c r="CO240" s="296">
        <v>17</v>
      </c>
      <c r="CP240" s="296" t="s">
        <v>1654</v>
      </c>
      <c r="CQ240" s="296" t="s">
        <v>1131</v>
      </c>
      <c r="CR240" s="296" t="s">
        <v>644</v>
      </c>
      <c r="CS240" s="296" t="s">
        <v>1322</v>
      </c>
      <c r="CT240" s="296" t="s">
        <v>546</v>
      </c>
      <c r="CU240" s="297">
        <v>47118</v>
      </c>
      <c r="CV240" s="296">
        <v>0</v>
      </c>
      <c r="CW240" s="296">
        <v>0</v>
      </c>
      <c r="CX240" s="296">
        <v>0</v>
      </c>
      <c r="CY240" s="296">
        <v>0</v>
      </c>
      <c r="CZ240" s="296">
        <v>0</v>
      </c>
      <c r="DA240" s="296">
        <v>0</v>
      </c>
      <c r="DB240" s="296">
        <v>0</v>
      </c>
      <c r="DC240" s="296">
        <v>0</v>
      </c>
      <c r="DD240" s="296">
        <v>0</v>
      </c>
      <c r="DE240" s="296">
        <v>0</v>
      </c>
      <c r="DF240" s="296">
        <v>0</v>
      </c>
      <c r="DG240" s="296">
        <v>0</v>
      </c>
      <c r="DH240" s="296">
        <v>0</v>
      </c>
      <c r="DI240" s="296">
        <v>0</v>
      </c>
      <c r="DJ240" s="296">
        <v>0</v>
      </c>
      <c r="DK240" s="296">
        <v>0</v>
      </c>
      <c r="DL240" s="296">
        <v>0</v>
      </c>
      <c r="DM240" s="296">
        <v>0</v>
      </c>
      <c r="DN240" s="296">
        <v>0</v>
      </c>
      <c r="DO240" s="296">
        <v>0</v>
      </c>
      <c r="DP240" s="296">
        <v>0</v>
      </c>
      <c r="DQ240" s="296">
        <v>0</v>
      </c>
      <c r="DR240" s="296">
        <v>0</v>
      </c>
      <c r="DS240" s="296">
        <v>0</v>
      </c>
      <c r="DT240" s="296">
        <v>0</v>
      </c>
      <c r="DU240" s="296">
        <v>0</v>
      </c>
      <c r="DV240" s="301" t="s">
        <v>548</v>
      </c>
    </row>
    <row r="241" spans="1:126" ht="24.95" customHeight="1" thickBot="1" x14ac:dyDescent="0.3">
      <c r="A241" s="29" t="str">
        <f t="shared" si="354"/>
        <v>240º</v>
      </c>
      <c r="B241" s="69" t="str">
        <f t="shared" si="356"/>
        <v>Laerte</v>
      </c>
      <c r="C241" s="269" t="str">
        <f t="shared" si="357"/>
        <v>BRA</v>
      </c>
      <c r="D241" s="99" t="str">
        <f t="shared" si="358"/>
        <v>Pé Direito</v>
      </c>
      <c r="E241" s="28" t="str">
        <f t="shared" si="359"/>
        <v>Mamoré</v>
      </c>
      <c r="F241" s="169">
        <f t="shared" si="360"/>
        <v>17</v>
      </c>
      <c r="G241" s="2" t="str">
        <f t="shared" si="361"/>
        <v>0 €</v>
      </c>
      <c r="H241" s="154">
        <f t="shared" si="362"/>
        <v>1.93</v>
      </c>
      <c r="I241" s="64">
        <f t="shared" si="363"/>
        <v>47118</v>
      </c>
      <c r="J241" s="304" t="str">
        <f t="shared" si="364"/>
        <v>525 € p/m</v>
      </c>
      <c r="K241" s="96">
        <f t="shared" si="355"/>
        <v>3.5222222222222221</v>
      </c>
      <c r="L241" s="146">
        <f t="shared" si="365"/>
        <v>0</v>
      </c>
      <c r="M241" s="6">
        <f t="shared" si="366"/>
        <v>0</v>
      </c>
      <c r="N241" s="5">
        <f t="shared" si="367"/>
        <v>5400</v>
      </c>
      <c r="O241" s="21">
        <f t="shared" si="368"/>
        <v>0</v>
      </c>
      <c r="P241" s="2">
        <f t="shared" si="369"/>
        <v>0</v>
      </c>
      <c r="Q241" s="2">
        <f t="shared" si="370"/>
        <v>0</v>
      </c>
      <c r="R241" s="5">
        <f t="shared" si="371"/>
        <v>0</v>
      </c>
      <c r="S241" s="2">
        <f t="shared" si="372"/>
        <v>0</v>
      </c>
      <c r="T241" s="2">
        <f t="shared" si="373"/>
        <v>0</v>
      </c>
      <c r="U241" s="102">
        <f t="shared" si="374"/>
        <v>0</v>
      </c>
      <c r="V241" s="102">
        <f t="shared" si="375"/>
        <v>0</v>
      </c>
      <c r="W241" s="6">
        <f t="shared" si="376"/>
        <v>0</v>
      </c>
      <c r="X241" s="5">
        <f t="shared" si="377"/>
        <v>0</v>
      </c>
      <c r="Y241" s="6">
        <f t="shared" si="378"/>
        <v>0</v>
      </c>
      <c r="Z241" s="5" t="e">
        <f t="shared" si="379"/>
        <v>#DIV/0!</v>
      </c>
      <c r="AA241" s="21">
        <f t="shared" si="380"/>
        <v>0</v>
      </c>
      <c r="AB241" s="6">
        <f t="shared" si="381"/>
        <v>0</v>
      </c>
      <c r="AC241" s="5" t="e">
        <f t="shared" si="382"/>
        <v>#DIV/0!</v>
      </c>
      <c r="AD241" s="6">
        <f t="shared" si="383"/>
        <v>0</v>
      </c>
      <c r="AE241" s="5">
        <f t="shared" si="384"/>
        <v>0</v>
      </c>
      <c r="AF241" s="21">
        <f t="shared" si="385"/>
        <v>0</v>
      </c>
      <c r="AG241" s="6">
        <f t="shared" si="386"/>
        <v>0</v>
      </c>
      <c r="AH241" s="5">
        <f t="shared" si="387"/>
        <v>0</v>
      </c>
      <c r="AI241" s="21">
        <f t="shared" si="388"/>
        <v>0</v>
      </c>
      <c r="AJ241" s="6">
        <f t="shared" si="389"/>
        <v>0</v>
      </c>
      <c r="AK241" s="5">
        <f t="shared" si="390"/>
        <v>0</v>
      </c>
      <c r="AL241" s="21">
        <f t="shared" si="391"/>
        <v>0</v>
      </c>
      <c r="AM241" s="21">
        <f t="shared" si="392"/>
        <v>0</v>
      </c>
      <c r="AN241" s="6">
        <f t="shared" si="393"/>
        <v>0</v>
      </c>
      <c r="AO241" s="5">
        <f t="shared" si="394"/>
        <v>0</v>
      </c>
      <c r="AP241" s="6">
        <f t="shared" si="395"/>
        <v>0</v>
      </c>
      <c r="AQ241" s="5">
        <f t="shared" si="396"/>
        <v>0</v>
      </c>
      <c r="AR241" s="2">
        <f t="shared" si="397"/>
        <v>0</v>
      </c>
      <c r="AS241" s="5">
        <f t="shared" si="398"/>
        <v>0</v>
      </c>
      <c r="AT241" s="21">
        <f t="shared" si="399"/>
        <v>0</v>
      </c>
      <c r="AU241" s="20">
        <f t="shared" si="400"/>
        <v>0</v>
      </c>
      <c r="AV241" s="20">
        <f t="shared" si="401"/>
        <v>1</v>
      </c>
      <c r="AW241" s="199">
        <f t="shared" si="402"/>
        <v>0</v>
      </c>
      <c r="AX241" s="24">
        <f t="shared" si="403"/>
        <v>0</v>
      </c>
      <c r="AY241" s="5">
        <f t="shared" si="404"/>
        <v>0</v>
      </c>
      <c r="AZ241" s="5">
        <f t="shared" si="405"/>
        <v>0</v>
      </c>
      <c r="BA241" s="5">
        <f t="shared" si="406"/>
        <v>0</v>
      </c>
      <c r="BB241" s="5">
        <f t="shared" si="407"/>
        <v>0</v>
      </c>
      <c r="BC241" s="5">
        <f t="shared" si="408"/>
        <v>0</v>
      </c>
      <c r="BD241" s="5">
        <f t="shared" si="409"/>
        <v>0</v>
      </c>
      <c r="BE241" s="199">
        <f t="shared" si="410"/>
        <v>0</v>
      </c>
      <c r="BF241" s="21">
        <f t="shared" si="411"/>
        <v>0</v>
      </c>
      <c r="BG241" s="6">
        <f t="shared" si="412"/>
        <v>0</v>
      </c>
      <c r="BH241" s="5" t="e">
        <f t="shared" si="413"/>
        <v>#DIV/0!</v>
      </c>
      <c r="BI241" s="6">
        <f t="shared" si="414"/>
        <v>0</v>
      </c>
      <c r="BJ241" s="5" t="e">
        <f t="shared" si="415"/>
        <v>#DIV/0!</v>
      </c>
      <c r="BK241" s="20">
        <f t="shared" si="416"/>
        <v>-9.9999999999999998E-13</v>
      </c>
      <c r="BL241" s="20">
        <f t="shared" si="417"/>
        <v>0</v>
      </c>
      <c r="BM241" s="6">
        <f t="shared" si="418"/>
        <v>0</v>
      </c>
      <c r="BN241" s="5">
        <f t="shared" si="419"/>
        <v>0</v>
      </c>
      <c r="BO241" s="333">
        <f t="shared" si="420"/>
        <v>0</v>
      </c>
      <c r="BP241" s="334">
        <f t="shared" si="421"/>
        <v>0</v>
      </c>
      <c r="BQ241" s="6">
        <f t="shared" si="422"/>
        <v>0</v>
      </c>
      <c r="BR241" s="5">
        <f t="shared" si="423"/>
        <v>0</v>
      </c>
      <c r="BS241" s="6">
        <f t="shared" si="424"/>
        <v>0</v>
      </c>
      <c r="BT241" s="5">
        <f t="shared" si="425"/>
        <v>0</v>
      </c>
      <c r="BU241" s="181">
        <f t="shared" si="426"/>
        <v>0</v>
      </c>
      <c r="BV241" s="154">
        <f t="shared" si="427"/>
        <v>0</v>
      </c>
      <c r="BW241" s="181">
        <f t="shared" si="428"/>
        <v>0</v>
      </c>
      <c r="BX241" s="180">
        <f t="shared" si="429"/>
        <v>0</v>
      </c>
      <c r="BY241" s="181">
        <f t="shared" si="430"/>
        <v>0</v>
      </c>
      <c r="BZ241" s="154">
        <f t="shared" si="431"/>
        <v>0</v>
      </c>
      <c r="CA241" s="182">
        <f t="shared" si="432"/>
        <v>0</v>
      </c>
      <c r="CB241" s="2">
        <f t="shared" si="433"/>
        <v>0</v>
      </c>
      <c r="CC241" s="2">
        <f t="shared" si="434"/>
        <v>0</v>
      </c>
      <c r="CD241" s="2">
        <f t="shared" si="435"/>
        <v>0</v>
      </c>
      <c r="CE241" s="2">
        <f t="shared" si="436"/>
        <v>0</v>
      </c>
      <c r="CF241" s="6">
        <f t="shared" si="437"/>
        <v>0</v>
      </c>
      <c r="CG241" s="6">
        <f t="shared" si="438"/>
        <v>0</v>
      </c>
      <c r="CH241" s="6">
        <f t="shared" si="439"/>
        <v>0</v>
      </c>
      <c r="CI241" s="20">
        <f t="shared" si="440"/>
        <v>0</v>
      </c>
      <c r="CJ241" s="133">
        <f t="shared" si="441"/>
        <v>2521</v>
      </c>
      <c r="CK241" s="5">
        <f t="shared" si="442"/>
        <v>0</v>
      </c>
      <c r="CL241" s="302"/>
      <c r="CM241" s="298" t="s">
        <v>13</v>
      </c>
      <c r="CN241" s="298" t="s">
        <v>1655</v>
      </c>
      <c r="CO241" s="298">
        <v>17</v>
      </c>
      <c r="CP241" s="298" t="s">
        <v>1656</v>
      </c>
      <c r="CQ241" s="298" t="s">
        <v>1131</v>
      </c>
      <c r="CR241" s="298" t="s">
        <v>644</v>
      </c>
      <c r="CS241" s="298" t="s">
        <v>1322</v>
      </c>
      <c r="CT241" s="298" t="s">
        <v>1123</v>
      </c>
      <c r="CU241" s="299">
        <v>47118</v>
      </c>
      <c r="CV241" s="298">
        <v>0</v>
      </c>
      <c r="CW241" s="298">
        <v>0</v>
      </c>
      <c r="CX241" s="298">
        <v>0</v>
      </c>
      <c r="CY241" s="298">
        <v>0</v>
      </c>
      <c r="CZ241" s="298">
        <v>0</v>
      </c>
      <c r="DA241" s="298">
        <v>0</v>
      </c>
      <c r="DB241" s="298">
        <v>0</v>
      </c>
      <c r="DC241" s="298">
        <v>0</v>
      </c>
      <c r="DD241" s="298">
        <v>0</v>
      </c>
      <c r="DE241" s="298">
        <v>0</v>
      </c>
      <c r="DF241" s="298">
        <v>0</v>
      </c>
      <c r="DG241" s="298">
        <v>0</v>
      </c>
      <c r="DH241" s="298">
        <v>0</v>
      </c>
      <c r="DI241" s="298">
        <v>0</v>
      </c>
      <c r="DJ241" s="298">
        <v>0</v>
      </c>
      <c r="DK241" s="298">
        <v>0</v>
      </c>
      <c r="DL241" s="298">
        <v>0</v>
      </c>
      <c r="DM241" s="298">
        <v>0</v>
      </c>
      <c r="DN241" s="298">
        <v>0</v>
      </c>
      <c r="DO241" s="298">
        <v>0</v>
      </c>
      <c r="DP241" s="298">
        <v>0</v>
      </c>
      <c r="DQ241" s="298">
        <v>0</v>
      </c>
      <c r="DR241" s="298">
        <v>0</v>
      </c>
      <c r="DS241" s="298">
        <v>0</v>
      </c>
      <c r="DT241" s="298">
        <v>0</v>
      </c>
      <c r="DU241" s="298">
        <v>0</v>
      </c>
      <c r="DV241" s="303" t="s">
        <v>548</v>
      </c>
    </row>
    <row r="242" spans="1:126" ht="24.95" customHeight="1" thickBot="1" x14ac:dyDescent="0.3">
      <c r="A242" s="29" t="str">
        <f t="shared" si="354"/>
        <v>241º</v>
      </c>
      <c r="B242" s="69" t="str">
        <f t="shared" si="356"/>
        <v>Andrei</v>
      </c>
      <c r="C242" s="269" t="str">
        <f t="shared" si="357"/>
        <v>BRA</v>
      </c>
      <c r="D242" s="99" t="str">
        <f t="shared" si="358"/>
        <v>Pé Direito</v>
      </c>
      <c r="E242" s="28" t="str">
        <f t="shared" si="359"/>
        <v>Camboriú</v>
      </c>
      <c r="F242" s="169">
        <f t="shared" si="360"/>
        <v>17</v>
      </c>
      <c r="G242" s="2" t="str">
        <f t="shared" si="361"/>
        <v>0 €</v>
      </c>
      <c r="H242" s="154">
        <f t="shared" si="362"/>
        <v>1.9</v>
      </c>
      <c r="I242" s="64">
        <f t="shared" si="363"/>
        <v>47118</v>
      </c>
      <c r="J242" s="304" t="str">
        <f t="shared" si="364"/>
        <v>525 € p/m</v>
      </c>
      <c r="K242" s="96">
        <f t="shared" si="355"/>
        <v>3.5222222222222221</v>
      </c>
      <c r="L242" s="146">
        <f t="shared" si="365"/>
        <v>0</v>
      </c>
      <c r="M242" s="6">
        <f t="shared" si="366"/>
        <v>0</v>
      </c>
      <c r="N242" s="5">
        <f t="shared" si="367"/>
        <v>5400</v>
      </c>
      <c r="O242" s="21">
        <f t="shared" si="368"/>
        <v>0</v>
      </c>
      <c r="P242" s="2">
        <f t="shared" si="369"/>
        <v>0</v>
      </c>
      <c r="Q242" s="2">
        <f t="shared" si="370"/>
        <v>0</v>
      </c>
      <c r="R242" s="5">
        <f t="shared" si="371"/>
        <v>0</v>
      </c>
      <c r="S242" s="2">
        <f t="shared" si="372"/>
        <v>0</v>
      </c>
      <c r="T242" s="2">
        <f t="shared" si="373"/>
        <v>0</v>
      </c>
      <c r="U242" s="102">
        <f t="shared" si="374"/>
        <v>0</v>
      </c>
      <c r="V242" s="102">
        <f t="shared" si="375"/>
        <v>0</v>
      </c>
      <c r="W242" s="6">
        <f t="shared" si="376"/>
        <v>0</v>
      </c>
      <c r="X242" s="5">
        <f t="shared" si="377"/>
        <v>0</v>
      </c>
      <c r="Y242" s="6">
        <f t="shared" si="378"/>
        <v>0</v>
      </c>
      <c r="Z242" s="5" t="e">
        <f t="shared" si="379"/>
        <v>#DIV/0!</v>
      </c>
      <c r="AA242" s="21">
        <f t="shared" si="380"/>
        <v>0</v>
      </c>
      <c r="AB242" s="6">
        <f t="shared" si="381"/>
        <v>0</v>
      </c>
      <c r="AC242" s="5" t="e">
        <f t="shared" si="382"/>
        <v>#DIV/0!</v>
      </c>
      <c r="AD242" s="6">
        <f t="shared" si="383"/>
        <v>0</v>
      </c>
      <c r="AE242" s="5">
        <f t="shared" si="384"/>
        <v>0</v>
      </c>
      <c r="AF242" s="21">
        <f t="shared" si="385"/>
        <v>0</v>
      </c>
      <c r="AG242" s="6">
        <f t="shared" si="386"/>
        <v>0</v>
      </c>
      <c r="AH242" s="5">
        <f t="shared" si="387"/>
        <v>0</v>
      </c>
      <c r="AI242" s="21">
        <f t="shared" si="388"/>
        <v>0</v>
      </c>
      <c r="AJ242" s="6">
        <f t="shared" si="389"/>
        <v>0</v>
      </c>
      <c r="AK242" s="5">
        <f t="shared" si="390"/>
        <v>0</v>
      </c>
      <c r="AL242" s="21">
        <f t="shared" si="391"/>
        <v>0</v>
      </c>
      <c r="AM242" s="21">
        <f t="shared" si="392"/>
        <v>0</v>
      </c>
      <c r="AN242" s="6">
        <f t="shared" si="393"/>
        <v>0</v>
      </c>
      <c r="AO242" s="5">
        <f t="shared" si="394"/>
        <v>0</v>
      </c>
      <c r="AP242" s="6">
        <f t="shared" si="395"/>
        <v>0</v>
      </c>
      <c r="AQ242" s="5">
        <f t="shared" si="396"/>
        <v>0</v>
      </c>
      <c r="AR242" s="2">
        <f t="shared" si="397"/>
        <v>0</v>
      </c>
      <c r="AS242" s="5">
        <f t="shared" si="398"/>
        <v>0</v>
      </c>
      <c r="AT242" s="21">
        <f t="shared" si="399"/>
        <v>0</v>
      </c>
      <c r="AU242" s="20">
        <f t="shared" si="400"/>
        <v>0</v>
      </c>
      <c r="AV242" s="20">
        <f t="shared" si="401"/>
        <v>1</v>
      </c>
      <c r="AW242" s="199">
        <f t="shared" si="402"/>
        <v>0</v>
      </c>
      <c r="AX242" s="24">
        <f t="shared" si="403"/>
        <v>0</v>
      </c>
      <c r="AY242" s="5">
        <f t="shared" si="404"/>
        <v>0</v>
      </c>
      <c r="AZ242" s="5">
        <f t="shared" si="405"/>
        <v>0</v>
      </c>
      <c r="BA242" s="5">
        <f t="shared" si="406"/>
        <v>0</v>
      </c>
      <c r="BB242" s="5">
        <f t="shared" si="407"/>
        <v>0</v>
      </c>
      <c r="BC242" s="5">
        <f t="shared" si="408"/>
        <v>0</v>
      </c>
      <c r="BD242" s="5">
        <f t="shared" si="409"/>
        <v>0</v>
      </c>
      <c r="BE242" s="199">
        <f t="shared" si="410"/>
        <v>0</v>
      </c>
      <c r="BF242" s="21">
        <f t="shared" si="411"/>
        <v>0</v>
      </c>
      <c r="BG242" s="6">
        <f t="shared" si="412"/>
        <v>0</v>
      </c>
      <c r="BH242" s="5" t="e">
        <f t="shared" si="413"/>
        <v>#DIV/0!</v>
      </c>
      <c r="BI242" s="6">
        <f t="shared" si="414"/>
        <v>0</v>
      </c>
      <c r="BJ242" s="5" t="e">
        <f t="shared" si="415"/>
        <v>#DIV/0!</v>
      </c>
      <c r="BK242" s="20">
        <f t="shared" si="416"/>
        <v>-9.9999999999999998E-13</v>
      </c>
      <c r="BL242" s="20">
        <f t="shared" si="417"/>
        <v>0</v>
      </c>
      <c r="BM242" s="6">
        <f t="shared" si="418"/>
        <v>0</v>
      </c>
      <c r="BN242" s="5">
        <f t="shared" si="419"/>
        <v>0</v>
      </c>
      <c r="BO242" s="333">
        <f t="shared" si="420"/>
        <v>0</v>
      </c>
      <c r="BP242" s="334">
        <f t="shared" si="421"/>
        <v>0</v>
      </c>
      <c r="BQ242" s="6">
        <f t="shared" si="422"/>
        <v>0</v>
      </c>
      <c r="BR242" s="5">
        <f t="shared" si="423"/>
        <v>0</v>
      </c>
      <c r="BS242" s="6">
        <f t="shared" si="424"/>
        <v>0</v>
      </c>
      <c r="BT242" s="5">
        <f t="shared" si="425"/>
        <v>0</v>
      </c>
      <c r="BU242" s="181">
        <f t="shared" si="426"/>
        <v>0</v>
      </c>
      <c r="BV242" s="154">
        <f t="shared" si="427"/>
        <v>0</v>
      </c>
      <c r="BW242" s="181">
        <f t="shared" si="428"/>
        <v>0</v>
      </c>
      <c r="BX242" s="180">
        <f t="shared" si="429"/>
        <v>0</v>
      </c>
      <c r="BY242" s="181">
        <f t="shared" si="430"/>
        <v>0</v>
      </c>
      <c r="BZ242" s="154">
        <f t="shared" si="431"/>
        <v>0</v>
      </c>
      <c r="CA242" s="182">
        <f t="shared" si="432"/>
        <v>0</v>
      </c>
      <c r="CB242" s="2">
        <f t="shared" si="433"/>
        <v>0</v>
      </c>
      <c r="CC242" s="2">
        <f t="shared" si="434"/>
        <v>0</v>
      </c>
      <c r="CD242" s="2">
        <f t="shared" si="435"/>
        <v>0</v>
      </c>
      <c r="CE242" s="2">
        <f t="shared" si="436"/>
        <v>0</v>
      </c>
      <c r="CF242" s="6">
        <f t="shared" si="437"/>
        <v>0</v>
      </c>
      <c r="CG242" s="6">
        <f t="shared" si="438"/>
        <v>0</v>
      </c>
      <c r="CH242" s="6">
        <f t="shared" si="439"/>
        <v>0</v>
      </c>
      <c r="CI242" s="20">
        <f t="shared" si="440"/>
        <v>0</v>
      </c>
      <c r="CJ242" s="133">
        <f t="shared" si="441"/>
        <v>2521</v>
      </c>
      <c r="CK242" s="5">
        <f t="shared" si="442"/>
        <v>0</v>
      </c>
      <c r="CL242" s="300"/>
      <c r="CM242" s="296" t="s">
        <v>13</v>
      </c>
      <c r="CN242" s="296" t="s">
        <v>1494</v>
      </c>
      <c r="CO242" s="296">
        <v>17</v>
      </c>
      <c r="CP242" s="296" t="s">
        <v>1657</v>
      </c>
      <c r="CQ242" s="296" t="s">
        <v>1131</v>
      </c>
      <c r="CR242" s="296" t="s">
        <v>644</v>
      </c>
      <c r="CS242" s="296" t="s">
        <v>1322</v>
      </c>
      <c r="CT242" s="296" t="s">
        <v>682</v>
      </c>
      <c r="CU242" s="297">
        <v>47118</v>
      </c>
      <c r="CV242" s="296">
        <v>0</v>
      </c>
      <c r="CW242" s="296">
        <v>0</v>
      </c>
      <c r="CX242" s="296">
        <v>0</v>
      </c>
      <c r="CY242" s="296">
        <v>0</v>
      </c>
      <c r="CZ242" s="296">
        <v>0</v>
      </c>
      <c r="DA242" s="296">
        <v>0</v>
      </c>
      <c r="DB242" s="296">
        <v>0</v>
      </c>
      <c r="DC242" s="296">
        <v>0</v>
      </c>
      <c r="DD242" s="296">
        <v>0</v>
      </c>
      <c r="DE242" s="296">
        <v>0</v>
      </c>
      <c r="DF242" s="296">
        <v>0</v>
      </c>
      <c r="DG242" s="296">
        <v>0</v>
      </c>
      <c r="DH242" s="296">
        <v>0</v>
      </c>
      <c r="DI242" s="296">
        <v>0</v>
      </c>
      <c r="DJ242" s="296">
        <v>0</v>
      </c>
      <c r="DK242" s="296">
        <v>0</v>
      </c>
      <c r="DL242" s="296">
        <v>0</v>
      </c>
      <c r="DM242" s="296">
        <v>0</v>
      </c>
      <c r="DN242" s="296">
        <v>0</v>
      </c>
      <c r="DO242" s="296">
        <v>0</v>
      </c>
      <c r="DP242" s="296">
        <v>0</v>
      </c>
      <c r="DQ242" s="296">
        <v>0</v>
      </c>
      <c r="DR242" s="296">
        <v>0</v>
      </c>
      <c r="DS242" s="296">
        <v>0</v>
      </c>
      <c r="DT242" s="296">
        <v>0</v>
      </c>
      <c r="DU242" s="296">
        <v>0</v>
      </c>
      <c r="DV242" s="301" t="s">
        <v>548</v>
      </c>
    </row>
    <row r="243" spans="1:126" ht="24.95" customHeight="1" thickBot="1" x14ac:dyDescent="0.3">
      <c r="A243" s="29" t="str">
        <f t="shared" si="354"/>
        <v>242º</v>
      </c>
      <c r="B243" s="69" t="str">
        <f t="shared" si="356"/>
        <v>Cléber Machado</v>
      </c>
      <c r="C243" s="269" t="str">
        <f t="shared" si="357"/>
        <v>BRA</v>
      </c>
      <c r="D243" s="99" t="str">
        <f t="shared" si="358"/>
        <v>Somente Pé Direito</v>
      </c>
      <c r="E243" s="28" t="str">
        <f t="shared" si="359"/>
        <v>ADESG</v>
      </c>
      <c r="F243" s="169">
        <f t="shared" si="360"/>
        <v>20</v>
      </c>
      <c r="G243" s="2" t="str">
        <f t="shared" si="361"/>
        <v>0 €</v>
      </c>
      <c r="H243" s="154">
        <f t="shared" si="362"/>
        <v>1.91</v>
      </c>
      <c r="I243" s="64">
        <f t="shared" si="363"/>
        <v>47118</v>
      </c>
      <c r="J243" s="304" t="str">
        <f t="shared" si="364"/>
        <v>500 € p/m</v>
      </c>
      <c r="K243" s="96">
        <f t="shared" si="355"/>
        <v>3.5222222222222221</v>
      </c>
      <c r="L243" s="146">
        <f t="shared" si="365"/>
        <v>4.1111111111111107</v>
      </c>
      <c r="M243" s="6">
        <f t="shared" si="366"/>
        <v>0</v>
      </c>
      <c r="N243" s="5">
        <f t="shared" si="367"/>
        <v>5400</v>
      </c>
      <c r="O243" s="21">
        <f t="shared" si="368"/>
        <v>0</v>
      </c>
      <c r="P243" s="2">
        <f t="shared" si="369"/>
        <v>180</v>
      </c>
      <c r="Q243" s="2">
        <f t="shared" si="370"/>
        <v>100</v>
      </c>
      <c r="R243" s="5">
        <f t="shared" si="371"/>
        <v>24.324324324324326</v>
      </c>
      <c r="S243" s="2">
        <f t="shared" si="372"/>
        <v>80</v>
      </c>
      <c r="T243" s="2">
        <f t="shared" si="373"/>
        <v>20</v>
      </c>
      <c r="U243" s="102">
        <f t="shared" si="374"/>
        <v>0.44444444444444442</v>
      </c>
      <c r="V243" s="102">
        <f t="shared" si="375"/>
        <v>0.55555555555555558</v>
      </c>
      <c r="W243" s="6">
        <f t="shared" si="376"/>
        <v>180</v>
      </c>
      <c r="X243" s="5">
        <f t="shared" si="377"/>
        <v>43.78378378378379</v>
      </c>
      <c r="Y243" s="6">
        <f t="shared" si="378"/>
        <v>0</v>
      </c>
      <c r="Z243" s="5">
        <f t="shared" si="379"/>
        <v>0</v>
      </c>
      <c r="AA243" s="21">
        <f t="shared" si="380"/>
        <v>0</v>
      </c>
      <c r="AB243" s="6">
        <f t="shared" si="381"/>
        <v>0</v>
      </c>
      <c r="AC243" s="5">
        <f t="shared" si="382"/>
        <v>0</v>
      </c>
      <c r="AD243" s="6">
        <f t="shared" si="383"/>
        <v>0</v>
      </c>
      <c r="AE243" s="5">
        <f t="shared" si="384"/>
        <v>0</v>
      </c>
      <c r="AF243" s="21">
        <f t="shared" si="385"/>
        <v>0</v>
      </c>
      <c r="AG243" s="6">
        <f t="shared" si="386"/>
        <v>0</v>
      </c>
      <c r="AH243" s="5">
        <f t="shared" si="387"/>
        <v>0</v>
      </c>
      <c r="AI243" s="21">
        <f t="shared" si="388"/>
        <v>0</v>
      </c>
      <c r="AJ243" s="6">
        <f t="shared" si="389"/>
        <v>0</v>
      </c>
      <c r="AK243" s="5">
        <f t="shared" si="390"/>
        <v>0</v>
      </c>
      <c r="AL243" s="21">
        <f t="shared" si="391"/>
        <v>0</v>
      </c>
      <c r="AM243" s="21">
        <f t="shared" si="392"/>
        <v>0.24324324324324326</v>
      </c>
      <c r="AN243" s="6">
        <f t="shared" si="393"/>
        <v>1</v>
      </c>
      <c r="AO243" s="5">
        <f t="shared" si="394"/>
        <v>0.24324324324324326</v>
      </c>
      <c r="AP243" s="6">
        <f t="shared" si="395"/>
        <v>0</v>
      </c>
      <c r="AQ243" s="5">
        <f t="shared" si="396"/>
        <v>0</v>
      </c>
      <c r="AR243" s="2">
        <f t="shared" si="397"/>
        <v>14</v>
      </c>
      <c r="AS243" s="5">
        <f t="shared" si="398"/>
        <v>3.4054054054054057</v>
      </c>
      <c r="AT243" s="21">
        <f t="shared" si="399"/>
        <v>0</v>
      </c>
      <c r="AU243" s="20">
        <f t="shared" si="400"/>
        <v>0</v>
      </c>
      <c r="AV243" s="20">
        <f t="shared" si="401"/>
        <v>1</v>
      </c>
      <c r="AW243" s="199">
        <f t="shared" si="402"/>
        <v>0</v>
      </c>
      <c r="AX243" s="24">
        <f t="shared" si="403"/>
        <v>26.428571428571427</v>
      </c>
      <c r="AY243" s="5">
        <f t="shared" si="404"/>
        <v>1</v>
      </c>
      <c r="AZ243" s="5">
        <f t="shared" si="405"/>
        <v>1</v>
      </c>
      <c r="BA243" s="5">
        <f t="shared" si="406"/>
        <v>0</v>
      </c>
      <c r="BB243" s="5">
        <f t="shared" si="407"/>
        <v>0</v>
      </c>
      <c r="BC243" s="5">
        <f t="shared" si="408"/>
        <v>0</v>
      </c>
      <c r="BD243" s="5">
        <f t="shared" si="409"/>
        <v>0</v>
      </c>
      <c r="BE243" s="199">
        <f t="shared" si="410"/>
        <v>0</v>
      </c>
      <c r="BF243" s="21">
        <f t="shared" si="411"/>
        <v>0</v>
      </c>
      <c r="BG243" s="6">
        <f t="shared" si="412"/>
        <v>0</v>
      </c>
      <c r="BH243" s="5">
        <f t="shared" si="413"/>
        <v>0</v>
      </c>
      <c r="BI243" s="6">
        <f t="shared" si="414"/>
        <v>0</v>
      </c>
      <c r="BJ243" s="5">
        <f t="shared" si="415"/>
        <v>0</v>
      </c>
      <c r="BK243" s="20">
        <f t="shared" si="416"/>
        <v>-9.9999999999999998E-13</v>
      </c>
      <c r="BL243" s="20">
        <f t="shared" si="417"/>
        <v>9.440323668240054E-3</v>
      </c>
      <c r="BM243" s="6">
        <f t="shared" si="418"/>
        <v>14</v>
      </c>
      <c r="BN243" s="5">
        <f t="shared" si="419"/>
        <v>3.4054054054054057</v>
      </c>
      <c r="BO243" s="333">
        <f t="shared" si="420"/>
        <v>0</v>
      </c>
      <c r="BP243" s="334">
        <f t="shared" si="421"/>
        <v>0</v>
      </c>
      <c r="BQ243" s="6">
        <f t="shared" si="422"/>
        <v>0</v>
      </c>
      <c r="BR243" s="5">
        <f t="shared" si="423"/>
        <v>0</v>
      </c>
      <c r="BS243" s="6">
        <f t="shared" si="424"/>
        <v>0</v>
      </c>
      <c r="BT243" s="5">
        <f t="shared" si="425"/>
        <v>0</v>
      </c>
      <c r="BU243" s="181">
        <f t="shared" si="426"/>
        <v>0</v>
      </c>
      <c r="BV243" s="154">
        <f t="shared" si="427"/>
        <v>0</v>
      </c>
      <c r="BW243" s="181">
        <f t="shared" si="428"/>
        <v>0</v>
      </c>
      <c r="BX243" s="180">
        <f t="shared" si="429"/>
        <v>0</v>
      </c>
      <c r="BY243" s="181">
        <f t="shared" si="430"/>
        <v>0</v>
      </c>
      <c r="BZ243" s="154">
        <f t="shared" si="431"/>
        <v>0</v>
      </c>
      <c r="CA243" s="182">
        <f t="shared" si="432"/>
        <v>0</v>
      </c>
      <c r="CB243" s="2">
        <f t="shared" si="433"/>
        <v>0</v>
      </c>
      <c r="CC243" s="2">
        <f t="shared" si="434"/>
        <v>0</v>
      </c>
      <c r="CD243" s="2">
        <f t="shared" si="435"/>
        <v>0</v>
      </c>
      <c r="CE243" s="2">
        <f t="shared" si="436"/>
        <v>6</v>
      </c>
      <c r="CF243" s="6">
        <f t="shared" si="437"/>
        <v>0</v>
      </c>
      <c r="CG243" s="6">
        <f t="shared" si="438"/>
        <v>196</v>
      </c>
      <c r="CH243" s="6">
        <f t="shared" si="439"/>
        <v>100</v>
      </c>
      <c r="CI243" s="20">
        <f t="shared" si="440"/>
        <v>0.51020408163265307</v>
      </c>
      <c r="CJ243" s="133">
        <f t="shared" si="441"/>
        <v>2521</v>
      </c>
      <c r="CK243" s="5">
        <f t="shared" si="442"/>
        <v>6.29</v>
      </c>
      <c r="CL243" s="302" t="s">
        <v>1235</v>
      </c>
      <c r="CM243" s="298" t="s">
        <v>13</v>
      </c>
      <c r="CN243" s="298" t="s">
        <v>1658</v>
      </c>
      <c r="CO243" s="298">
        <v>20</v>
      </c>
      <c r="CP243" s="298" t="s">
        <v>1659</v>
      </c>
      <c r="CQ243" s="298" t="s">
        <v>1131</v>
      </c>
      <c r="CR243" s="298" t="s">
        <v>645</v>
      </c>
      <c r="CS243" s="298" t="s">
        <v>760</v>
      </c>
      <c r="CT243" s="298" t="s">
        <v>595</v>
      </c>
      <c r="CU243" s="299">
        <v>47118</v>
      </c>
      <c r="CV243" s="298">
        <v>0</v>
      </c>
      <c r="CW243" s="298">
        <v>370</v>
      </c>
      <c r="CX243" s="298">
        <v>14</v>
      </c>
      <c r="CY243" s="298">
        <v>0</v>
      </c>
      <c r="CZ243" s="298">
        <v>0</v>
      </c>
      <c r="DA243" s="298">
        <v>0</v>
      </c>
      <c r="DB243" s="298">
        <v>0</v>
      </c>
      <c r="DC243" s="298">
        <v>0</v>
      </c>
      <c r="DD243" s="298">
        <v>0</v>
      </c>
      <c r="DE243" s="298">
        <v>1</v>
      </c>
      <c r="DF243" s="298">
        <v>0</v>
      </c>
      <c r="DG243" s="298">
        <v>0</v>
      </c>
      <c r="DH243" s="298">
        <v>0</v>
      </c>
      <c r="DI243" s="298">
        <v>6</v>
      </c>
      <c r="DJ243" s="298">
        <v>0</v>
      </c>
      <c r="DK243" s="298">
        <v>0</v>
      </c>
      <c r="DL243" s="298">
        <v>180</v>
      </c>
      <c r="DM243" s="298">
        <v>100</v>
      </c>
      <c r="DN243" s="298">
        <v>0</v>
      </c>
      <c r="DO243" s="298">
        <v>0</v>
      </c>
      <c r="DP243" s="298">
        <v>0</v>
      </c>
      <c r="DQ243" s="298">
        <v>0</v>
      </c>
      <c r="DR243" s="298">
        <v>0</v>
      </c>
      <c r="DS243" s="298">
        <v>0</v>
      </c>
      <c r="DT243" s="298">
        <v>0</v>
      </c>
      <c r="DU243" s="298">
        <v>0</v>
      </c>
      <c r="DV243" s="303">
        <v>6.29</v>
      </c>
    </row>
    <row r="244" spans="1:126" ht="24.95" customHeight="1" thickBot="1" x14ac:dyDescent="0.3">
      <c r="A244" s="29" t="str">
        <f t="shared" si="354"/>
        <v>243º</v>
      </c>
      <c r="B244" s="69" t="str">
        <f t="shared" si="356"/>
        <v>Roberval Jordão</v>
      </c>
      <c r="C244" s="269" t="str">
        <f t="shared" si="357"/>
        <v>BRA</v>
      </c>
      <c r="D244" s="99" t="str">
        <f t="shared" si="358"/>
        <v>Pé Direito</v>
      </c>
      <c r="E244" s="28" t="str">
        <f t="shared" si="359"/>
        <v>Guarany Alagoano</v>
      </c>
      <c r="F244" s="169">
        <f t="shared" si="360"/>
        <v>24</v>
      </c>
      <c r="G244" s="2" t="str">
        <f t="shared" si="361"/>
        <v>0 €</v>
      </c>
      <c r="H244" s="154">
        <f t="shared" si="362"/>
        <v>1.83</v>
      </c>
      <c r="I244" s="64">
        <f t="shared" si="363"/>
        <v>47118</v>
      </c>
      <c r="J244" s="304" t="str">
        <f t="shared" si="364"/>
        <v>600 € p/m</v>
      </c>
      <c r="K244" s="96">
        <f t="shared" si="355"/>
        <v>3.5222222222222221</v>
      </c>
      <c r="L244" s="146">
        <f t="shared" si="365"/>
        <v>20.122222222222224</v>
      </c>
      <c r="M244" s="6">
        <f t="shared" si="366"/>
        <v>0</v>
      </c>
      <c r="N244" s="5">
        <f t="shared" si="367"/>
        <v>5400</v>
      </c>
      <c r="O244" s="21">
        <f t="shared" si="368"/>
        <v>0</v>
      </c>
      <c r="P244" s="2">
        <f t="shared" si="369"/>
        <v>425</v>
      </c>
      <c r="Q244" s="2">
        <f t="shared" si="370"/>
        <v>236</v>
      </c>
      <c r="R244" s="5">
        <f t="shared" si="371"/>
        <v>11.72832689122032</v>
      </c>
      <c r="S244" s="2">
        <f t="shared" si="372"/>
        <v>189</v>
      </c>
      <c r="T244" s="2">
        <f t="shared" si="373"/>
        <v>47</v>
      </c>
      <c r="U244" s="102">
        <f t="shared" si="374"/>
        <v>0.44470588235294117</v>
      </c>
      <c r="V244" s="102">
        <f t="shared" si="375"/>
        <v>0.55529411764705883</v>
      </c>
      <c r="W244" s="6">
        <f t="shared" si="376"/>
        <v>425</v>
      </c>
      <c r="X244" s="5">
        <f t="shared" si="377"/>
        <v>21.120927664273882</v>
      </c>
      <c r="Y244" s="6">
        <f t="shared" si="378"/>
        <v>0</v>
      </c>
      <c r="Z244" s="5">
        <f t="shared" si="379"/>
        <v>0</v>
      </c>
      <c r="AA244" s="21">
        <f t="shared" si="380"/>
        <v>0</v>
      </c>
      <c r="AB244" s="6">
        <f t="shared" si="381"/>
        <v>0</v>
      </c>
      <c r="AC244" s="5">
        <f t="shared" si="382"/>
        <v>0</v>
      </c>
      <c r="AD244" s="6">
        <f t="shared" si="383"/>
        <v>1</v>
      </c>
      <c r="AE244" s="5">
        <f t="shared" si="384"/>
        <v>4.9696300386526775E-2</v>
      </c>
      <c r="AF244" s="21">
        <f t="shared" si="385"/>
        <v>0.14285714285714285</v>
      </c>
      <c r="AG244" s="6">
        <f t="shared" si="386"/>
        <v>0</v>
      </c>
      <c r="AH244" s="5">
        <f t="shared" si="387"/>
        <v>0</v>
      </c>
      <c r="AI244" s="21">
        <f t="shared" si="388"/>
        <v>0</v>
      </c>
      <c r="AJ244" s="6">
        <f t="shared" si="389"/>
        <v>6</v>
      </c>
      <c r="AK244" s="5">
        <f t="shared" si="390"/>
        <v>0.51158192090395482</v>
      </c>
      <c r="AL244" s="21">
        <f t="shared" si="391"/>
        <v>0.8571428571428571</v>
      </c>
      <c r="AM244" s="21">
        <f t="shared" si="392"/>
        <v>0.1987852015461071</v>
      </c>
      <c r="AN244" s="6">
        <f t="shared" si="393"/>
        <v>4</v>
      </c>
      <c r="AO244" s="5">
        <f t="shared" si="394"/>
        <v>0.1987852015461071</v>
      </c>
      <c r="AP244" s="6">
        <f t="shared" si="395"/>
        <v>7</v>
      </c>
      <c r="AQ244" s="5">
        <f t="shared" si="396"/>
        <v>0.34787410270568742</v>
      </c>
      <c r="AR244" s="2">
        <f t="shared" si="397"/>
        <v>37</v>
      </c>
      <c r="AS244" s="5">
        <f t="shared" si="398"/>
        <v>1.8387631143014909</v>
      </c>
      <c r="AT244" s="21">
        <f t="shared" si="399"/>
        <v>0.1891891891891892</v>
      </c>
      <c r="AU244" s="20">
        <f t="shared" si="400"/>
        <v>0.16666666666666666</v>
      </c>
      <c r="AV244" s="20">
        <f t="shared" si="401"/>
        <v>0.81081081081081074</v>
      </c>
      <c r="AW244" s="199">
        <f t="shared" si="402"/>
        <v>0.27027027027027029</v>
      </c>
      <c r="AX244" s="24">
        <f t="shared" si="403"/>
        <v>60.366666666666667</v>
      </c>
      <c r="AY244" s="5">
        <f t="shared" si="404"/>
        <v>1.2333333333333334</v>
      </c>
      <c r="AZ244" s="5">
        <f t="shared" si="405"/>
        <v>1.2</v>
      </c>
      <c r="BA244" s="5">
        <f t="shared" si="406"/>
        <v>0.83</v>
      </c>
      <c r="BB244" s="5">
        <f t="shared" si="407"/>
        <v>4.1247929320817223E-2</v>
      </c>
      <c r="BC244" s="5">
        <f t="shared" si="408"/>
        <v>0.83</v>
      </c>
      <c r="BD244" s="5">
        <f t="shared" si="409"/>
        <v>4.1247929320817223E-2</v>
      </c>
      <c r="BE244" s="199">
        <f t="shared" si="410"/>
        <v>0.20749999999999999</v>
      </c>
      <c r="BF244" s="21">
        <f t="shared" si="411"/>
        <v>2.6921829386960753E-2</v>
      </c>
      <c r="BG244" s="6">
        <f t="shared" si="412"/>
        <v>2</v>
      </c>
      <c r="BH244" s="5">
        <f t="shared" si="413"/>
        <v>9.9392600773053549E-2</v>
      </c>
      <c r="BI244" s="6">
        <f t="shared" si="414"/>
        <v>0</v>
      </c>
      <c r="BJ244" s="5">
        <f t="shared" si="415"/>
        <v>0</v>
      </c>
      <c r="BK244" s="20">
        <f t="shared" si="416"/>
        <v>0</v>
      </c>
      <c r="BL244" s="20">
        <f t="shared" si="417"/>
        <v>2.0229265003371546E-2</v>
      </c>
      <c r="BM244" s="6">
        <f t="shared" si="418"/>
        <v>30</v>
      </c>
      <c r="BN244" s="5">
        <f t="shared" si="419"/>
        <v>1.4908890115958033</v>
      </c>
      <c r="BO244" s="333">
        <f t="shared" si="420"/>
        <v>0</v>
      </c>
      <c r="BP244" s="334">
        <f t="shared" si="421"/>
        <v>0</v>
      </c>
      <c r="BQ244" s="6">
        <f t="shared" si="422"/>
        <v>0</v>
      </c>
      <c r="BR244" s="5">
        <f t="shared" si="423"/>
        <v>0</v>
      </c>
      <c r="BS244" s="6">
        <f t="shared" si="424"/>
        <v>10.061111111111112</v>
      </c>
      <c r="BT244" s="5">
        <f t="shared" si="425"/>
        <v>0.5</v>
      </c>
      <c r="BU244" s="181">
        <f t="shared" si="426"/>
        <v>2</v>
      </c>
      <c r="BV244" s="154">
        <f t="shared" si="427"/>
        <v>9.9392600773053549E-2</v>
      </c>
      <c r="BW244" s="181">
        <f t="shared" si="428"/>
        <v>0</v>
      </c>
      <c r="BX244" s="180">
        <f t="shared" si="429"/>
        <v>0</v>
      </c>
      <c r="BY244" s="181">
        <f t="shared" si="430"/>
        <v>2</v>
      </c>
      <c r="BZ244" s="154">
        <f t="shared" si="431"/>
        <v>9.9392600773053549E-2</v>
      </c>
      <c r="CA244" s="182">
        <f t="shared" si="432"/>
        <v>0</v>
      </c>
      <c r="CB244" s="2">
        <f t="shared" si="433"/>
        <v>0</v>
      </c>
      <c r="CC244" s="2">
        <f t="shared" si="434"/>
        <v>0</v>
      </c>
      <c r="CD244" s="2">
        <f t="shared" si="435"/>
        <v>0</v>
      </c>
      <c r="CE244" s="2">
        <f t="shared" si="436"/>
        <v>10</v>
      </c>
      <c r="CF244" s="6">
        <f t="shared" si="437"/>
        <v>0</v>
      </c>
      <c r="CG244" s="6">
        <f t="shared" si="438"/>
        <v>474.66500000000002</v>
      </c>
      <c r="CH244" s="6">
        <f t="shared" si="439"/>
        <v>243</v>
      </c>
      <c r="CI244" s="20">
        <f t="shared" si="440"/>
        <v>0.51193999978932503</v>
      </c>
      <c r="CJ244" s="133">
        <f t="shared" si="441"/>
        <v>2521</v>
      </c>
      <c r="CK244" s="5">
        <f t="shared" si="442"/>
        <v>6.03</v>
      </c>
      <c r="CL244" s="300" t="s">
        <v>640</v>
      </c>
      <c r="CM244" s="296" t="s">
        <v>13</v>
      </c>
      <c r="CN244" s="296" t="s">
        <v>1660</v>
      </c>
      <c r="CO244" s="296">
        <v>24</v>
      </c>
      <c r="CP244" s="296" t="s">
        <v>1661</v>
      </c>
      <c r="CQ244" s="296" t="s">
        <v>1131</v>
      </c>
      <c r="CR244" s="296" t="s">
        <v>644</v>
      </c>
      <c r="CS244" s="296" t="s">
        <v>1443</v>
      </c>
      <c r="CT244" s="296" t="s">
        <v>586</v>
      </c>
      <c r="CU244" s="297">
        <v>47118</v>
      </c>
      <c r="CV244" s="296">
        <v>0</v>
      </c>
      <c r="CW244" s="296">
        <v>1811</v>
      </c>
      <c r="CX244" s="296">
        <v>30</v>
      </c>
      <c r="CY244" s="296">
        <v>1</v>
      </c>
      <c r="CZ244" s="296">
        <v>0</v>
      </c>
      <c r="DA244" s="296">
        <v>6</v>
      </c>
      <c r="DB244" s="296">
        <v>0</v>
      </c>
      <c r="DC244" s="296">
        <v>0</v>
      </c>
      <c r="DD244" s="296">
        <v>0.5</v>
      </c>
      <c r="DE244" s="296">
        <v>4</v>
      </c>
      <c r="DF244" s="296">
        <v>0</v>
      </c>
      <c r="DG244" s="296">
        <v>0</v>
      </c>
      <c r="DH244" s="296">
        <v>0</v>
      </c>
      <c r="DI244" s="296">
        <v>10</v>
      </c>
      <c r="DJ244" s="296">
        <v>0</v>
      </c>
      <c r="DK244" s="296">
        <v>0</v>
      </c>
      <c r="DL244" s="296">
        <v>425</v>
      </c>
      <c r="DM244" s="296">
        <v>236</v>
      </c>
      <c r="DN244" s="296" t="s">
        <v>1662</v>
      </c>
      <c r="DO244" s="296">
        <v>0</v>
      </c>
      <c r="DP244" s="296">
        <v>0</v>
      </c>
      <c r="DQ244" s="296">
        <v>2</v>
      </c>
      <c r="DR244" s="296">
        <v>0</v>
      </c>
      <c r="DS244" s="296">
        <v>0</v>
      </c>
      <c r="DT244" s="296">
        <v>2</v>
      </c>
      <c r="DU244" s="296">
        <v>0</v>
      </c>
      <c r="DV244" s="301">
        <v>6.03</v>
      </c>
    </row>
    <row r="245" spans="1:126" ht="24.95" customHeight="1" thickBot="1" x14ac:dyDescent="0.3">
      <c r="A245" s="29" t="str">
        <f t="shared" si="354"/>
        <v>244º</v>
      </c>
      <c r="B245" s="69" t="str">
        <f t="shared" si="356"/>
        <v>Tiago Cervilha</v>
      </c>
      <c r="C245" s="269" t="str">
        <f t="shared" si="357"/>
        <v>BRA</v>
      </c>
      <c r="D245" s="99" t="str">
        <f t="shared" si="358"/>
        <v>Pé Direito</v>
      </c>
      <c r="E245" s="28" t="str">
        <f t="shared" si="359"/>
        <v>Santana (AP)</v>
      </c>
      <c r="F245" s="169">
        <f t="shared" si="360"/>
        <v>21</v>
      </c>
      <c r="G245" s="2" t="str">
        <f t="shared" si="361"/>
        <v>0 €</v>
      </c>
      <c r="H245" s="154">
        <f t="shared" si="362"/>
        <v>1.9</v>
      </c>
      <c r="I245" s="64">
        <f t="shared" si="363"/>
        <v>47118</v>
      </c>
      <c r="J245" s="304" t="str">
        <f t="shared" si="364"/>
        <v>500 € p/m</v>
      </c>
      <c r="K245" s="96">
        <f t="shared" si="355"/>
        <v>3.5222222222222221</v>
      </c>
      <c r="L245" s="146">
        <f t="shared" si="365"/>
        <v>0.12222222222222222</v>
      </c>
      <c r="M245" s="6">
        <f t="shared" si="366"/>
        <v>0</v>
      </c>
      <c r="N245" s="5">
        <f t="shared" si="367"/>
        <v>5400</v>
      </c>
      <c r="O245" s="21">
        <f t="shared" si="368"/>
        <v>0</v>
      </c>
      <c r="P245" s="2">
        <f t="shared" si="369"/>
        <v>3</v>
      </c>
      <c r="Q245" s="2">
        <f t="shared" si="370"/>
        <v>2</v>
      </c>
      <c r="R245" s="5">
        <f t="shared" si="371"/>
        <v>16.363636363636363</v>
      </c>
      <c r="S245" s="2">
        <f t="shared" si="372"/>
        <v>1</v>
      </c>
      <c r="T245" s="2">
        <f t="shared" si="373"/>
        <v>1</v>
      </c>
      <c r="U245" s="102">
        <f t="shared" si="374"/>
        <v>0.33333333333333331</v>
      </c>
      <c r="V245" s="102">
        <f t="shared" si="375"/>
        <v>0.66666666666666663</v>
      </c>
      <c r="W245" s="6">
        <f t="shared" si="376"/>
        <v>3</v>
      </c>
      <c r="X245" s="5">
        <f t="shared" si="377"/>
        <v>24.545454545454547</v>
      </c>
      <c r="Y245" s="6">
        <f t="shared" si="378"/>
        <v>0</v>
      </c>
      <c r="Z245" s="5">
        <f t="shared" si="379"/>
        <v>0</v>
      </c>
      <c r="AA245" s="21">
        <f t="shared" si="380"/>
        <v>0</v>
      </c>
      <c r="AB245" s="6">
        <f t="shared" si="381"/>
        <v>0</v>
      </c>
      <c r="AC245" s="5">
        <f t="shared" si="382"/>
        <v>0</v>
      </c>
      <c r="AD245" s="6">
        <f t="shared" si="383"/>
        <v>0</v>
      </c>
      <c r="AE245" s="5">
        <f t="shared" si="384"/>
        <v>0</v>
      </c>
      <c r="AF245" s="21">
        <f t="shared" si="385"/>
        <v>0</v>
      </c>
      <c r="AG245" s="6">
        <f t="shared" si="386"/>
        <v>0</v>
      </c>
      <c r="AH245" s="5">
        <f t="shared" si="387"/>
        <v>0</v>
      </c>
      <c r="AI245" s="21">
        <f t="shared" si="388"/>
        <v>0</v>
      </c>
      <c r="AJ245" s="6">
        <f t="shared" si="389"/>
        <v>1</v>
      </c>
      <c r="AK245" s="5">
        <f t="shared" si="390"/>
        <v>6.1111111111111109E-2</v>
      </c>
      <c r="AL245" s="21">
        <f t="shared" si="391"/>
        <v>1</v>
      </c>
      <c r="AM245" s="21">
        <f t="shared" si="392"/>
        <v>8.1818181818181817</v>
      </c>
      <c r="AN245" s="6">
        <f t="shared" si="393"/>
        <v>1</v>
      </c>
      <c r="AO245" s="5">
        <f t="shared" si="394"/>
        <v>8.1818181818181817</v>
      </c>
      <c r="AP245" s="6">
        <f t="shared" si="395"/>
        <v>1</v>
      </c>
      <c r="AQ245" s="5">
        <f t="shared" si="396"/>
        <v>8.1818181818181817</v>
      </c>
      <c r="AR245" s="2">
        <f t="shared" si="397"/>
        <v>1</v>
      </c>
      <c r="AS245" s="5">
        <f t="shared" si="398"/>
        <v>8.1818181818181817</v>
      </c>
      <c r="AT245" s="21">
        <f t="shared" si="399"/>
        <v>1</v>
      </c>
      <c r="AU245" s="20">
        <f t="shared" si="400"/>
        <v>1</v>
      </c>
      <c r="AV245" s="20">
        <f t="shared" si="401"/>
        <v>0</v>
      </c>
      <c r="AW245" s="199">
        <f t="shared" si="402"/>
        <v>1.5</v>
      </c>
      <c r="AX245" s="24">
        <f t="shared" si="403"/>
        <v>0</v>
      </c>
      <c r="AY245" s="5">
        <f t="shared" si="404"/>
        <v>0</v>
      </c>
      <c r="AZ245" s="5">
        <f t="shared" si="405"/>
        <v>0</v>
      </c>
      <c r="BA245" s="5">
        <f t="shared" si="406"/>
        <v>0.01</v>
      </c>
      <c r="BB245" s="5">
        <f t="shared" si="407"/>
        <v>8.1818181818181818E-2</v>
      </c>
      <c r="BC245" s="5">
        <f t="shared" si="408"/>
        <v>0.01</v>
      </c>
      <c r="BD245" s="5">
        <f t="shared" si="409"/>
        <v>8.1818181818181818E-2</v>
      </c>
      <c r="BE245" s="199">
        <f t="shared" si="410"/>
        <v>0.01</v>
      </c>
      <c r="BF245" s="21">
        <f t="shared" si="411"/>
        <v>1</v>
      </c>
      <c r="BG245" s="6">
        <f t="shared" si="412"/>
        <v>0</v>
      </c>
      <c r="BH245" s="5">
        <f t="shared" si="413"/>
        <v>0</v>
      </c>
      <c r="BI245" s="6">
        <f t="shared" si="414"/>
        <v>0</v>
      </c>
      <c r="BJ245" s="5">
        <f t="shared" si="415"/>
        <v>0</v>
      </c>
      <c r="BK245" s="20">
        <f t="shared" si="416"/>
        <v>-9.9999999999999998E-13</v>
      </c>
      <c r="BL245" s="20">
        <f t="shared" si="417"/>
        <v>0</v>
      </c>
      <c r="BM245" s="6">
        <f t="shared" si="418"/>
        <v>0</v>
      </c>
      <c r="BN245" s="5">
        <f t="shared" si="419"/>
        <v>0</v>
      </c>
      <c r="BO245" s="333">
        <f t="shared" si="420"/>
        <v>0</v>
      </c>
      <c r="BP245" s="334">
        <f t="shared" si="421"/>
        <v>0</v>
      </c>
      <c r="BQ245" s="6">
        <f t="shared" si="422"/>
        <v>0</v>
      </c>
      <c r="BR245" s="5">
        <f t="shared" si="423"/>
        <v>0</v>
      </c>
      <c r="BS245" s="6">
        <f t="shared" si="424"/>
        <v>0</v>
      </c>
      <c r="BT245" s="5">
        <f t="shared" si="425"/>
        <v>0</v>
      </c>
      <c r="BU245" s="181">
        <f t="shared" si="426"/>
        <v>0</v>
      </c>
      <c r="BV245" s="154">
        <f t="shared" si="427"/>
        <v>0</v>
      </c>
      <c r="BW245" s="181">
        <f t="shared" si="428"/>
        <v>0</v>
      </c>
      <c r="BX245" s="180">
        <f t="shared" si="429"/>
        <v>0</v>
      </c>
      <c r="BY245" s="181">
        <f t="shared" si="430"/>
        <v>0</v>
      </c>
      <c r="BZ245" s="154">
        <f t="shared" si="431"/>
        <v>0</v>
      </c>
      <c r="CA245" s="182">
        <f t="shared" si="432"/>
        <v>0</v>
      </c>
      <c r="CB245" s="2">
        <f t="shared" si="433"/>
        <v>0</v>
      </c>
      <c r="CC245" s="2">
        <f t="shared" si="434"/>
        <v>0</v>
      </c>
      <c r="CD245" s="2">
        <f t="shared" si="435"/>
        <v>0</v>
      </c>
      <c r="CE245" s="2">
        <f t="shared" si="436"/>
        <v>0</v>
      </c>
      <c r="CF245" s="6">
        <f t="shared" si="437"/>
        <v>0</v>
      </c>
      <c r="CG245" s="6">
        <f t="shared" si="438"/>
        <v>6</v>
      </c>
      <c r="CH245" s="6">
        <f t="shared" si="439"/>
        <v>3</v>
      </c>
      <c r="CI245" s="20">
        <f t="shared" si="440"/>
        <v>0.5</v>
      </c>
      <c r="CJ245" s="133">
        <f t="shared" si="441"/>
        <v>2521</v>
      </c>
      <c r="CK245" s="5">
        <f t="shared" si="442"/>
        <v>0</v>
      </c>
      <c r="CL245" s="302" t="s">
        <v>1235</v>
      </c>
      <c r="CM245" s="298" t="s">
        <v>13</v>
      </c>
      <c r="CN245" s="298" t="s">
        <v>1663</v>
      </c>
      <c r="CO245" s="298">
        <v>21</v>
      </c>
      <c r="CP245" s="298" t="s">
        <v>1664</v>
      </c>
      <c r="CQ245" s="298" t="s">
        <v>1131</v>
      </c>
      <c r="CR245" s="298" t="s">
        <v>644</v>
      </c>
      <c r="CS245" s="298" t="s">
        <v>760</v>
      </c>
      <c r="CT245" s="298" t="s">
        <v>682</v>
      </c>
      <c r="CU245" s="299">
        <v>47118</v>
      </c>
      <c r="CV245" s="298">
        <v>0</v>
      </c>
      <c r="CW245" s="298">
        <v>11</v>
      </c>
      <c r="CX245" s="298">
        <v>0</v>
      </c>
      <c r="CY245" s="298">
        <v>0</v>
      </c>
      <c r="CZ245" s="298">
        <v>0</v>
      </c>
      <c r="DA245" s="298">
        <v>1</v>
      </c>
      <c r="DB245" s="298">
        <v>0</v>
      </c>
      <c r="DC245" s="298">
        <v>0</v>
      </c>
      <c r="DD245" s="298">
        <v>0</v>
      </c>
      <c r="DE245" s="298">
        <v>1</v>
      </c>
      <c r="DF245" s="298">
        <v>0</v>
      </c>
      <c r="DG245" s="298">
        <v>0</v>
      </c>
      <c r="DH245" s="298">
        <v>0</v>
      </c>
      <c r="DI245" s="298">
        <v>0</v>
      </c>
      <c r="DJ245" s="298">
        <v>0</v>
      </c>
      <c r="DK245" s="298">
        <v>0</v>
      </c>
      <c r="DL245" s="298">
        <v>3</v>
      </c>
      <c r="DM245" s="298">
        <v>2</v>
      </c>
      <c r="DN245" s="298" t="s">
        <v>1665</v>
      </c>
      <c r="DO245" s="298">
        <v>0</v>
      </c>
      <c r="DP245" s="298">
        <v>0</v>
      </c>
      <c r="DQ245" s="298">
        <v>0</v>
      </c>
      <c r="DR245" s="298">
        <v>0</v>
      </c>
      <c r="DS245" s="298">
        <v>0</v>
      </c>
      <c r="DT245" s="298">
        <v>0</v>
      </c>
      <c r="DU245" s="298">
        <v>0</v>
      </c>
      <c r="DV245" s="303" t="s">
        <v>548</v>
      </c>
    </row>
    <row r="246" spans="1:126" ht="24.95" customHeight="1" thickBot="1" x14ac:dyDescent="0.3">
      <c r="A246" s="29" t="str">
        <f t="shared" si="354"/>
        <v>245º</v>
      </c>
      <c r="B246" s="69" t="str">
        <f t="shared" si="356"/>
        <v>Michel</v>
      </c>
      <c r="C246" s="269" t="str">
        <f t="shared" si="357"/>
        <v>BRA</v>
      </c>
      <c r="D246" s="99" t="str">
        <f t="shared" si="358"/>
        <v>Pé Direito</v>
      </c>
      <c r="E246" s="28" t="str">
        <f t="shared" si="359"/>
        <v>Unidos do Alvorada</v>
      </c>
      <c r="F246" s="169">
        <f t="shared" si="360"/>
        <v>23</v>
      </c>
      <c r="G246" s="2" t="str">
        <f t="shared" si="361"/>
        <v>0 €</v>
      </c>
      <c r="H246" s="154">
        <f t="shared" si="362"/>
        <v>1.92</v>
      </c>
      <c r="I246" s="64">
        <f t="shared" si="363"/>
        <v>47118</v>
      </c>
      <c r="J246" s="304" t="str">
        <f t="shared" si="364"/>
        <v>500 € p/m</v>
      </c>
      <c r="K246" s="96">
        <f t="shared" si="355"/>
        <v>3.5222222222222221</v>
      </c>
      <c r="L246" s="146">
        <f t="shared" si="365"/>
        <v>0</v>
      </c>
      <c r="M246" s="6">
        <f t="shared" si="366"/>
        <v>0</v>
      </c>
      <c r="N246" s="5">
        <f t="shared" si="367"/>
        <v>5400</v>
      </c>
      <c r="O246" s="21">
        <f t="shared" si="368"/>
        <v>0</v>
      </c>
      <c r="P246" s="2">
        <f t="shared" si="369"/>
        <v>0</v>
      </c>
      <c r="Q246" s="2">
        <f t="shared" si="370"/>
        <v>0</v>
      </c>
      <c r="R246" s="5">
        <f t="shared" si="371"/>
        <v>0</v>
      </c>
      <c r="S246" s="2">
        <f t="shared" si="372"/>
        <v>0</v>
      </c>
      <c r="T246" s="2">
        <f t="shared" si="373"/>
        <v>0</v>
      </c>
      <c r="U246" s="102">
        <f t="shared" si="374"/>
        <v>0</v>
      </c>
      <c r="V246" s="102">
        <f t="shared" si="375"/>
        <v>0</v>
      </c>
      <c r="W246" s="6">
        <f t="shared" si="376"/>
        <v>0</v>
      </c>
      <c r="X246" s="5">
        <f t="shared" si="377"/>
        <v>0</v>
      </c>
      <c r="Y246" s="6">
        <f t="shared" si="378"/>
        <v>0</v>
      </c>
      <c r="Z246" s="5" t="e">
        <f t="shared" si="379"/>
        <v>#DIV/0!</v>
      </c>
      <c r="AA246" s="21">
        <f t="shared" si="380"/>
        <v>0</v>
      </c>
      <c r="AB246" s="6">
        <f t="shared" si="381"/>
        <v>0</v>
      </c>
      <c r="AC246" s="5" t="e">
        <f t="shared" si="382"/>
        <v>#DIV/0!</v>
      </c>
      <c r="AD246" s="6">
        <f t="shared" si="383"/>
        <v>0</v>
      </c>
      <c r="AE246" s="5">
        <f t="shared" si="384"/>
        <v>0</v>
      </c>
      <c r="AF246" s="21">
        <f t="shared" si="385"/>
        <v>0</v>
      </c>
      <c r="AG246" s="6">
        <f t="shared" si="386"/>
        <v>0</v>
      </c>
      <c r="AH246" s="5">
        <f t="shared" si="387"/>
        <v>0</v>
      </c>
      <c r="AI246" s="21">
        <f t="shared" si="388"/>
        <v>0</v>
      </c>
      <c r="AJ246" s="6">
        <f t="shared" si="389"/>
        <v>0</v>
      </c>
      <c r="AK246" s="5">
        <f t="shared" si="390"/>
        <v>0</v>
      </c>
      <c r="AL246" s="21">
        <f t="shared" si="391"/>
        <v>0</v>
      </c>
      <c r="AM246" s="21">
        <f t="shared" si="392"/>
        <v>0</v>
      </c>
      <c r="AN246" s="6">
        <f t="shared" si="393"/>
        <v>0</v>
      </c>
      <c r="AO246" s="5">
        <f t="shared" si="394"/>
        <v>0</v>
      </c>
      <c r="AP246" s="6">
        <f t="shared" si="395"/>
        <v>0</v>
      </c>
      <c r="AQ246" s="5">
        <f t="shared" si="396"/>
        <v>0</v>
      </c>
      <c r="AR246" s="2">
        <f t="shared" si="397"/>
        <v>0</v>
      </c>
      <c r="AS246" s="5">
        <f t="shared" si="398"/>
        <v>0</v>
      </c>
      <c r="AT246" s="21">
        <f t="shared" si="399"/>
        <v>0</v>
      </c>
      <c r="AU246" s="20">
        <f t="shared" si="400"/>
        <v>0</v>
      </c>
      <c r="AV246" s="20">
        <f t="shared" si="401"/>
        <v>1</v>
      </c>
      <c r="AW246" s="199">
        <f t="shared" si="402"/>
        <v>0</v>
      </c>
      <c r="AX246" s="24">
        <f t="shared" si="403"/>
        <v>0</v>
      </c>
      <c r="AY246" s="5">
        <f t="shared" si="404"/>
        <v>0</v>
      </c>
      <c r="AZ246" s="5">
        <f t="shared" si="405"/>
        <v>0</v>
      </c>
      <c r="BA246" s="5">
        <f t="shared" si="406"/>
        <v>0</v>
      </c>
      <c r="BB246" s="5">
        <f t="shared" si="407"/>
        <v>0</v>
      </c>
      <c r="BC246" s="5">
        <f t="shared" si="408"/>
        <v>0</v>
      </c>
      <c r="BD246" s="5">
        <f t="shared" si="409"/>
        <v>0</v>
      </c>
      <c r="BE246" s="199">
        <f t="shared" si="410"/>
        <v>0</v>
      </c>
      <c r="BF246" s="21">
        <f t="shared" si="411"/>
        <v>0</v>
      </c>
      <c r="BG246" s="6">
        <f t="shared" si="412"/>
        <v>0</v>
      </c>
      <c r="BH246" s="5" t="e">
        <f t="shared" si="413"/>
        <v>#DIV/0!</v>
      </c>
      <c r="BI246" s="6">
        <f t="shared" si="414"/>
        <v>0</v>
      </c>
      <c r="BJ246" s="5" t="e">
        <f t="shared" si="415"/>
        <v>#DIV/0!</v>
      </c>
      <c r="BK246" s="20">
        <f t="shared" si="416"/>
        <v>-9.9999999999999998E-13</v>
      </c>
      <c r="BL246" s="20">
        <f t="shared" si="417"/>
        <v>0</v>
      </c>
      <c r="BM246" s="6">
        <f t="shared" si="418"/>
        <v>0</v>
      </c>
      <c r="BN246" s="5">
        <f t="shared" si="419"/>
        <v>0</v>
      </c>
      <c r="BO246" s="333">
        <f t="shared" si="420"/>
        <v>0</v>
      </c>
      <c r="BP246" s="334">
        <f t="shared" si="421"/>
        <v>0</v>
      </c>
      <c r="BQ246" s="6">
        <f t="shared" si="422"/>
        <v>0</v>
      </c>
      <c r="BR246" s="5">
        <f t="shared" si="423"/>
        <v>0</v>
      </c>
      <c r="BS246" s="6">
        <f t="shared" si="424"/>
        <v>0</v>
      </c>
      <c r="BT246" s="5">
        <f t="shared" si="425"/>
        <v>0</v>
      </c>
      <c r="BU246" s="181">
        <f t="shared" si="426"/>
        <v>0</v>
      </c>
      <c r="BV246" s="154">
        <f t="shared" si="427"/>
        <v>0</v>
      </c>
      <c r="BW246" s="181">
        <f t="shared" si="428"/>
        <v>0</v>
      </c>
      <c r="BX246" s="180">
        <f t="shared" si="429"/>
        <v>0</v>
      </c>
      <c r="BY246" s="181">
        <f t="shared" si="430"/>
        <v>0</v>
      </c>
      <c r="BZ246" s="154">
        <f t="shared" si="431"/>
        <v>0</v>
      </c>
      <c r="CA246" s="182">
        <f t="shared" si="432"/>
        <v>0</v>
      </c>
      <c r="CB246" s="2">
        <f t="shared" si="433"/>
        <v>0</v>
      </c>
      <c r="CC246" s="2">
        <f t="shared" si="434"/>
        <v>0</v>
      </c>
      <c r="CD246" s="2">
        <f t="shared" si="435"/>
        <v>0</v>
      </c>
      <c r="CE246" s="2">
        <f t="shared" si="436"/>
        <v>0</v>
      </c>
      <c r="CF246" s="6">
        <f t="shared" si="437"/>
        <v>0</v>
      </c>
      <c r="CG246" s="6">
        <f t="shared" si="438"/>
        <v>0</v>
      </c>
      <c r="CH246" s="6">
        <f t="shared" si="439"/>
        <v>0</v>
      </c>
      <c r="CI246" s="20">
        <f t="shared" si="440"/>
        <v>0</v>
      </c>
      <c r="CJ246" s="133">
        <f t="shared" si="441"/>
        <v>2521</v>
      </c>
      <c r="CK246" s="5">
        <f t="shared" si="442"/>
        <v>0</v>
      </c>
      <c r="CL246" s="300"/>
      <c r="CM246" s="296" t="s">
        <v>13</v>
      </c>
      <c r="CN246" s="296" t="s">
        <v>1666</v>
      </c>
      <c r="CO246" s="296">
        <v>23</v>
      </c>
      <c r="CP246" s="296" t="s">
        <v>1667</v>
      </c>
      <c r="CQ246" s="296" t="s">
        <v>1131</v>
      </c>
      <c r="CR246" s="296" t="s">
        <v>644</v>
      </c>
      <c r="CS246" s="296" t="s">
        <v>760</v>
      </c>
      <c r="CT246" s="296" t="s">
        <v>549</v>
      </c>
      <c r="CU246" s="297">
        <v>47118</v>
      </c>
      <c r="CV246" s="296">
        <v>0</v>
      </c>
      <c r="CW246" s="296">
        <v>0</v>
      </c>
      <c r="CX246" s="296">
        <v>0</v>
      </c>
      <c r="CY246" s="296">
        <v>0</v>
      </c>
      <c r="CZ246" s="296">
        <v>0</v>
      </c>
      <c r="DA246" s="296">
        <v>0</v>
      </c>
      <c r="DB246" s="296">
        <v>0</v>
      </c>
      <c r="DC246" s="296">
        <v>0</v>
      </c>
      <c r="DD246" s="296">
        <v>0</v>
      </c>
      <c r="DE246" s="296">
        <v>0</v>
      </c>
      <c r="DF246" s="296">
        <v>0</v>
      </c>
      <c r="DG246" s="296">
        <v>0</v>
      </c>
      <c r="DH246" s="296">
        <v>0</v>
      </c>
      <c r="DI246" s="296">
        <v>0</v>
      </c>
      <c r="DJ246" s="296">
        <v>0</v>
      </c>
      <c r="DK246" s="296">
        <v>0</v>
      </c>
      <c r="DL246" s="296">
        <v>0</v>
      </c>
      <c r="DM246" s="296">
        <v>0</v>
      </c>
      <c r="DN246" s="296">
        <v>0</v>
      </c>
      <c r="DO246" s="296">
        <v>0</v>
      </c>
      <c r="DP246" s="296">
        <v>0</v>
      </c>
      <c r="DQ246" s="296">
        <v>0</v>
      </c>
      <c r="DR246" s="296">
        <v>0</v>
      </c>
      <c r="DS246" s="296">
        <v>0</v>
      </c>
      <c r="DT246" s="296">
        <v>0</v>
      </c>
      <c r="DU246" s="296">
        <v>0</v>
      </c>
      <c r="DV246" s="301" t="s">
        <v>548</v>
      </c>
    </row>
    <row r="247" spans="1:126" ht="24.95" customHeight="1" thickBot="1" x14ac:dyDescent="0.3">
      <c r="A247" s="29" t="str">
        <f t="shared" si="354"/>
        <v>246º</v>
      </c>
      <c r="B247" s="69" t="str">
        <f t="shared" si="356"/>
        <v>Alex</v>
      </c>
      <c r="C247" s="269" t="str">
        <f t="shared" si="357"/>
        <v>BRA</v>
      </c>
      <c r="D247" s="99" t="str">
        <f t="shared" si="358"/>
        <v>Pé Direito</v>
      </c>
      <c r="E247" s="28" t="str">
        <f t="shared" si="359"/>
        <v>Princesa</v>
      </c>
      <c r="F247" s="169">
        <f t="shared" si="360"/>
        <v>24</v>
      </c>
      <c r="G247" s="2" t="str">
        <f t="shared" si="361"/>
        <v>0 €</v>
      </c>
      <c r="H247" s="154">
        <f t="shared" si="362"/>
        <v>1.92</v>
      </c>
      <c r="I247" s="64">
        <f t="shared" si="363"/>
        <v>47118</v>
      </c>
      <c r="J247" s="304" t="str">
        <f t="shared" si="364"/>
        <v>500 € p/m</v>
      </c>
      <c r="K247" s="96">
        <f t="shared" si="355"/>
        <v>3.5222222222222221</v>
      </c>
      <c r="L247" s="146">
        <f t="shared" si="365"/>
        <v>0</v>
      </c>
      <c r="M247" s="6">
        <f t="shared" si="366"/>
        <v>0</v>
      </c>
      <c r="N247" s="5">
        <f t="shared" si="367"/>
        <v>5400</v>
      </c>
      <c r="O247" s="21">
        <f t="shared" si="368"/>
        <v>0</v>
      </c>
      <c r="P247" s="2">
        <f t="shared" si="369"/>
        <v>0</v>
      </c>
      <c r="Q247" s="2">
        <f t="shared" si="370"/>
        <v>0</v>
      </c>
      <c r="R247" s="5">
        <f t="shared" si="371"/>
        <v>0</v>
      </c>
      <c r="S247" s="2">
        <f t="shared" si="372"/>
        <v>0</v>
      </c>
      <c r="T247" s="2">
        <f t="shared" si="373"/>
        <v>0</v>
      </c>
      <c r="U247" s="102">
        <f t="shared" si="374"/>
        <v>0</v>
      </c>
      <c r="V247" s="102">
        <f t="shared" si="375"/>
        <v>0</v>
      </c>
      <c r="W247" s="6">
        <f t="shared" si="376"/>
        <v>0</v>
      </c>
      <c r="X247" s="5">
        <f t="shared" si="377"/>
        <v>0</v>
      </c>
      <c r="Y247" s="6">
        <f t="shared" si="378"/>
        <v>0</v>
      </c>
      <c r="Z247" s="5" t="e">
        <f t="shared" si="379"/>
        <v>#DIV/0!</v>
      </c>
      <c r="AA247" s="21">
        <f t="shared" si="380"/>
        <v>0</v>
      </c>
      <c r="AB247" s="6">
        <f t="shared" si="381"/>
        <v>0</v>
      </c>
      <c r="AC247" s="5" t="e">
        <f t="shared" si="382"/>
        <v>#DIV/0!</v>
      </c>
      <c r="AD247" s="6">
        <f t="shared" si="383"/>
        <v>0</v>
      </c>
      <c r="AE247" s="5">
        <f t="shared" si="384"/>
        <v>0</v>
      </c>
      <c r="AF247" s="21">
        <f t="shared" si="385"/>
        <v>0</v>
      </c>
      <c r="AG247" s="6">
        <f t="shared" si="386"/>
        <v>0</v>
      </c>
      <c r="AH247" s="5">
        <f t="shared" si="387"/>
        <v>0</v>
      </c>
      <c r="AI247" s="21">
        <f t="shared" si="388"/>
        <v>0</v>
      </c>
      <c r="AJ247" s="6">
        <f t="shared" si="389"/>
        <v>0</v>
      </c>
      <c r="AK247" s="5">
        <f t="shared" si="390"/>
        <v>0</v>
      </c>
      <c r="AL247" s="21">
        <f t="shared" si="391"/>
        <v>0</v>
      </c>
      <c r="AM247" s="21">
        <f t="shared" si="392"/>
        <v>0</v>
      </c>
      <c r="AN247" s="6">
        <f t="shared" si="393"/>
        <v>0</v>
      </c>
      <c r="AO247" s="5">
        <f t="shared" si="394"/>
        <v>0</v>
      </c>
      <c r="AP247" s="6">
        <f t="shared" si="395"/>
        <v>0</v>
      </c>
      <c r="AQ247" s="5">
        <f t="shared" si="396"/>
        <v>0</v>
      </c>
      <c r="AR247" s="2">
        <f t="shared" si="397"/>
        <v>0</v>
      </c>
      <c r="AS247" s="5">
        <f t="shared" si="398"/>
        <v>0</v>
      </c>
      <c r="AT247" s="21">
        <f t="shared" si="399"/>
        <v>0</v>
      </c>
      <c r="AU247" s="20">
        <f t="shared" si="400"/>
        <v>0</v>
      </c>
      <c r="AV247" s="20">
        <f t="shared" si="401"/>
        <v>1</v>
      </c>
      <c r="AW247" s="199">
        <f t="shared" si="402"/>
        <v>0</v>
      </c>
      <c r="AX247" s="24">
        <f t="shared" si="403"/>
        <v>0</v>
      </c>
      <c r="AY247" s="5">
        <f t="shared" si="404"/>
        <v>0</v>
      </c>
      <c r="AZ247" s="5">
        <f t="shared" si="405"/>
        <v>0</v>
      </c>
      <c r="BA247" s="5">
        <f t="shared" si="406"/>
        <v>0</v>
      </c>
      <c r="BB247" s="5">
        <f t="shared" si="407"/>
        <v>0</v>
      </c>
      <c r="BC247" s="5">
        <f t="shared" si="408"/>
        <v>0</v>
      </c>
      <c r="BD247" s="5">
        <f t="shared" si="409"/>
        <v>0</v>
      </c>
      <c r="BE247" s="199">
        <f t="shared" si="410"/>
        <v>0</v>
      </c>
      <c r="BF247" s="21">
        <f t="shared" si="411"/>
        <v>0</v>
      </c>
      <c r="BG247" s="6">
        <f t="shared" si="412"/>
        <v>0</v>
      </c>
      <c r="BH247" s="5" t="e">
        <f t="shared" si="413"/>
        <v>#DIV/0!</v>
      </c>
      <c r="BI247" s="6">
        <f t="shared" si="414"/>
        <v>0</v>
      </c>
      <c r="BJ247" s="5" t="e">
        <f t="shared" si="415"/>
        <v>#DIV/0!</v>
      </c>
      <c r="BK247" s="20">
        <f t="shared" si="416"/>
        <v>-9.9999999999999998E-13</v>
      </c>
      <c r="BL247" s="20">
        <f t="shared" si="417"/>
        <v>0</v>
      </c>
      <c r="BM247" s="6">
        <f t="shared" si="418"/>
        <v>0</v>
      </c>
      <c r="BN247" s="5">
        <f t="shared" si="419"/>
        <v>0</v>
      </c>
      <c r="BO247" s="333">
        <f t="shared" si="420"/>
        <v>0</v>
      </c>
      <c r="BP247" s="334">
        <f t="shared" si="421"/>
        <v>0</v>
      </c>
      <c r="BQ247" s="6">
        <f t="shared" si="422"/>
        <v>0</v>
      </c>
      <c r="BR247" s="5">
        <f t="shared" si="423"/>
        <v>0</v>
      </c>
      <c r="BS247" s="6">
        <f t="shared" si="424"/>
        <v>0</v>
      </c>
      <c r="BT247" s="5">
        <f t="shared" si="425"/>
        <v>0</v>
      </c>
      <c r="BU247" s="181">
        <f t="shared" si="426"/>
        <v>0</v>
      </c>
      <c r="BV247" s="154">
        <f t="shared" si="427"/>
        <v>0</v>
      </c>
      <c r="BW247" s="181">
        <f t="shared" si="428"/>
        <v>0</v>
      </c>
      <c r="BX247" s="180">
        <f t="shared" si="429"/>
        <v>0</v>
      </c>
      <c r="BY247" s="181">
        <f t="shared" si="430"/>
        <v>0</v>
      </c>
      <c r="BZ247" s="154">
        <f t="shared" si="431"/>
        <v>0</v>
      </c>
      <c r="CA247" s="182">
        <f t="shared" si="432"/>
        <v>0</v>
      </c>
      <c r="CB247" s="2">
        <f t="shared" si="433"/>
        <v>0</v>
      </c>
      <c r="CC247" s="2">
        <f t="shared" si="434"/>
        <v>0</v>
      </c>
      <c r="CD247" s="2">
        <f t="shared" si="435"/>
        <v>0</v>
      </c>
      <c r="CE247" s="2">
        <f t="shared" si="436"/>
        <v>0</v>
      </c>
      <c r="CF247" s="6">
        <f t="shared" si="437"/>
        <v>0</v>
      </c>
      <c r="CG247" s="6">
        <f t="shared" si="438"/>
        <v>0</v>
      </c>
      <c r="CH247" s="6">
        <f t="shared" si="439"/>
        <v>0</v>
      </c>
      <c r="CI247" s="20">
        <f t="shared" si="440"/>
        <v>0</v>
      </c>
      <c r="CJ247" s="133">
        <f t="shared" si="441"/>
        <v>2521</v>
      </c>
      <c r="CK247" s="5">
        <f t="shared" si="442"/>
        <v>0</v>
      </c>
      <c r="CL247" s="302"/>
      <c r="CM247" s="298" t="s">
        <v>13</v>
      </c>
      <c r="CN247" s="298" t="s">
        <v>1668</v>
      </c>
      <c r="CO247" s="298">
        <v>24</v>
      </c>
      <c r="CP247" s="298" t="s">
        <v>1669</v>
      </c>
      <c r="CQ247" s="298" t="s">
        <v>1131</v>
      </c>
      <c r="CR247" s="298" t="s">
        <v>644</v>
      </c>
      <c r="CS247" s="298" t="s">
        <v>760</v>
      </c>
      <c r="CT247" s="298" t="s">
        <v>549</v>
      </c>
      <c r="CU247" s="299">
        <v>47118</v>
      </c>
      <c r="CV247" s="298">
        <v>0</v>
      </c>
      <c r="CW247" s="298">
        <v>0</v>
      </c>
      <c r="CX247" s="298">
        <v>0</v>
      </c>
      <c r="CY247" s="298">
        <v>0</v>
      </c>
      <c r="CZ247" s="298">
        <v>0</v>
      </c>
      <c r="DA247" s="298">
        <v>0</v>
      </c>
      <c r="DB247" s="298">
        <v>0</v>
      </c>
      <c r="DC247" s="298">
        <v>0</v>
      </c>
      <c r="DD247" s="298">
        <v>0</v>
      </c>
      <c r="DE247" s="298">
        <v>0</v>
      </c>
      <c r="DF247" s="298">
        <v>0</v>
      </c>
      <c r="DG247" s="298">
        <v>0</v>
      </c>
      <c r="DH247" s="298">
        <v>0</v>
      </c>
      <c r="DI247" s="298">
        <v>0</v>
      </c>
      <c r="DJ247" s="298">
        <v>0</v>
      </c>
      <c r="DK247" s="298">
        <v>0</v>
      </c>
      <c r="DL247" s="298">
        <v>0</v>
      </c>
      <c r="DM247" s="298">
        <v>0</v>
      </c>
      <c r="DN247" s="298">
        <v>0</v>
      </c>
      <c r="DO247" s="298">
        <v>0</v>
      </c>
      <c r="DP247" s="298">
        <v>0</v>
      </c>
      <c r="DQ247" s="298">
        <v>0</v>
      </c>
      <c r="DR247" s="298">
        <v>0</v>
      </c>
      <c r="DS247" s="298">
        <v>0</v>
      </c>
      <c r="DT247" s="298">
        <v>0</v>
      </c>
      <c r="DU247" s="298">
        <v>0</v>
      </c>
      <c r="DV247" s="303" t="s">
        <v>548</v>
      </c>
    </row>
    <row r="248" spans="1:126" ht="24.95" customHeight="1" thickBot="1" x14ac:dyDescent="0.3">
      <c r="A248" s="29" t="str">
        <f t="shared" si="354"/>
        <v>247º</v>
      </c>
      <c r="B248" s="69" t="str">
        <f t="shared" si="356"/>
        <v>Eanes Chalkiadakis</v>
      </c>
      <c r="C248" s="269" t="str">
        <f t="shared" si="357"/>
        <v>BRA</v>
      </c>
      <c r="D248" s="99" t="str">
        <f t="shared" si="358"/>
        <v>Pé Direito</v>
      </c>
      <c r="E248" s="28" t="str">
        <f t="shared" si="359"/>
        <v>Vitória da Conquista</v>
      </c>
      <c r="F248" s="169">
        <f t="shared" si="360"/>
        <v>24</v>
      </c>
      <c r="G248" s="2" t="str">
        <f t="shared" si="361"/>
        <v>0 €</v>
      </c>
      <c r="H248" s="154">
        <f t="shared" si="362"/>
        <v>1.92</v>
      </c>
      <c r="I248" s="64">
        <f t="shared" si="363"/>
        <v>47118</v>
      </c>
      <c r="J248" s="304" t="str">
        <f t="shared" si="364"/>
        <v>500 € p/m</v>
      </c>
      <c r="K248" s="96">
        <f t="shared" si="355"/>
        <v>3.5222222222222221</v>
      </c>
      <c r="L248" s="146">
        <f t="shared" si="365"/>
        <v>0.41111111111111109</v>
      </c>
      <c r="M248" s="6">
        <f t="shared" si="366"/>
        <v>0</v>
      </c>
      <c r="N248" s="5">
        <f t="shared" si="367"/>
        <v>5400</v>
      </c>
      <c r="O248" s="21">
        <f t="shared" si="368"/>
        <v>0</v>
      </c>
      <c r="P248" s="2">
        <f t="shared" si="369"/>
        <v>11</v>
      </c>
      <c r="Q248" s="2">
        <f t="shared" si="370"/>
        <v>7</v>
      </c>
      <c r="R248" s="5">
        <f t="shared" si="371"/>
        <v>17.027027027027028</v>
      </c>
      <c r="S248" s="2">
        <f t="shared" si="372"/>
        <v>4</v>
      </c>
      <c r="T248" s="2">
        <f t="shared" si="373"/>
        <v>3</v>
      </c>
      <c r="U248" s="102">
        <f t="shared" si="374"/>
        <v>0.36363636363636365</v>
      </c>
      <c r="V248" s="102">
        <f t="shared" si="375"/>
        <v>0.63636363636363635</v>
      </c>
      <c r="W248" s="6">
        <f t="shared" si="376"/>
        <v>11</v>
      </c>
      <c r="X248" s="5">
        <f t="shared" si="377"/>
        <v>26.756756756756758</v>
      </c>
      <c r="Y248" s="6">
        <f t="shared" si="378"/>
        <v>0</v>
      </c>
      <c r="Z248" s="5">
        <f t="shared" si="379"/>
        <v>0</v>
      </c>
      <c r="AA248" s="21">
        <f t="shared" si="380"/>
        <v>0</v>
      </c>
      <c r="AB248" s="6">
        <f t="shared" si="381"/>
        <v>0</v>
      </c>
      <c r="AC248" s="5">
        <f t="shared" si="382"/>
        <v>0</v>
      </c>
      <c r="AD248" s="6">
        <f t="shared" si="383"/>
        <v>0</v>
      </c>
      <c r="AE248" s="5">
        <f t="shared" si="384"/>
        <v>0</v>
      </c>
      <c r="AF248" s="21">
        <f t="shared" si="385"/>
        <v>0</v>
      </c>
      <c r="AG248" s="6">
        <f t="shared" si="386"/>
        <v>1</v>
      </c>
      <c r="AH248" s="5">
        <f t="shared" si="387"/>
        <v>2.4324324324324325</v>
      </c>
      <c r="AI248" s="21">
        <f t="shared" si="388"/>
        <v>1</v>
      </c>
      <c r="AJ248" s="6">
        <f t="shared" si="389"/>
        <v>0</v>
      </c>
      <c r="AK248" s="5">
        <f t="shared" si="390"/>
        <v>0</v>
      </c>
      <c r="AL248" s="21">
        <f t="shared" si="391"/>
        <v>0</v>
      </c>
      <c r="AM248" s="21">
        <f t="shared" si="392"/>
        <v>2.4324324324324325</v>
      </c>
      <c r="AN248" s="6">
        <f t="shared" si="393"/>
        <v>1</v>
      </c>
      <c r="AO248" s="5">
        <f t="shared" si="394"/>
        <v>2.4324324324324325</v>
      </c>
      <c r="AP248" s="6">
        <f t="shared" si="395"/>
        <v>1</v>
      </c>
      <c r="AQ248" s="5">
        <f t="shared" si="396"/>
        <v>2.4324324324324325</v>
      </c>
      <c r="AR248" s="2">
        <f t="shared" si="397"/>
        <v>2</v>
      </c>
      <c r="AS248" s="5">
        <f t="shared" si="398"/>
        <v>4.8648648648648649</v>
      </c>
      <c r="AT248" s="21">
        <f t="shared" si="399"/>
        <v>0.5</v>
      </c>
      <c r="AU248" s="20">
        <f t="shared" si="400"/>
        <v>0.5</v>
      </c>
      <c r="AV248" s="20">
        <f t="shared" si="401"/>
        <v>0.5</v>
      </c>
      <c r="AW248" s="199">
        <f t="shared" si="402"/>
        <v>1</v>
      </c>
      <c r="AX248" s="24">
        <f t="shared" si="403"/>
        <v>37</v>
      </c>
      <c r="AY248" s="5">
        <f t="shared" si="404"/>
        <v>2</v>
      </c>
      <c r="AZ248" s="5">
        <f t="shared" si="405"/>
        <v>2</v>
      </c>
      <c r="BA248" s="5">
        <f t="shared" si="406"/>
        <v>-0.83</v>
      </c>
      <c r="BB248" s="5">
        <f t="shared" si="407"/>
        <v>-2.0189189189189189</v>
      </c>
      <c r="BC248" s="5">
        <f t="shared" si="408"/>
        <v>-0.83</v>
      </c>
      <c r="BD248" s="5">
        <f t="shared" si="409"/>
        <v>-2.0189189189189189</v>
      </c>
      <c r="BE248" s="199">
        <f t="shared" si="410"/>
        <v>-0.83</v>
      </c>
      <c r="BF248" s="21">
        <f t="shared" si="411"/>
        <v>-4.8823529411764692</v>
      </c>
      <c r="BG248" s="6">
        <f t="shared" si="412"/>
        <v>0</v>
      </c>
      <c r="BH248" s="5">
        <f t="shared" si="413"/>
        <v>0</v>
      </c>
      <c r="BI248" s="6">
        <f t="shared" si="414"/>
        <v>0</v>
      </c>
      <c r="BJ248" s="5">
        <f t="shared" si="415"/>
        <v>0</v>
      </c>
      <c r="BK248" s="20">
        <f t="shared" si="416"/>
        <v>-9.9999999999999998E-13</v>
      </c>
      <c r="BL248" s="20">
        <f t="shared" si="417"/>
        <v>6.7430883344571813E-4</v>
      </c>
      <c r="BM248" s="6">
        <f t="shared" si="418"/>
        <v>1</v>
      </c>
      <c r="BN248" s="5">
        <f t="shared" si="419"/>
        <v>2.4324324324324325</v>
      </c>
      <c r="BO248" s="333">
        <f t="shared" si="420"/>
        <v>0</v>
      </c>
      <c r="BP248" s="334">
        <f t="shared" si="421"/>
        <v>0</v>
      </c>
      <c r="BQ248" s="6">
        <f t="shared" si="422"/>
        <v>0</v>
      </c>
      <c r="BR248" s="5">
        <f t="shared" si="423"/>
        <v>0</v>
      </c>
      <c r="BS248" s="6">
        <f t="shared" si="424"/>
        <v>0</v>
      </c>
      <c r="BT248" s="5">
        <f t="shared" si="425"/>
        <v>0</v>
      </c>
      <c r="BU248" s="181">
        <f t="shared" si="426"/>
        <v>0</v>
      </c>
      <c r="BV248" s="154">
        <f t="shared" si="427"/>
        <v>0</v>
      </c>
      <c r="BW248" s="181">
        <f t="shared" si="428"/>
        <v>0</v>
      </c>
      <c r="BX248" s="180">
        <f t="shared" si="429"/>
        <v>0</v>
      </c>
      <c r="BY248" s="181">
        <f t="shared" si="430"/>
        <v>0</v>
      </c>
      <c r="BZ248" s="154">
        <f t="shared" si="431"/>
        <v>0</v>
      </c>
      <c r="CA248" s="182">
        <f t="shared" si="432"/>
        <v>0</v>
      </c>
      <c r="CB248" s="2">
        <f t="shared" si="433"/>
        <v>0</v>
      </c>
      <c r="CC248" s="2">
        <f t="shared" si="434"/>
        <v>0</v>
      </c>
      <c r="CD248" s="2">
        <f t="shared" si="435"/>
        <v>0</v>
      </c>
      <c r="CE248" s="2">
        <f t="shared" si="436"/>
        <v>0</v>
      </c>
      <c r="CF248" s="6">
        <f t="shared" si="437"/>
        <v>0</v>
      </c>
      <c r="CG248" s="6">
        <f t="shared" si="438"/>
        <v>15</v>
      </c>
      <c r="CH248" s="6">
        <f t="shared" si="439"/>
        <v>8</v>
      </c>
      <c r="CI248" s="20">
        <f t="shared" si="440"/>
        <v>0.53333333333333333</v>
      </c>
      <c r="CJ248" s="133">
        <f t="shared" si="441"/>
        <v>2521</v>
      </c>
      <c r="CK248" s="5">
        <f t="shared" si="442"/>
        <v>6.55</v>
      </c>
      <c r="CL248" s="300"/>
      <c r="CM248" s="296" t="s">
        <v>13</v>
      </c>
      <c r="CN248" s="296" t="s">
        <v>1670</v>
      </c>
      <c r="CO248" s="296">
        <v>24</v>
      </c>
      <c r="CP248" s="296" t="s">
        <v>1671</v>
      </c>
      <c r="CQ248" s="296" t="s">
        <v>1131</v>
      </c>
      <c r="CR248" s="296" t="s">
        <v>644</v>
      </c>
      <c r="CS248" s="296" t="s">
        <v>760</v>
      </c>
      <c r="CT248" s="296" t="s">
        <v>549</v>
      </c>
      <c r="CU248" s="297">
        <v>47118</v>
      </c>
      <c r="CV248" s="296">
        <v>0</v>
      </c>
      <c r="CW248" s="296">
        <v>37</v>
      </c>
      <c r="CX248" s="296">
        <v>1</v>
      </c>
      <c r="CY248" s="296">
        <v>0</v>
      </c>
      <c r="CZ248" s="296">
        <v>1</v>
      </c>
      <c r="DA248" s="296">
        <v>0</v>
      </c>
      <c r="DB248" s="296">
        <v>0</v>
      </c>
      <c r="DC248" s="296">
        <v>0</v>
      </c>
      <c r="DD248" s="296">
        <v>0</v>
      </c>
      <c r="DE248" s="296">
        <v>1</v>
      </c>
      <c r="DF248" s="296">
        <v>0</v>
      </c>
      <c r="DG248" s="296">
        <v>0</v>
      </c>
      <c r="DH248" s="296">
        <v>0</v>
      </c>
      <c r="DI248" s="296">
        <v>0</v>
      </c>
      <c r="DJ248" s="296">
        <v>0</v>
      </c>
      <c r="DK248" s="296">
        <v>0</v>
      </c>
      <c r="DL248" s="296">
        <v>11</v>
      </c>
      <c r="DM248" s="296">
        <v>7</v>
      </c>
      <c r="DN248" s="296" t="s">
        <v>1672</v>
      </c>
      <c r="DO248" s="296">
        <v>0</v>
      </c>
      <c r="DP248" s="296">
        <v>0</v>
      </c>
      <c r="DQ248" s="296">
        <v>0</v>
      </c>
      <c r="DR248" s="296">
        <v>0</v>
      </c>
      <c r="DS248" s="296">
        <v>0</v>
      </c>
      <c r="DT248" s="296">
        <v>0</v>
      </c>
      <c r="DU248" s="296">
        <v>0</v>
      </c>
      <c r="DV248" s="301">
        <v>6.55</v>
      </c>
    </row>
    <row r="249" spans="1:126" ht="24.95" customHeight="1" thickBot="1" x14ac:dyDescent="0.3">
      <c r="A249" s="29" t="str">
        <f t="shared" si="354"/>
        <v>248º</v>
      </c>
      <c r="B249" s="69" t="str">
        <f t="shared" si="356"/>
        <v>Lucas</v>
      </c>
      <c r="C249" s="269" t="str">
        <f t="shared" si="357"/>
        <v>BRA</v>
      </c>
      <c r="D249" s="99" t="str">
        <f t="shared" si="358"/>
        <v>Pé Direito</v>
      </c>
      <c r="E249" s="28" t="str">
        <f t="shared" si="359"/>
        <v>SESP Brasília</v>
      </c>
      <c r="F249" s="169">
        <f t="shared" si="360"/>
        <v>22</v>
      </c>
      <c r="G249" s="2" t="str">
        <f t="shared" si="361"/>
        <v>0 €</v>
      </c>
      <c r="H249" s="154">
        <f t="shared" si="362"/>
        <v>1.87</v>
      </c>
      <c r="I249" s="64">
        <f t="shared" si="363"/>
        <v>47118</v>
      </c>
      <c r="J249" s="304" t="str">
        <f t="shared" si="364"/>
        <v>500 € p/m</v>
      </c>
      <c r="K249" s="96">
        <f t="shared" si="355"/>
        <v>3.5222222222222221</v>
      </c>
      <c r="L249" s="146">
        <f t="shared" si="365"/>
        <v>13</v>
      </c>
      <c r="M249" s="6">
        <f t="shared" si="366"/>
        <v>0</v>
      </c>
      <c r="N249" s="5">
        <f t="shared" si="367"/>
        <v>5400</v>
      </c>
      <c r="O249" s="21">
        <f t="shared" si="368"/>
        <v>0</v>
      </c>
      <c r="P249" s="2">
        <f t="shared" si="369"/>
        <v>260</v>
      </c>
      <c r="Q249" s="2">
        <f t="shared" si="370"/>
        <v>159</v>
      </c>
      <c r="R249" s="5">
        <f t="shared" si="371"/>
        <v>12.23076923076923</v>
      </c>
      <c r="S249" s="2">
        <f t="shared" si="372"/>
        <v>101</v>
      </c>
      <c r="T249" s="2">
        <f t="shared" si="373"/>
        <v>58</v>
      </c>
      <c r="U249" s="102">
        <f t="shared" si="374"/>
        <v>0.38846153846153847</v>
      </c>
      <c r="V249" s="102">
        <f t="shared" si="375"/>
        <v>0.61153846153846159</v>
      </c>
      <c r="W249" s="6">
        <f t="shared" si="376"/>
        <v>260</v>
      </c>
      <c r="X249" s="5">
        <f t="shared" si="377"/>
        <v>20</v>
      </c>
      <c r="Y249" s="6">
        <f t="shared" si="378"/>
        <v>0</v>
      </c>
      <c r="Z249" s="5">
        <f t="shared" si="379"/>
        <v>0</v>
      </c>
      <c r="AA249" s="21">
        <f t="shared" si="380"/>
        <v>0</v>
      </c>
      <c r="AB249" s="6">
        <f t="shared" si="381"/>
        <v>0</v>
      </c>
      <c r="AC249" s="5">
        <f t="shared" si="382"/>
        <v>0</v>
      </c>
      <c r="AD249" s="6">
        <f t="shared" si="383"/>
        <v>0</v>
      </c>
      <c r="AE249" s="5">
        <f t="shared" si="384"/>
        <v>0</v>
      </c>
      <c r="AF249" s="21">
        <f t="shared" si="385"/>
        <v>0</v>
      </c>
      <c r="AG249" s="6">
        <f t="shared" si="386"/>
        <v>0</v>
      </c>
      <c r="AH249" s="5">
        <f t="shared" si="387"/>
        <v>0</v>
      </c>
      <c r="AI249" s="21">
        <f t="shared" si="388"/>
        <v>0</v>
      </c>
      <c r="AJ249" s="6">
        <f t="shared" si="389"/>
        <v>0</v>
      </c>
      <c r="AK249" s="5">
        <f t="shared" si="390"/>
        <v>0</v>
      </c>
      <c r="AL249" s="21">
        <f t="shared" si="391"/>
        <v>0</v>
      </c>
      <c r="AM249" s="21">
        <f t="shared" si="392"/>
        <v>7.6923076923076927E-2</v>
      </c>
      <c r="AN249" s="6">
        <f t="shared" si="393"/>
        <v>1</v>
      </c>
      <c r="AO249" s="5">
        <f t="shared" si="394"/>
        <v>7.6923076923076927E-2</v>
      </c>
      <c r="AP249" s="6">
        <f t="shared" si="395"/>
        <v>0</v>
      </c>
      <c r="AQ249" s="5">
        <f t="shared" si="396"/>
        <v>0</v>
      </c>
      <c r="AR249" s="2">
        <f t="shared" si="397"/>
        <v>22</v>
      </c>
      <c r="AS249" s="5">
        <f t="shared" si="398"/>
        <v>1.6923076923076923</v>
      </c>
      <c r="AT249" s="21">
        <f t="shared" si="399"/>
        <v>0</v>
      </c>
      <c r="AU249" s="20">
        <f t="shared" si="400"/>
        <v>0</v>
      </c>
      <c r="AV249" s="20">
        <f t="shared" si="401"/>
        <v>1</v>
      </c>
      <c r="AW249" s="199">
        <f t="shared" si="402"/>
        <v>0</v>
      </c>
      <c r="AX249" s="24">
        <f t="shared" si="403"/>
        <v>53.18181818181818</v>
      </c>
      <c r="AY249" s="5">
        <f t="shared" si="404"/>
        <v>1</v>
      </c>
      <c r="AZ249" s="5">
        <f t="shared" si="405"/>
        <v>1</v>
      </c>
      <c r="BA249" s="5">
        <f t="shared" si="406"/>
        <v>0</v>
      </c>
      <c r="BB249" s="5">
        <f t="shared" si="407"/>
        <v>0</v>
      </c>
      <c r="BC249" s="5">
        <f t="shared" si="408"/>
        <v>0</v>
      </c>
      <c r="BD249" s="5">
        <f t="shared" si="409"/>
        <v>0</v>
      </c>
      <c r="BE249" s="199">
        <f t="shared" si="410"/>
        <v>0</v>
      </c>
      <c r="BF249" s="21">
        <f t="shared" si="411"/>
        <v>0</v>
      </c>
      <c r="BG249" s="6">
        <f t="shared" si="412"/>
        <v>0</v>
      </c>
      <c r="BH249" s="5">
        <f t="shared" si="413"/>
        <v>0</v>
      </c>
      <c r="BI249" s="6">
        <f t="shared" si="414"/>
        <v>0</v>
      </c>
      <c r="BJ249" s="5">
        <f t="shared" si="415"/>
        <v>0</v>
      </c>
      <c r="BK249" s="20">
        <f t="shared" si="416"/>
        <v>-9.9999999999999998E-13</v>
      </c>
      <c r="BL249" s="20">
        <f t="shared" si="417"/>
        <v>1.4834794335805798E-2</v>
      </c>
      <c r="BM249" s="6">
        <f t="shared" si="418"/>
        <v>22</v>
      </c>
      <c r="BN249" s="5">
        <f t="shared" si="419"/>
        <v>1.6923076923076923</v>
      </c>
      <c r="BO249" s="333">
        <f t="shared" si="420"/>
        <v>0</v>
      </c>
      <c r="BP249" s="334">
        <f t="shared" si="421"/>
        <v>0</v>
      </c>
      <c r="BQ249" s="6">
        <f t="shared" si="422"/>
        <v>0</v>
      </c>
      <c r="BR249" s="5">
        <f t="shared" si="423"/>
        <v>0</v>
      </c>
      <c r="BS249" s="6">
        <f t="shared" si="424"/>
        <v>0</v>
      </c>
      <c r="BT249" s="5">
        <f t="shared" si="425"/>
        <v>0</v>
      </c>
      <c r="BU249" s="181">
        <f t="shared" si="426"/>
        <v>0</v>
      </c>
      <c r="BV249" s="154">
        <f t="shared" si="427"/>
        <v>0</v>
      </c>
      <c r="BW249" s="181">
        <f t="shared" si="428"/>
        <v>0</v>
      </c>
      <c r="BX249" s="180">
        <f t="shared" si="429"/>
        <v>0</v>
      </c>
      <c r="BY249" s="181">
        <f t="shared" si="430"/>
        <v>0</v>
      </c>
      <c r="BZ249" s="154">
        <f t="shared" si="431"/>
        <v>0</v>
      </c>
      <c r="CA249" s="182">
        <f t="shared" si="432"/>
        <v>0</v>
      </c>
      <c r="CB249" s="2">
        <f t="shared" si="433"/>
        <v>0</v>
      </c>
      <c r="CC249" s="2">
        <f t="shared" si="434"/>
        <v>0</v>
      </c>
      <c r="CD249" s="2">
        <f t="shared" si="435"/>
        <v>0</v>
      </c>
      <c r="CE249" s="2">
        <f t="shared" si="436"/>
        <v>14</v>
      </c>
      <c r="CF249" s="6">
        <f t="shared" si="437"/>
        <v>0</v>
      </c>
      <c r="CG249" s="6">
        <f t="shared" si="438"/>
        <v>284</v>
      </c>
      <c r="CH249" s="6">
        <f t="shared" si="439"/>
        <v>159</v>
      </c>
      <c r="CI249" s="20">
        <f t="shared" si="440"/>
        <v>0.5598591549295775</v>
      </c>
      <c r="CJ249" s="133">
        <f t="shared" si="441"/>
        <v>2521</v>
      </c>
      <c r="CK249" s="5">
        <f t="shared" si="442"/>
        <v>6.43</v>
      </c>
      <c r="CL249" s="302"/>
      <c r="CM249" s="298" t="s">
        <v>13</v>
      </c>
      <c r="CN249" s="298" t="s">
        <v>1673</v>
      </c>
      <c r="CO249" s="298">
        <v>22</v>
      </c>
      <c r="CP249" s="298" t="s">
        <v>1206</v>
      </c>
      <c r="CQ249" s="298" t="s">
        <v>1131</v>
      </c>
      <c r="CR249" s="298" t="s">
        <v>644</v>
      </c>
      <c r="CS249" s="298" t="s">
        <v>760</v>
      </c>
      <c r="CT249" s="298" t="s">
        <v>911</v>
      </c>
      <c r="CU249" s="299">
        <v>47118</v>
      </c>
      <c r="CV249" s="298">
        <v>0</v>
      </c>
      <c r="CW249" s="298">
        <v>1170</v>
      </c>
      <c r="CX249" s="298">
        <v>22</v>
      </c>
      <c r="CY249" s="298">
        <v>0</v>
      </c>
      <c r="CZ249" s="298">
        <v>0</v>
      </c>
      <c r="DA249" s="298">
        <v>0</v>
      </c>
      <c r="DB249" s="298">
        <v>0</v>
      </c>
      <c r="DC249" s="298">
        <v>0</v>
      </c>
      <c r="DD249" s="298">
        <v>0</v>
      </c>
      <c r="DE249" s="298">
        <v>1</v>
      </c>
      <c r="DF249" s="298">
        <v>0</v>
      </c>
      <c r="DG249" s="298">
        <v>0</v>
      </c>
      <c r="DH249" s="298">
        <v>0</v>
      </c>
      <c r="DI249" s="298">
        <v>14</v>
      </c>
      <c r="DJ249" s="298">
        <v>0</v>
      </c>
      <c r="DK249" s="298">
        <v>0</v>
      </c>
      <c r="DL249" s="298">
        <v>260</v>
      </c>
      <c r="DM249" s="298">
        <v>159</v>
      </c>
      <c r="DN249" s="298">
        <v>0</v>
      </c>
      <c r="DO249" s="298">
        <v>0</v>
      </c>
      <c r="DP249" s="298">
        <v>0</v>
      </c>
      <c r="DQ249" s="298">
        <v>0</v>
      </c>
      <c r="DR249" s="298">
        <v>0</v>
      </c>
      <c r="DS249" s="298">
        <v>0</v>
      </c>
      <c r="DT249" s="298">
        <v>0</v>
      </c>
      <c r="DU249" s="298">
        <v>0</v>
      </c>
      <c r="DV249" s="303">
        <v>6.43</v>
      </c>
    </row>
    <row r="250" spans="1:126" ht="24.95" customHeight="1" thickBot="1" x14ac:dyDescent="0.3">
      <c r="A250" s="29" t="str">
        <f t="shared" si="354"/>
        <v>249º</v>
      </c>
      <c r="B250" s="69" t="str">
        <f t="shared" si="356"/>
        <v>Dedé</v>
      </c>
      <c r="C250" s="269" t="str">
        <f t="shared" si="357"/>
        <v>BRA</v>
      </c>
      <c r="D250" s="99" t="str">
        <f t="shared" si="358"/>
        <v>Pé Direito</v>
      </c>
      <c r="E250" s="28" t="str">
        <f t="shared" si="359"/>
        <v>ICA</v>
      </c>
      <c r="F250" s="169">
        <f t="shared" si="360"/>
        <v>23</v>
      </c>
      <c r="G250" s="2" t="str">
        <f t="shared" si="361"/>
        <v>0 €</v>
      </c>
      <c r="H250" s="154">
        <f t="shared" si="362"/>
        <v>1.98</v>
      </c>
      <c r="I250" s="64">
        <f t="shared" si="363"/>
        <v>47118</v>
      </c>
      <c r="J250" s="304" t="str">
        <f t="shared" si="364"/>
        <v>500 € p/m</v>
      </c>
      <c r="K250" s="96">
        <f t="shared" si="355"/>
        <v>3.5222222222222221</v>
      </c>
      <c r="L250" s="146">
        <f t="shared" si="365"/>
        <v>23.266666666666666</v>
      </c>
      <c r="M250" s="6">
        <f t="shared" si="366"/>
        <v>0</v>
      </c>
      <c r="N250" s="5">
        <f t="shared" si="367"/>
        <v>5400</v>
      </c>
      <c r="O250" s="21">
        <f t="shared" si="368"/>
        <v>0</v>
      </c>
      <c r="P250" s="2">
        <f t="shared" si="369"/>
        <v>494</v>
      </c>
      <c r="Q250" s="2">
        <f t="shared" si="370"/>
        <v>288</v>
      </c>
      <c r="R250" s="5">
        <f t="shared" si="371"/>
        <v>12.378223495702006</v>
      </c>
      <c r="S250" s="2">
        <f t="shared" si="372"/>
        <v>206</v>
      </c>
      <c r="T250" s="2">
        <f t="shared" si="373"/>
        <v>82</v>
      </c>
      <c r="U250" s="102">
        <f t="shared" si="374"/>
        <v>0.41700404858299595</v>
      </c>
      <c r="V250" s="102">
        <f t="shared" si="375"/>
        <v>0.582995951417004</v>
      </c>
      <c r="W250" s="6">
        <f t="shared" si="376"/>
        <v>494</v>
      </c>
      <c r="X250" s="5">
        <f t="shared" si="377"/>
        <v>21.232091690544415</v>
      </c>
      <c r="Y250" s="6">
        <f t="shared" si="378"/>
        <v>0</v>
      </c>
      <c r="Z250" s="5">
        <f t="shared" si="379"/>
        <v>0</v>
      </c>
      <c r="AA250" s="21">
        <f t="shared" si="380"/>
        <v>0</v>
      </c>
      <c r="AB250" s="6">
        <f t="shared" si="381"/>
        <v>0</v>
      </c>
      <c r="AC250" s="5">
        <f t="shared" si="382"/>
        <v>0</v>
      </c>
      <c r="AD250" s="6">
        <f t="shared" si="383"/>
        <v>2</v>
      </c>
      <c r="AE250" s="5">
        <f t="shared" si="384"/>
        <v>8.5959885386819493E-2</v>
      </c>
      <c r="AF250" s="21">
        <f t="shared" si="385"/>
        <v>0.18181818181818182</v>
      </c>
      <c r="AG250" s="6">
        <f t="shared" si="386"/>
        <v>2</v>
      </c>
      <c r="AH250" s="5">
        <f t="shared" si="387"/>
        <v>8.5959885386819493E-2</v>
      </c>
      <c r="AI250" s="21">
        <f t="shared" si="388"/>
        <v>0.18181818181818182</v>
      </c>
      <c r="AJ250" s="6">
        <f t="shared" si="389"/>
        <v>7</v>
      </c>
      <c r="AK250" s="5">
        <f t="shared" si="390"/>
        <v>0.56550925925925921</v>
      </c>
      <c r="AL250" s="21">
        <f t="shared" si="391"/>
        <v>0.63636363636363635</v>
      </c>
      <c r="AM250" s="21">
        <f t="shared" si="392"/>
        <v>8.5959885386819493E-2</v>
      </c>
      <c r="AN250" s="6">
        <f t="shared" si="393"/>
        <v>2</v>
      </c>
      <c r="AO250" s="5">
        <f t="shared" si="394"/>
        <v>8.5959885386819493E-2</v>
      </c>
      <c r="AP250" s="6">
        <f t="shared" si="395"/>
        <v>11</v>
      </c>
      <c r="AQ250" s="5">
        <f t="shared" si="396"/>
        <v>0.47277936962750716</v>
      </c>
      <c r="AR250" s="2">
        <f t="shared" si="397"/>
        <v>56</v>
      </c>
      <c r="AS250" s="5">
        <f t="shared" si="398"/>
        <v>2.4068767908309456</v>
      </c>
      <c r="AT250" s="21">
        <f t="shared" si="399"/>
        <v>0.19642857142857142</v>
      </c>
      <c r="AU250" s="20">
        <f t="shared" si="400"/>
        <v>0.16666666666666666</v>
      </c>
      <c r="AV250" s="20">
        <f t="shared" si="401"/>
        <v>0.8035714285714286</v>
      </c>
      <c r="AW250" s="199">
        <f t="shared" si="402"/>
        <v>0.29464285714285715</v>
      </c>
      <c r="AX250" s="24">
        <f t="shared" si="403"/>
        <v>46.533333333333331</v>
      </c>
      <c r="AY250" s="5">
        <f t="shared" si="404"/>
        <v>1.2444444444444445</v>
      </c>
      <c r="AZ250" s="5">
        <f t="shared" si="405"/>
        <v>1.2</v>
      </c>
      <c r="BA250" s="5">
        <f t="shared" si="406"/>
        <v>-6.78</v>
      </c>
      <c r="BB250" s="5">
        <f t="shared" si="407"/>
        <v>-0.29140401146131806</v>
      </c>
      <c r="BC250" s="5">
        <f t="shared" si="408"/>
        <v>-6.78</v>
      </c>
      <c r="BD250" s="5">
        <f t="shared" si="409"/>
        <v>-0.29140401146131806</v>
      </c>
      <c r="BE250" s="199">
        <f t="shared" si="410"/>
        <v>-3.3899999999999997</v>
      </c>
      <c r="BF250" s="21">
        <f t="shared" si="411"/>
        <v>-0.1773940345368917</v>
      </c>
      <c r="BG250" s="6">
        <f t="shared" si="412"/>
        <v>1</v>
      </c>
      <c r="BH250" s="5">
        <f t="shared" si="413"/>
        <v>4.2979942693409746E-2</v>
      </c>
      <c r="BI250" s="6">
        <f t="shared" si="414"/>
        <v>0</v>
      </c>
      <c r="BJ250" s="5">
        <f t="shared" si="415"/>
        <v>0</v>
      </c>
      <c r="BK250" s="20">
        <f t="shared" si="416"/>
        <v>0</v>
      </c>
      <c r="BL250" s="20">
        <f t="shared" si="417"/>
        <v>3.0343897505057317E-2</v>
      </c>
      <c r="BM250" s="6">
        <f t="shared" si="418"/>
        <v>45</v>
      </c>
      <c r="BN250" s="5">
        <f t="shared" si="419"/>
        <v>1.9340974212034385</v>
      </c>
      <c r="BO250" s="333">
        <f t="shared" si="420"/>
        <v>0</v>
      </c>
      <c r="BP250" s="334">
        <f t="shared" si="421"/>
        <v>0</v>
      </c>
      <c r="BQ250" s="6">
        <f t="shared" si="422"/>
        <v>0</v>
      </c>
      <c r="BR250" s="5">
        <f t="shared" si="423"/>
        <v>0</v>
      </c>
      <c r="BS250" s="6">
        <f t="shared" si="424"/>
        <v>34.9</v>
      </c>
      <c r="BT250" s="5">
        <f t="shared" si="425"/>
        <v>1.5</v>
      </c>
      <c r="BU250" s="181">
        <f t="shared" si="426"/>
        <v>1</v>
      </c>
      <c r="BV250" s="154">
        <f t="shared" si="427"/>
        <v>4.2979942693409746E-2</v>
      </c>
      <c r="BW250" s="181">
        <f t="shared" si="428"/>
        <v>0</v>
      </c>
      <c r="BX250" s="180">
        <f t="shared" si="429"/>
        <v>0</v>
      </c>
      <c r="BY250" s="181">
        <f t="shared" si="430"/>
        <v>1</v>
      </c>
      <c r="BZ250" s="154">
        <f t="shared" si="431"/>
        <v>4.2979942693409746E-2</v>
      </c>
      <c r="CA250" s="182">
        <f t="shared" si="432"/>
        <v>0</v>
      </c>
      <c r="CB250" s="2">
        <f t="shared" si="433"/>
        <v>0</v>
      </c>
      <c r="CC250" s="2">
        <f t="shared" si="434"/>
        <v>0</v>
      </c>
      <c r="CD250" s="2">
        <f t="shared" si="435"/>
        <v>0</v>
      </c>
      <c r="CE250" s="2">
        <f t="shared" si="436"/>
        <v>14</v>
      </c>
      <c r="CF250" s="6">
        <f t="shared" si="437"/>
        <v>0</v>
      </c>
      <c r="CG250" s="6">
        <f t="shared" si="438"/>
        <v>557.995</v>
      </c>
      <c r="CH250" s="6">
        <f t="shared" si="439"/>
        <v>299</v>
      </c>
      <c r="CI250" s="20">
        <f t="shared" si="440"/>
        <v>0.53584709540408071</v>
      </c>
      <c r="CJ250" s="133">
        <f t="shared" si="441"/>
        <v>2521</v>
      </c>
      <c r="CK250" s="5">
        <f t="shared" si="442"/>
        <v>6.3</v>
      </c>
      <c r="CL250" s="300"/>
      <c r="CM250" s="296" t="s">
        <v>13</v>
      </c>
      <c r="CN250" s="296" t="s">
        <v>1593</v>
      </c>
      <c r="CO250" s="296">
        <v>23</v>
      </c>
      <c r="CP250" s="296" t="s">
        <v>1674</v>
      </c>
      <c r="CQ250" s="296" t="s">
        <v>1131</v>
      </c>
      <c r="CR250" s="296" t="s">
        <v>644</v>
      </c>
      <c r="CS250" s="296" t="s">
        <v>760</v>
      </c>
      <c r="CT250" s="296" t="s">
        <v>765</v>
      </c>
      <c r="CU250" s="297">
        <v>47118</v>
      </c>
      <c r="CV250" s="296">
        <v>0</v>
      </c>
      <c r="CW250" s="296">
        <v>2094</v>
      </c>
      <c r="CX250" s="296">
        <v>45</v>
      </c>
      <c r="CY250" s="296">
        <v>2</v>
      </c>
      <c r="CZ250" s="296">
        <v>2</v>
      </c>
      <c r="DA250" s="296">
        <v>7</v>
      </c>
      <c r="DB250" s="296">
        <v>0</v>
      </c>
      <c r="DC250" s="296">
        <v>0</v>
      </c>
      <c r="DD250" s="296">
        <v>1.5</v>
      </c>
      <c r="DE250" s="296">
        <v>2</v>
      </c>
      <c r="DF250" s="296">
        <v>0</v>
      </c>
      <c r="DG250" s="296">
        <v>0</v>
      </c>
      <c r="DH250" s="296">
        <v>0</v>
      </c>
      <c r="DI250" s="296">
        <v>14</v>
      </c>
      <c r="DJ250" s="296">
        <v>0</v>
      </c>
      <c r="DK250" s="296">
        <v>0</v>
      </c>
      <c r="DL250" s="296">
        <v>494</v>
      </c>
      <c r="DM250" s="296">
        <v>288</v>
      </c>
      <c r="DN250" s="296" t="s">
        <v>1675</v>
      </c>
      <c r="DO250" s="296">
        <v>0</v>
      </c>
      <c r="DP250" s="296">
        <v>0</v>
      </c>
      <c r="DQ250" s="296">
        <v>1</v>
      </c>
      <c r="DR250" s="296">
        <v>0</v>
      </c>
      <c r="DS250" s="296">
        <v>0</v>
      </c>
      <c r="DT250" s="296">
        <v>1</v>
      </c>
      <c r="DU250" s="296">
        <v>0</v>
      </c>
      <c r="DV250" s="301">
        <v>6.3</v>
      </c>
    </row>
    <row r="251" spans="1:126" ht="24.95" customHeight="1" thickBot="1" x14ac:dyDescent="0.3">
      <c r="A251" s="29" t="str">
        <f t="shared" si="354"/>
        <v>250º</v>
      </c>
      <c r="B251" s="69" t="str">
        <f t="shared" si="356"/>
        <v>André Ricardo</v>
      </c>
      <c r="C251" s="269" t="str">
        <f t="shared" si="357"/>
        <v>BRA</v>
      </c>
      <c r="D251" s="99" t="str">
        <f t="shared" si="358"/>
        <v>Pé Direito</v>
      </c>
      <c r="E251" s="28" t="str">
        <f t="shared" si="359"/>
        <v>Vilavelhense</v>
      </c>
      <c r="F251" s="169">
        <f t="shared" si="360"/>
        <v>19</v>
      </c>
      <c r="G251" s="2" t="str">
        <f t="shared" si="361"/>
        <v>0 €</v>
      </c>
      <c r="H251" s="154">
        <f t="shared" si="362"/>
        <v>1.88</v>
      </c>
      <c r="I251" s="64">
        <f t="shared" si="363"/>
        <v>47118</v>
      </c>
      <c r="J251" s="304" t="str">
        <f t="shared" si="364"/>
        <v>500 € p/m</v>
      </c>
      <c r="K251" s="96">
        <f t="shared" si="355"/>
        <v>3.5222222222222221</v>
      </c>
      <c r="L251" s="146">
        <f t="shared" si="365"/>
        <v>19.100000000000001</v>
      </c>
      <c r="M251" s="6">
        <f t="shared" si="366"/>
        <v>0</v>
      </c>
      <c r="N251" s="5">
        <f t="shared" si="367"/>
        <v>5400</v>
      </c>
      <c r="O251" s="21">
        <f t="shared" si="368"/>
        <v>0</v>
      </c>
      <c r="P251" s="2">
        <f t="shared" si="369"/>
        <v>400</v>
      </c>
      <c r="Q251" s="2">
        <f t="shared" si="370"/>
        <v>225</v>
      </c>
      <c r="R251" s="5">
        <f t="shared" si="371"/>
        <v>11.780104712041885</v>
      </c>
      <c r="S251" s="2">
        <f t="shared" si="372"/>
        <v>175</v>
      </c>
      <c r="T251" s="2">
        <f t="shared" si="373"/>
        <v>50</v>
      </c>
      <c r="U251" s="102">
        <f t="shared" si="374"/>
        <v>0.4375</v>
      </c>
      <c r="V251" s="102">
        <f t="shared" si="375"/>
        <v>0.5625</v>
      </c>
      <c r="W251" s="6">
        <f t="shared" si="376"/>
        <v>400</v>
      </c>
      <c r="X251" s="5">
        <f t="shared" si="377"/>
        <v>20.94240837696335</v>
      </c>
      <c r="Y251" s="6">
        <f t="shared" si="378"/>
        <v>0</v>
      </c>
      <c r="Z251" s="5">
        <f t="shared" si="379"/>
        <v>0</v>
      </c>
      <c r="AA251" s="21">
        <f t="shared" si="380"/>
        <v>0</v>
      </c>
      <c r="AB251" s="6">
        <f t="shared" si="381"/>
        <v>0</v>
      </c>
      <c r="AC251" s="5">
        <f t="shared" si="382"/>
        <v>0</v>
      </c>
      <c r="AD251" s="6">
        <f t="shared" si="383"/>
        <v>0</v>
      </c>
      <c r="AE251" s="5">
        <f t="shared" si="384"/>
        <v>0</v>
      </c>
      <c r="AF251" s="21">
        <f t="shared" si="385"/>
        <v>0</v>
      </c>
      <c r="AG251" s="6">
        <f t="shared" si="386"/>
        <v>0</v>
      </c>
      <c r="AH251" s="5">
        <f t="shared" si="387"/>
        <v>0</v>
      </c>
      <c r="AI251" s="21">
        <f t="shared" si="388"/>
        <v>0</v>
      </c>
      <c r="AJ251" s="6">
        <f t="shared" si="389"/>
        <v>0</v>
      </c>
      <c r="AK251" s="5">
        <f t="shared" si="390"/>
        <v>0</v>
      </c>
      <c r="AL251" s="21">
        <f t="shared" si="391"/>
        <v>0</v>
      </c>
      <c r="AM251" s="21">
        <f t="shared" si="392"/>
        <v>0.26178010471204188</v>
      </c>
      <c r="AN251" s="6">
        <f t="shared" si="393"/>
        <v>5</v>
      </c>
      <c r="AO251" s="5">
        <f t="shared" si="394"/>
        <v>0.26178010471204188</v>
      </c>
      <c r="AP251" s="6">
        <f t="shared" si="395"/>
        <v>0</v>
      </c>
      <c r="AQ251" s="5">
        <f t="shared" si="396"/>
        <v>0</v>
      </c>
      <c r="AR251" s="2">
        <f t="shared" si="397"/>
        <v>28</v>
      </c>
      <c r="AS251" s="5">
        <f t="shared" si="398"/>
        <v>1.4659685863874345</v>
      </c>
      <c r="AT251" s="21">
        <f t="shared" si="399"/>
        <v>0</v>
      </c>
      <c r="AU251" s="20">
        <f t="shared" si="400"/>
        <v>0</v>
      </c>
      <c r="AV251" s="20">
        <f t="shared" si="401"/>
        <v>1</v>
      </c>
      <c r="AW251" s="199">
        <f t="shared" si="402"/>
        <v>0</v>
      </c>
      <c r="AX251" s="24">
        <f t="shared" si="403"/>
        <v>61.392857142857146</v>
      </c>
      <c r="AY251" s="5">
        <f t="shared" si="404"/>
        <v>1</v>
      </c>
      <c r="AZ251" s="5">
        <f t="shared" si="405"/>
        <v>1</v>
      </c>
      <c r="BA251" s="5">
        <f t="shared" si="406"/>
        <v>0</v>
      </c>
      <c r="BB251" s="5">
        <f t="shared" si="407"/>
        <v>0</v>
      </c>
      <c r="BC251" s="5">
        <f t="shared" si="408"/>
        <v>0</v>
      </c>
      <c r="BD251" s="5">
        <f t="shared" si="409"/>
        <v>0</v>
      </c>
      <c r="BE251" s="199">
        <f t="shared" si="410"/>
        <v>0</v>
      </c>
      <c r="BF251" s="21">
        <f t="shared" si="411"/>
        <v>0</v>
      </c>
      <c r="BG251" s="6">
        <f t="shared" si="412"/>
        <v>0</v>
      </c>
      <c r="BH251" s="5">
        <f t="shared" si="413"/>
        <v>0</v>
      </c>
      <c r="BI251" s="6">
        <f t="shared" si="414"/>
        <v>0</v>
      </c>
      <c r="BJ251" s="5">
        <f t="shared" si="415"/>
        <v>0</v>
      </c>
      <c r="BK251" s="20">
        <f t="shared" si="416"/>
        <v>-9.9999999999999998E-13</v>
      </c>
      <c r="BL251" s="20">
        <f t="shared" si="417"/>
        <v>1.8880647336480108E-2</v>
      </c>
      <c r="BM251" s="6">
        <f t="shared" si="418"/>
        <v>28</v>
      </c>
      <c r="BN251" s="5">
        <f t="shared" si="419"/>
        <v>1.4659685863874345</v>
      </c>
      <c r="BO251" s="333">
        <f t="shared" si="420"/>
        <v>0</v>
      </c>
      <c r="BP251" s="334">
        <f t="shared" si="421"/>
        <v>0</v>
      </c>
      <c r="BQ251" s="6">
        <f t="shared" si="422"/>
        <v>0</v>
      </c>
      <c r="BR251" s="5">
        <f t="shared" si="423"/>
        <v>0</v>
      </c>
      <c r="BS251" s="6">
        <f t="shared" si="424"/>
        <v>0</v>
      </c>
      <c r="BT251" s="5">
        <f t="shared" si="425"/>
        <v>0</v>
      </c>
      <c r="BU251" s="181">
        <f t="shared" si="426"/>
        <v>0</v>
      </c>
      <c r="BV251" s="154">
        <f t="shared" si="427"/>
        <v>0</v>
      </c>
      <c r="BW251" s="181">
        <f t="shared" si="428"/>
        <v>0</v>
      </c>
      <c r="BX251" s="180">
        <f t="shared" si="429"/>
        <v>0</v>
      </c>
      <c r="BY251" s="181">
        <f t="shared" si="430"/>
        <v>0</v>
      </c>
      <c r="BZ251" s="154">
        <f t="shared" si="431"/>
        <v>0</v>
      </c>
      <c r="CA251" s="182">
        <f t="shared" si="432"/>
        <v>0</v>
      </c>
      <c r="CB251" s="2">
        <f t="shared" si="433"/>
        <v>0</v>
      </c>
      <c r="CC251" s="2">
        <f t="shared" si="434"/>
        <v>0</v>
      </c>
      <c r="CD251" s="2">
        <f t="shared" si="435"/>
        <v>0</v>
      </c>
      <c r="CE251" s="2">
        <f t="shared" si="436"/>
        <v>8</v>
      </c>
      <c r="CF251" s="6">
        <f t="shared" si="437"/>
        <v>0</v>
      </c>
      <c r="CG251" s="6">
        <f t="shared" si="438"/>
        <v>438</v>
      </c>
      <c r="CH251" s="6">
        <f t="shared" si="439"/>
        <v>225</v>
      </c>
      <c r="CI251" s="20">
        <f t="shared" si="440"/>
        <v>0.51369863013698636</v>
      </c>
      <c r="CJ251" s="133">
        <f t="shared" si="441"/>
        <v>2521</v>
      </c>
      <c r="CK251" s="5">
        <f t="shared" si="442"/>
        <v>5.68</v>
      </c>
      <c r="CL251" s="302"/>
      <c r="CM251" s="298" t="s">
        <v>13</v>
      </c>
      <c r="CN251" s="298" t="s">
        <v>1676</v>
      </c>
      <c r="CO251" s="298">
        <v>19</v>
      </c>
      <c r="CP251" s="298" t="s">
        <v>1677</v>
      </c>
      <c r="CQ251" s="298" t="s">
        <v>1131</v>
      </c>
      <c r="CR251" s="298" t="s">
        <v>644</v>
      </c>
      <c r="CS251" s="298" t="s">
        <v>760</v>
      </c>
      <c r="CT251" s="298" t="s">
        <v>552</v>
      </c>
      <c r="CU251" s="299">
        <v>47118</v>
      </c>
      <c r="CV251" s="298">
        <v>0</v>
      </c>
      <c r="CW251" s="298">
        <v>1719</v>
      </c>
      <c r="CX251" s="298">
        <v>28</v>
      </c>
      <c r="CY251" s="298">
        <v>0</v>
      </c>
      <c r="CZ251" s="298">
        <v>0</v>
      </c>
      <c r="DA251" s="298">
        <v>0</v>
      </c>
      <c r="DB251" s="298">
        <v>0</v>
      </c>
      <c r="DC251" s="298">
        <v>0</v>
      </c>
      <c r="DD251" s="298">
        <v>0</v>
      </c>
      <c r="DE251" s="298">
        <v>5</v>
      </c>
      <c r="DF251" s="298">
        <v>0</v>
      </c>
      <c r="DG251" s="298">
        <v>0</v>
      </c>
      <c r="DH251" s="298">
        <v>0</v>
      </c>
      <c r="DI251" s="298">
        <v>8</v>
      </c>
      <c r="DJ251" s="298">
        <v>0</v>
      </c>
      <c r="DK251" s="298">
        <v>0</v>
      </c>
      <c r="DL251" s="298">
        <v>400</v>
      </c>
      <c r="DM251" s="298">
        <v>225</v>
      </c>
      <c r="DN251" s="298">
        <v>0</v>
      </c>
      <c r="DO251" s="298">
        <v>0</v>
      </c>
      <c r="DP251" s="298">
        <v>0</v>
      </c>
      <c r="DQ251" s="298">
        <v>0</v>
      </c>
      <c r="DR251" s="298">
        <v>0</v>
      </c>
      <c r="DS251" s="298">
        <v>0</v>
      </c>
      <c r="DT251" s="298">
        <v>0</v>
      </c>
      <c r="DU251" s="298">
        <v>0</v>
      </c>
      <c r="DV251" s="303">
        <v>5.68</v>
      </c>
    </row>
    <row r="252" spans="1:126" ht="24.95" customHeight="1" thickBot="1" x14ac:dyDescent="0.3">
      <c r="A252" s="29" t="str">
        <f t="shared" si="354"/>
        <v>251º</v>
      </c>
      <c r="B252" s="69" t="str">
        <f t="shared" si="356"/>
        <v>João Pedro</v>
      </c>
      <c r="C252" s="269" t="str">
        <f t="shared" si="357"/>
        <v>BRA</v>
      </c>
      <c r="D252" s="99" t="str">
        <f t="shared" si="358"/>
        <v>Pé Direito</v>
      </c>
      <c r="E252" s="28" t="str">
        <f t="shared" si="359"/>
        <v>Nova Venecia</v>
      </c>
      <c r="F252" s="169">
        <f t="shared" si="360"/>
        <v>24</v>
      </c>
      <c r="G252" s="2" t="str">
        <f t="shared" si="361"/>
        <v>0 €</v>
      </c>
      <c r="H252" s="154">
        <f t="shared" si="362"/>
        <v>1.85</v>
      </c>
      <c r="I252" s="64">
        <f t="shared" si="363"/>
        <v>47118</v>
      </c>
      <c r="J252" s="304" t="str">
        <f t="shared" si="364"/>
        <v>500 € p/m</v>
      </c>
      <c r="K252" s="96">
        <f t="shared" si="355"/>
        <v>3.5222222222222221</v>
      </c>
      <c r="L252" s="146">
        <f t="shared" si="365"/>
        <v>26.411111111111111</v>
      </c>
      <c r="M252" s="6">
        <f t="shared" si="366"/>
        <v>1</v>
      </c>
      <c r="N252" s="5">
        <f t="shared" si="367"/>
        <v>2377</v>
      </c>
      <c r="O252" s="21">
        <f t="shared" si="368"/>
        <v>3.7862852334875893E-2</v>
      </c>
      <c r="P252" s="2">
        <f t="shared" si="369"/>
        <v>559</v>
      </c>
      <c r="Q252" s="2">
        <f t="shared" si="370"/>
        <v>319</v>
      </c>
      <c r="R252" s="5">
        <f t="shared" si="371"/>
        <v>12.07824989482541</v>
      </c>
      <c r="S252" s="2">
        <f t="shared" si="372"/>
        <v>240</v>
      </c>
      <c r="T252" s="2">
        <f t="shared" si="373"/>
        <v>79</v>
      </c>
      <c r="U252" s="102">
        <f t="shared" si="374"/>
        <v>0.42933810375670839</v>
      </c>
      <c r="V252" s="102">
        <f t="shared" si="375"/>
        <v>0.57066189624329156</v>
      </c>
      <c r="W252" s="6">
        <f t="shared" si="376"/>
        <v>559</v>
      </c>
      <c r="X252" s="5">
        <f t="shared" si="377"/>
        <v>21.165334455195623</v>
      </c>
      <c r="Y252" s="6">
        <f t="shared" si="378"/>
        <v>0</v>
      </c>
      <c r="Z252" s="5">
        <f t="shared" si="379"/>
        <v>0</v>
      </c>
      <c r="AA252" s="21">
        <f t="shared" si="380"/>
        <v>0</v>
      </c>
      <c r="AB252" s="6">
        <f t="shared" si="381"/>
        <v>0</v>
      </c>
      <c r="AC252" s="5">
        <f t="shared" si="382"/>
        <v>0</v>
      </c>
      <c r="AD252" s="6">
        <f t="shared" si="383"/>
        <v>1</v>
      </c>
      <c r="AE252" s="5">
        <f t="shared" si="384"/>
        <v>3.7862852334875893E-2</v>
      </c>
      <c r="AF252" s="21">
        <f t="shared" si="385"/>
        <v>0.125</v>
      </c>
      <c r="AG252" s="6">
        <f t="shared" si="386"/>
        <v>2</v>
      </c>
      <c r="AH252" s="5">
        <f t="shared" si="387"/>
        <v>7.5725704669751787E-2</v>
      </c>
      <c r="AI252" s="21">
        <f t="shared" si="388"/>
        <v>0.25</v>
      </c>
      <c r="AJ252" s="6">
        <f t="shared" si="389"/>
        <v>5</v>
      </c>
      <c r="AK252" s="5">
        <f t="shared" si="390"/>
        <v>0.41396725879484503</v>
      </c>
      <c r="AL252" s="21">
        <f t="shared" si="391"/>
        <v>0.625</v>
      </c>
      <c r="AM252" s="21">
        <f t="shared" si="392"/>
        <v>0.18931426167437948</v>
      </c>
      <c r="AN252" s="6">
        <f t="shared" si="393"/>
        <v>5</v>
      </c>
      <c r="AO252" s="5">
        <f t="shared" si="394"/>
        <v>0.18931426167437948</v>
      </c>
      <c r="AP252" s="6">
        <f t="shared" si="395"/>
        <v>8</v>
      </c>
      <c r="AQ252" s="5">
        <f t="shared" si="396"/>
        <v>0.30290281867900715</v>
      </c>
      <c r="AR252" s="2">
        <f t="shared" si="397"/>
        <v>49</v>
      </c>
      <c r="AS252" s="5">
        <f t="shared" si="398"/>
        <v>1.8552797644089187</v>
      </c>
      <c r="AT252" s="21">
        <f t="shared" si="399"/>
        <v>0.16326530612244897</v>
      </c>
      <c r="AU252" s="20">
        <f t="shared" si="400"/>
        <v>0.14583333333333334</v>
      </c>
      <c r="AV252" s="20">
        <f t="shared" si="401"/>
        <v>0.83673469387755106</v>
      </c>
      <c r="AW252" s="199">
        <f t="shared" si="402"/>
        <v>0.25510204081632654</v>
      </c>
      <c r="AX252" s="24">
        <f t="shared" si="403"/>
        <v>57.975609756097562</v>
      </c>
      <c r="AY252" s="5">
        <f t="shared" si="404"/>
        <v>1.1951219512195121</v>
      </c>
      <c r="AZ252" s="5">
        <f t="shared" si="405"/>
        <v>1.1707317073170731</v>
      </c>
      <c r="BA252" s="5">
        <f t="shared" si="406"/>
        <v>-3.73</v>
      </c>
      <c r="BB252" s="5">
        <f t="shared" si="407"/>
        <v>-0.14122843920908709</v>
      </c>
      <c r="BC252" s="5">
        <f t="shared" si="408"/>
        <v>-3.73</v>
      </c>
      <c r="BD252" s="5">
        <f t="shared" si="409"/>
        <v>-0.14122843920908709</v>
      </c>
      <c r="BE252" s="199">
        <f t="shared" si="410"/>
        <v>-0.746</v>
      </c>
      <c r="BF252" s="21">
        <f t="shared" si="411"/>
        <v>-0.10008049369466057</v>
      </c>
      <c r="BG252" s="6">
        <f t="shared" si="412"/>
        <v>1</v>
      </c>
      <c r="BH252" s="5">
        <f t="shared" si="413"/>
        <v>3.7862852334875893E-2</v>
      </c>
      <c r="BI252" s="6">
        <f t="shared" si="414"/>
        <v>0</v>
      </c>
      <c r="BJ252" s="5">
        <f t="shared" si="415"/>
        <v>0</v>
      </c>
      <c r="BK252" s="20">
        <f t="shared" si="416"/>
        <v>0</v>
      </c>
      <c r="BL252" s="20">
        <f t="shared" si="417"/>
        <v>2.7646662171274445E-2</v>
      </c>
      <c r="BM252" s="6">
        <f t="shared" si="418"/>
        <v>41</v>
      </c>
      <c r="BN252" s="5">
        <f t="shared" si="419"/>
        <v>1.5523769457299117</v>
      </c>
      <c r="BO252" s="333">
        <f t="shared" si="420"/>
        <v>0</v>
      </c>
      <c r="BP252" s="334">
        <f t="shared" si="421"/>
        <v>0</v>
      </c>
      <c r="BQ252" s="6">
        <f t="shared" si="422"/>
        <v>13.205555555555556</v>
      </c>
      <c r="BR252" s="5">
        <f t="shared" si="423"/>
        <v>0.5</v>
      </c>
      <c r="BS252" s="6">
        <f t="shared" si="424"/>
        <v>44.898888888888891</v>
      </c>
      <c r="BT252" s="5">
        <f t="shared" si="425"/>
        <v>1.7</v>
      </c>
      <c r="BU252" s="181">
        <f t="shared" si="426"/>
        <v>1</v>
      </c>
      <c r="BV252" s="154">
        <f t="shared" si="427"/>
        <v>3.7862852334875893E-2</v>
      </c>
      <c r="BW252" s="181">
        <f t="shared" si="428"/>
        <v>0</v>
      </c>
      <c r="BX252" s="180">
        <f t="shared" si="429"/>
        <v>0</v>
      </c>
      <c r="BY252" s="181">
        <f t="shared" si="430"/>
        <v>1</v>
      </c>
      <c r="BZ252" s="154">
        <f t="shared" si="431"/>
        <v>3.7862852334875893E-2</v>
      </c>
      <c r="CA252" s="182">
        <f t="shared" si="432"/>
        <v>0</v>
      </c>
      <c r="CB252" s="2">
        <f t="shared" si="433"/>
        <v>0</v>
      </c>
      <c r="CC252" s="2">
        <f t="shared" si="434"/>
        <v>1</v>
      </c>
      <c r="CD252" s="2">
        <f t="shared" si="435"/>
        <v>1</v>
      </c>
      <c r="CE252" s="2">
        <f t="shared" si="436"/>
        <v>4</v>
      </c>
      <c r="CF252" s="6">
        <f t="shared" si="437"/>
        <v>0</v>
      </c>
      <c r="CG252" s="6">
        <f t="shared" si="438"/>
        <v>622.26099999999997</v>
      </c>
      <c r="CH252" s="6">
        <f t="shared" si="439"/>
        <v>327</v>
      </c>
      <c r="CI252" s="20">
        <f t="shared" si="440"/>
        <v>0.52550296419026743</v>
      </c>
      <c r="CJ252" s="133">
        <f t="shared" si="441"/>
        <v>2521</v>
      </c>
      <c r="CK252" s="5">
        <f t="shared" si="442"/>
        <v>6.59</v>
      </c>
      <c r="CL252" s="300" t="s">
        <v>19</v>
      </c>
      <c r="CM252" s="296" t="s">
        <v>13</v>
      </c>
      <c r="CN252" s="296" t="s">
        <v>1678</v>
      </c>
      <c r="CO252" s="296">
        <v>24</v>
      </c>
      <c r="CP252" s="296" t="s">
        <v>585</v>
      </c>
      <c r="CQ252" s="296" t="s">
        <v>1131</v>
      </c>
      <c r="CR252" s="296" t="s">
        <v>644</v>
      </c>
      <c r="CS252" s="296" t="s">
        <v>760</v>
      </c>
      <c r="CT252" s="296" t="s">
        <v>587</v>
      </c>
      <c r="CU252" s="297">
        <v>47118</v>
      </c>
      <c r="CV252" s="296">
        <v>1</v>
      </c>
      <c r="CW252" s="296">
        <v>2377</v>
      </c>
      <c r="CX252" s="296">
        <v>41</v>
      </c>
      <c r="CY252" s="296">
        <v>1</v>
      </c>
      <c r="CZ252" s="296">
        <v>2</v>
      </c>
      <c r="DA252" s="296">
        <v>5</v>
      </c>
      <c r="DB252" s="296">
        <v>0</v>
      </c>
      <c r="DC252" s="296">
        <v>0.5</v>
      </c>
      <c r="DD252" s="296">
        <v>1.7</v>
      </c>
      <c r="DE252" s="296">
        <v>5</v>
      </c>
      <c r="DF252" s="296">
        <v>0</v>
      </c>
      <c r="DG252" s="296">
        <v>1</v>
      </c>
      <c r="DH252" s="296">
        <v>0</v>
      </c>
      <c r="DI252" s="296">
        <v>4</v>
      </c>
      <c r="DJ252" s="296">
        <v>0</v>
      </c>
      <c r="DK252" s="296">
        <v>0</v>
      </c>
      <c r="DL252" s="296">
        <v>559</v>
      </c>
      <c r="DM252" s="296">
        <v>319</v>
      </c>
      <c r="DN252" s="296" t="s">
        <v>1679</v>
      </c>
      <c r="DO252" s="296">
        <v>0</v>
      </c>
      <c r="DP252" s="296">
        <v>0</v>
      </c>
      <c r="DQ252" s="296">
        <v>1</v>
      </c>
      <c r="DR252" s="296">
        <v>0</v>
      </c>
      <c r="DS252" s="296">
        <v>0</v>
      </c>
      <c r="DT252" s="296">
        <v>1</v>
      </c>
      <c r="DU252" s="296">
        <v>0</v>
      </c>
      <c r="DV252" s="301">
        <v>6.59</v>
      </c>
    </row>
    <row r="253" spans="1:126" ht="24.95" customHeight="1" thickBot="1" x14ac:dyDescent="0.3">
      <c r="A253" s="29" t="str">
        <f t="shared" si="354"/>
        <v>252º</v>
      </c>
      <c r="B253" s="69" t="str">
        <f t="shared" si="356"/>
        <v>Danilo</v>
      </c>
      <c r="C253" s="269" t="str">
        <f t="shared" si="357"/>
        <v>BRA</v>
      </c>
      <c r="D253" s="99" t="str">
        <f t="shared" si="358"/>
        <v>Pé Direito</v>
      </c>
      <c r="E253" s="28" t="str">
        <f t="shared" si="359"/>
        <v>Esportivo</v>
      </c>
      <c r="F253" s="169">
        <f t="shared" si="360"/>
        <v>18</v>
      </c>
      <c r="G253" s="2" t="str">
        <f t="shared" si="361"/>
        <v>0 €</v>
      </c>
      <c r="H253" s="154">
        <f t="shared" si="362"/>
        <v>1.9</v>
      </c>
      <c r="I253" s="64">
        <f t="shared" si="363"/>
        <v>47118</v>
      </c>
      <c r="J253" s="304" t="str">
        <f t="shared" si="364"/>
        <v>500 € p/m</v>
      </c>
      <c r="K253" s="96">
        <f t="shared" si="355"/>
        <v>3.5222222222222221</v>
      </c>
      <c r="L253" s="146">
        <f t="shared" si="365"/>
        <v>1</v>
      </c>
      <c r="M253" s="6">
        <f t="shared" si="366"/>
        <v>0</v>
      </c>
      <c r="N253" s="5">
        <f t="shared" si="367"/>
        <v>5400</v>
      </c>
      <c r="O253" s="21">
        <f t="shared" si="368"/>
        <v>0</v>
      </c>
      <c r="P253" s="2">
        <f t="shared" si="369"/>
        <v>25</v>
      </c>
      <c r="Q253" s="2">
        <f t="shared" si="370"/>
        <v>14</v>
      </c>
      <c r="R253" s="5">
        <f t="shared" si="371"/>
        <v>14</v>
      </c>
      <c r="S253" s="2">
        <f t="shared" si="372"/>
        <v>11</v>
      </c>
      <c r="T253" s="2">
        <f t="shared" si="373"/>
        <v>3</v>
      </c>
      <c r="U253" s="102">
        <f t="shared" si="374"/>
        <v>0.44</v>
      </c>
      <c r="V253" s="102">
        <f t="shared" si="375"/>
        <v>0.56000000000000005</v>
      </c>
      <c r="W253" s="6">
        <f t="shared" si="376"/>
        <v>25</v>
      </c>
      <c r="X253" s="5">
        <f t="shared" si="377"/>
        <v>25</v>
      </c>
      <c r="Y253" s="6">
        <f t="shared" si="378"/>
        <v>0</v>
      </c>
      <c r="Z253" s="5">
        <f t="shared" si="379"/>
        <v>0</v>
      </c>
      <c r="AA253" s="21">
        <f t="shared" si="380"/>
        <v>0</v>
      </c>
      <c r="AB253" s="6">
        <f t="shared" si="381"/>
        <v>0</v>
      </c>
      <c r="AC253" s="5">
        <f t="shared" si="382"/>
        <v>0</v>
      </c>
      <c r="AD253" s="6">
        <f t="shared" si="383"/>
        <v>1</v>
      </c>
      <c r="AE253" s="5">
        <f t="shared" si="384"/>
        <v>1</v>
      </c>
      <c r="AF253" s="21">
        <f t="shared" si="385"/>
        <v>0.25</v>
      </c>
      <c r="AG253" s="6">
        <f t="shared" si="386"/>
        <v>1</v>
      </c>
      <c r="AH253" s="5">
        <f t="shared" si="387"/>
        <v>1</v>
      </c>
      <c r="AI253" s="21">
        <f t="shared" si="388"/>
        <v>0.25</v>
      </c>
      <c r="AJ253" s="6">
        <f t="shared" si="389"/>
        <v>2</v>
      </c>
      <c r="AK253" s="5">
        <f t="shared" si="390"/>
        <v>0.14285714285714285</v>
      </c>
      <c r="AL253" s="21">
        <f t="shared" si="391"/>
        <v>0.5</v>
      </c>
      <c r="AM253" s="21">
        <f t="shared" si="392"/>
        <v>0</v>
      </c>
      <c r="AN253" s="6">
        <f t="shared" si="393"/>
        <v>0</v>
      </c>
      <c r="AO253" s="5">
        <f t="shared" si="394"/>
        <v>0</v>
      </c>
      <c r="AP253" s="6">
        <f t="shared" si="395"/>
        <v>4</v>
      </c>
      <c r="AQ253" s="5">
        <f t="shared" si="396"/>
        <v>4</v>
      </c>
      <c r="AR253" s="2">
        <f t="shared" si="397"/>
        <v>7</v>
      </c>
      <c r="AS253" s="5">
        <f t="shared" si="398"/>
        <v>7</v>
      </c>
      <c r="AT253" s="21">
        <f t="shared" si="399"/>
        <v>0.5714285714285714</v>
      </c>
      <c r="AU253" s="20">
        <f t="shared" si="400"/>
        <v>0.5</v>
      </c>
      <c r="AV253" s="20">
        <f t="shared" si="401"/>
        <v>0.42857142857142855</v>
      </c>
      <c r="AW253" s="199">
        <f t="shared" si="402"/>
        <v>0.8571428571428571</v>
      </c>
      <c r="AX253" s="24">
        <f t="shared" si="403"/>
        <v>30</v>
      </c>
      <c r="AY253" s="5">
        <f t="shared" si="404"/>
        <v>2.3333333333333335</v>
      </c>
      <c r="AZ253" s="5">
        <f t="shared" si="405"/>
        <v>2</v>
      </c>
      <c r="BA253" s="5">
        <f t="shared" si="406"/>
        <v>-1.3</v>
      </c>
      <c r="BB253" s="5">
        <f t="shared" si="407"/>
        <v>-1.3</v>
      </c>
      <c r="BC253" s="5">
        <f t="shared" si="408"/>
        <v>-1.3</v>
      </c>
      <c r="BD253" s="5">
        <f t="shared" si="409"/>
        <v>-1.3</v>
      </c>
      <c r="BE253" s="199">
        <f t="shared" si="410"/>
        <v>-1.3</v>
      </c>
      <c r="BF253" s="21">
        <f t="shared" si="411"/>
        <v>-0.76470588235294124</v>
      </c>
      <c r="BG253" s="6">
        <f t="shared" si="412"/>
        <v>0</v>
      </c>
      <c r="BH253" s="5">
        <f t="shared" si="413"/>
        <v>0</v>
      </c>
      <c r="BI253" s="6">
        <f t="shared" si="414"/>
        <v>0</v>
      </c>
      <c r="BJ253" s="5">
        <f t="shared" si="415"/>
        <v>0</v>
      </c>
      <c r="BK253" s="20">
        <f t="shared" si="416"/>
        <v>-9.9999999999999998E-13</v>
      </c>
      <c r="BL253" s="20">
        <f t="shared" si="417"/>
        <v>2.0229265003371545E-3</v>
      </c>
      <c r="BM253" s="6">
        <f t="shared" si="418"/>
        <v>3</v>
      </c>
      <c r="BN253" s="5">
        <f t="shared" si="419"/>
        <v>3</v>
      </c>
      <c r="BO253" s="333">
        <f t="shared" si="420"/>
        <v>0</v>
      </c>
      <c r="BP253" s="334">
        <f t="shared" si="421"/>
        <v>0</v>
      </c>
      <c r="BQ253" s="6">
        <f t="shared" si="422"/>
        <v>2</v>
      </c>
      <c r="BR253" s="5">
        <f t="shared" si="423"/>
        <v>2</v>
      </c>
      <c r="BS253" s="6">
        <f t="shared" si="424"/>
        <v>7</v>
      </c>
      <c r="BT253" s="5">
        <f t="shared" si="425"/>
        <v>7</v>
      </c>
      <c r="BU253" s="181">
        <f t="shared" si="426"/>
        <v>0</v>
      </c>
      <c r="BV253" s="154">
        <f t="shared" si="427"/>
        <v>0</v>
      </c>
      <c r="BW253" s="181">
        <f t="shared" si="428"/>
        <v>0</v>
      </c>
      <c r="BX253" s="180">
        <f t="shared" si="429"/>
        <v>0</v>
      </c>
      <c r="BY253" s="181">
        <f t="shared" si="430"/>
        <v>0</v>
      </c>
      <c r="BZ253" s="154">
        <f t="shared" si="431"/>
        <v>0</v>
      </c>
      <c r="CA253" s="182">
        <f t="shared" si="432"/>
        <v>0</v>
      </c>
      <c r="CB253" s="2">
        <f t="shared" si="433"/>
        <v>0</v>
      </c>
      <c r="CC253" s="2">
        <f t="shared" si="434"/>
        <v>0</v>
      </c>
      <c r="CD253" s="2">
        <f t="shared" si="435"/>
        <v>0</v>
      </c>
      <c r="CE253" s="2">
        <f t="shared" si="436"/>
        <v>0</v>
      </c>
      <c r="CF253" s="6">
        <f t="shared" si="437"/>
        <v>0</v>
      </c>
      <c r="CG253" s="6">
        <f t="shared" si="438"/>
        <v>41.31</v>
      </c>
      <c r="CH253" s="6">
        <f t="shared" si="439"/>
        <v>18</v>
      </c>
      <c r="CI253" s="20">
        <f t="shared" si="440"/>
        <v>0.43572984749455335</v>
      </c>
      <c r="CJ253" s="133">
        <f t="shared" si="441"/>
        <v>2521</v>
      </c>
      <c r="CK253" s="5">
        <f t="shared" si="442"/>
        <v>5.6</v>
      </c>
      <c r="CL253" s="302" t="s">
        <v>1235</v>
      </c>
      <c r="CM253" s="298" t="s">
        <v>13</v>
      </c>
      <c r="CN253" s="298" t="s">
        <v>1680</v>
      </c>
      <c r="CO253" s="298">
        <v>18</v>
      </c>
      <c r="CP253" s="298" t="s">
        <v>1681</v>
      </c>
      <c r="CQ253" s="298" t="s">
        <v>1131</v>
      </c>
      <c r="CR253" s="298" t="s">
        <v>644</v>
      </c>
      <c r="CS253" s="298" t="s">
        <v>760</v>
      </c>
      <c r="CT253" s="298" t="s">
        <v>682</v>
      </c>
      <c r="CU253" s="299">
        <v>47118</v>
      </c>
      <c r="CV253" s="298">
        <v>0</v>
      </c>
      <c r="CW253" s="298">
        <v>90</v>
      </c>
      <c r="CX253" s="298">
        <v>3</v>
      </c>
      <c r="CY253" s="298">
        <v>1</v>
      </c>
      <c r="CZ253" s="298">
        <v>1</v>
      </c>
      <c r="DA253" s="298">
        <v>2</v>
      </c>
      <c r="DB253" s="298">
        <v>0</v>
      </c>
      <c r="DC253" s="298">
        <v>2</v>
      </c>
      <c r="DD253" s="298">
        <v>7</v>
      </c>
      <c r="DE253" s="298">
        <v>0</v>
      </c>
      <c r="DF253" s="298">
        <v>0</v>
      </c>
      <c r="DG253" s="298">
        <v>0</v>
      </c>
      <c r="DH253" s="298">
        <v>0</v>
      </c>
      <c r="DI253" s="298">
        <v>0</v>
      </c>
      <c r="DJ253" s="298">
        <v>0</v>
      </c>
      <c r="DK253" s="298">
        <v>0</v>
      </c>
      <c r="DL253" s="298">
        <v>25</v>
      </c>
      <c r="DM253" s="298">
        <v>14</v>
      </c>
      <c r="DN253" s="298" t="s">
        <v>1682</v>
      </c>
      <c r="DO253" s="298">
        <v>0</v>
      </c>
      <c r="DP253" s="298">
        <v>0</v>
      </c>
      <c r="DQ253" s="298">
        <v>0</v>
      </c>
      <c r="DR253" s="298">
        <v>0</v>
      </c>
      <c r="DS253" s="298">
        <v>0</v>
      </c>
      <c r="DT253" s="298">
        <v>0</v>
      </c>
      <c r="DU253" s="298">
        <v>0</v>
      </c>
      <c r="DV253" s="303">
        <v>5.6</v>
      </c>
    </row>
    <row r="254" spans="1:126" ht="24.95" customHeight="1" thickBot="1" x14ac:dyDescent="0.3">
      <c r="A254" s="29" t="str">
        <f t="shared" si="354"/>
        <v>253º</v>
      </c>
      <c r="B254" s="69" t="str">
        <f t="shared" si="356"/>
        <v>José Romário Antunes</v>
      </c>
      <c r="C254" s="269" t="str">
        <f t="shared" si="357"/>
        <v>BRA</v>
      </c>
      <c r="D254" s="99" t="str">
        <f t="shared" si="358"/>
        <v>Pé Direito</v>
      </c>
      <c r="E254" s="28" t="str">
        <f t="shared" si="359"/>
        <v>Grêmio Anápolis</v>
      </c>
      <c r="F254" s="169">
        <f t="shared" si="360"/>
        <v>25</v>
      </c>
      <c r="G254" s="2" t="str">
        <f t="shared" si="361"/>
        <v>0 €</v>
      </c>
      <c r="H254" s="154">
        <f t="shared" si="362"/>
        <v>1.88</v>
      </c>
      <c r="I254" s="64">
        <f t="shared" si="363"/>
        <v>47118</v>
      </c>
      <c r="J254" s="304" t="str">
        <f t="shared" si="364"/>
        <v>550 € p/m</v>
      </c>
      <c r="K254" s="96">
        <f t="shared" si="355"/>
        <v>3.5222222222222221</v>
      </c>
      <c r="L254" s="146">
        <f t="shared" si="365"/>
        <v>21.633333333333333</v>
      </c>
      <c r="M254" s="6">
        <f t="shared" si="366"/>
        <v>1</v>
      </c>
      <c r="N254" s="5">
        <f t="shared" si="367"/>
        <v>1947</v>
      </c>
      <c r="O254" s="21">
        <f t="shared" si="368"/>
        <v>4.6224961479198766E-2</v>
      </c>
      <c r="P254" s="2">
        <f t="shared" si="369"/>
        <v>476</v>
      </c>
      <c r="Q254" s="2">
        <f t="shared" si="370"/>
        <v>307</v>
      </c>
      <c r="R254" s="5">
        <f t="shared" si="371"/>
        <v>14.191063174114023</v>
      </c>
      <c r="S254" s="2">
        <f t="shared" si="372"/>
        <v>169</v>
      </c>
      <c r="T254" s="2">
        <f t="shared" si="373"/>
        <v>138</v>
      </c>
      <c r="U254" s="102">
        <f t="shared" si="374"/>
        <v>0.3550420168067227</v>
      </c>
      <c r="V254" s="102">
        <f t="shared" si="375"/>
        <v>0.64495798319327735</v>
      </c>
      <c r="W254" s="6">
        <f t="shared" si="376"/>
        <v>476</v>
      </c>
      <c r="X254" s="5">
        <f t="shared" si="377"/>
        <v>22.003081664098612</v>
      </c>
      <c r="Y254" s="6">
        <f t="shared" si="378"/>
        <v>0</v>
      </c>
      <c r="Z254" s="5">
        <f t="shared" si="379"/>
        <v>0</v>
      </c>
      <c r="AA254" s="21">
        <f t="shared" si="380"/>
        <v>0</v>
      </c>
      <c r="AB254" s="6">
        <f t="shared" si="381"/>
        <v>0</v>
      </c>
      <c r="AC254" s="5">
        <f t="shared" si="382"/>
        <v>0</v>
      </c>
      <c r="AD254" s="6">
        <f t="shared" si="383"/>
        <v>1</v>
      </c>
      <c r="AE254" s="5">
        <f t="shared" si="384"/>
        <v>4.6224961479198766E-2</v>
      </c>
      <c r="AF254" s="21">
        <f t="shared" si="385"/>
        <v>0.25</v>
      </c>
      <c r="AG254" s="6">
        <f t="shared" si="386"/>
        <v>0</v>
      </c>
      <c r="AH254" s="5">
        <f t="shared" si="387"/>
        <v>0</v>
      </c>
      <c r="AI254" s="21">
        <f t="shared" si="388"/>
        <v>0</v>
      </c>
      <c r="AJ254" s="6">
        <f t="shared" si="389"/>
        <v>3</v>
      </c>
      <c r="AK254" s="5">
        <f t="shared" si="390"/>
        <v>0.21140065146579803</v>
      </c>
      <c r="AL254" s="21">
        <f t="shared" si="391"/>
        <v>0.75</v>
      </c>
      <c r="AM254" s="21">
        <f t="shared" si="392"/>
        <v>0.32357473035439138</v>
      </c>
      <c r="AN254" s="6">
        <f t="shared" si="393"/>
        <v>7</v>
      </c>
      <c r="AO254" s="5">
        <f t="shared" si="394"/>
        <v>0.32357473035439138</v>
      </c>
      <c r="AP254" s="6">
        <f t="shared" si="395"/>
        <v>4</v>
      </c>
      <c r="AQ254" s="5">
        <f t="shared" si="396"/>
        <v>0.18489984591679506</v>
      </c>
      <c r="AR254" s="2">
        <f t="shared" si="397"/>
        <v>30</v>
      </c>
      <c r="AS254" s="5">
        <f t="shared" si="398"/>
        <v>1.386748844375963</v>
      </c>
      <c r="AT254" s="21">
        <f t="shared" si="399"/>
        <v>0.13333333333333333</v>
      </c>
      <c r="AU254" s="20">
        <f t="shared" si="400"/>
        <v>0.13793103448275862</v>
      </c>
      <c r="AV254" s="20">
        <f t="shared" si="401"/>
        <v>0.8666666666666667</v>
      </c>
      <c r="AW254" s="199">
        <f t="shared" si="402"/>
        <v>0.18333333333333332</v>
      </c>
      <c r="AX254" s="24">
        <f t="shared" si="403"/>
        <v>74.884615384615387</v>
      </c>
      <c r="AY254" s="5">
        <f t="shared" si="404"/>
        <v>1.1538461538461537</v>
      </c>
      <c r="AZ254" s="5">
        <f t="shared" si="405"/>
        <v>1.1153846153846154</v>
      </c>
      <c r="BA254" s="5">
        <f t="shared" si="406"/>
        <v>-1.1399999999999999</v>
      </c>
      <c r="BB254" s="5">
        <f t="shared" si="407"/>
        <v>-5.2696456086286592E-2</v>
      </c>
      <c r="BC254" s="5">
        <f t="shared" si="408"/>
        <v>-1.93</v>
      </c>
      <c r="BD254" s="5">
        <f t="shared" si="409"/>
        <v>-8.9214175654853622E-2</v>
      </c>
      <c r="BE254" s="199">
        <f t="shared" si="410"/>
        <v>-0.16285714285714284</v>
      </c>
      <c r="BF254" s="21">
        <f t="shared" si="411"/>
        <v>-4.5856798069187445E-2</v>
      </c>
      <c r="BG254" s="6">
        <f t="shared" si="412"/>
        <v>1</v>
      </c>
      <c r="BH254" s="5">
        <f t="shared" si="413"/>
        <v>4.6224961479198766E-2</v>
      </c>
      <c r="BI254" s="6">
        <f t="shared" si="414"/>
        <v>1</v>
      </c>
      <c r="BJ254" s="5">
        <f t="shared" si="415"/>
        <v>4.6224961479198766E-2</v>
      </c>
      <c r="BK254" s="20">
        <f t="shared" si="416"/>
        <v>1</v>
      </c>
      <c r="BL254" s="20">
        <f t="shared" si="417"/>
        <v>1.753202966958867E-2</v>
      </c>
      <c r="BM254" s="6">
        <f t="shared" si="418"/>
        <v>26</v>
      </c>
      <c r="BN254" s="5">
        <f t="shared" si="419"/>
        <v>1.201848998459168</v>
      </c>
      <c r="BO254" s="333">
        <f t="shared" si="420"/>
        <v>0</v>
      </c>
      <c r="BP254" s="334">
        <f t="shared" si="421"/>
        <v>0</v>
      </c>
      <c r="BQ254" s="6">
        <f t="shared" si="422"/>
        <v>2.1633333333333336</v>
      </c>
      <c r="BR254" s="5">
        <f t="shared" si="423"/>
        <v>0.1</v>
      </c>
      <c r="BS254" s="6">
        <f t="shared" si="424"/>
        <v>17.306666666666668</v>
      </c>
      <c r="BT254" s="5">
        <f t="shared" si="425"/>
        <v>0.8</v>
      </c>
      <c r="BU254" s="181">
        <f t="shared" si="426"/>
        <v>2</v>
      </c>
      <c r="BV254" s="154">
        <f t="shared" si="427"/>
        <v>9.2449922958397532E-2</v>
      </c>
      <c r="BW254" s="181">
        <f t="shared" si="428"/>
        <v>1</v>
      </c>
      <c r="BX254" s="180">
        <f t="shared" si="429"/>
        <v>4.6224961479198766E-2</v>
      </c>
      <c r="BY254" s="181">
        <f t="shared" si="430"/>
        <v>1</v>
      </c>
      <c r="BZ254" s="154">
        <f t="shared" si="431"/>
        <v>4.6224961479198766E-2</v>
      </c>
      <c r="CA254" s="182">
        <f t="shared" si="432"/>
        <v>0.5</v>
      </c>
      <c r="CB254" s="2">
        <f t="shared" si="433"/>
        <v>1</v>
      </c>
      <c r="CC254" s="2">
        <f t="shared" si="434"/>
        <v>0</v>
      </c>
      <c r="CD254" s="2">
        <f t="shared" si="435"/>
        <v>1</v>
      </c>
      <c r="CE254" s="2">
        <f t="shared" si="436"/>
        <v>10</v>
      </c>
      <c r="CF254" s="6">
        <f t="shared" si="437"/>
        <v>1</v>
      </c>
      <c r="CG254" s="6">
        <f t="shared" si="438"/>
        <v>524.06400000000008</v>
      </c>
      <c r="CH254" s="6">
        <f t="shared" si="439"/>
        <v>313</v>
      </c>
      <c r="CI254" s="20">
        <f t="shared" si="440"/>
        <v>0.5972552970629541</v>
      </c>
      <c r="CJ254" s="133">
        <f t="shared" si="441"/>
        <v>2521</v>
      </c>
      <c r="CK254" s="5">
        <f t="shared" si="442"/>
        <v>7.14</v>
      </c>
      <c r="CL254" s="300" t="s">
        <v>19</v>
      </c>
      <c r="CM254" s="296" t="s">
        <v>13</v>
      </c>
      <c r="CN254" s="296" t="s">
        <v>1683</v>
      </c>
      <c r="CO254" s="296">
        <v>25</v>
      </c>
      <c r="CP254" s="296" t="s">
        <v>1684</v>
      </c>
      <c r="CQ254" s="296" t="s">
        <v>1131</v>
      </c>
      <c r="CR254" s="296" t="s">
        <v>644</v>
      </c>
      <c r="CS254" s="296" t="s">
        <v>1375</v>
      </c>
      <c r="CT254" s="296" t="s">
        <v>552</v>
      </c>
      <c r="CU254" s="297">
        <v>47118</v>
      </c>
      <c r="CV254" s="296">
        <v>1</v>
      </c>
      <c r="CW254" s="296">
        <v>1947</v>
      </c>
      <c r="CX254" s="296">
        <v>26</v>
      </c>
      <c r="CY254" s="296">
        <v>1</v>
      </c>
      <c r="CZ254" s="296">
        <v>0</v>
      </c>
      <c r="DA254" s="296">
        <v>3</v>
      </c>
      <c r="DB254" s="296">
        <v>0</v>
      </c>
      <c r="DC254" s="296">
        <v>0.1</v>
      </c>
      <c r="DD254" s="296">
        <v>0.8</v>
      </c>
      <c r="DE254" s="296">
        <v>7</v>
      </c>
      <c r="DF254" s="296">
        <v>1</v>
      </c>
      <c r="DG254" s="296">
        <v>0</v>
      </c>
      <c r="DH254" s="296">
        <v>1</v>
      </c>
      <c r="DI254" s="296">
        <v>10</v>
      </c>
      <c r="DJ254" s="296">
        <v>0</v>
      </c>
      <c r="DK254" s="296">
        <v>0</v>
      </c>
      <c r="DL254" s="296">
        <v>476</v>
      </c>
      <c r="DM254" s="296">
        <v>307</v>
      </c>
      <c r="DN254" s="296" t="s">
        <v>1685</v>
      </c>
      <c r="DO254" s="296">
        <v>0</v>
      </c>
      <c r="DP254" s="296">
        <v>0</v>
      </c>
      <c r="DQ254" s="296">
        <v>1</v>
      </c>
      <c r="DR254" s="296">
        <v>1</v>
      </c>
      <c r="DS254" s="296">
        <v>0</v>
      </c>
      <c r="DT254" s="296">
        <v>1</v>
      </c>
      <c r="DU254" s="296">
        <v>1</v>
      </c>
      <c r="DV254" s="301">
        <v>7.14</v>
      </c>
    </row>
    <row r="255" spans="1:126" ht="24.95" customHeight="1" thickBot="1" x14ac:dyDescent="0.3">
      <c r="A255" s="29" t="str">
        <f t="shared" si="354"/>
        <v>254º</v>
      </c>
      <c r="B255" s="69" t="str">
        <f t="shared" si="356"/>
        <v>João Vitor</v>
      </c>
      <c r="C255" s="269" t="str">
        <f t="shared" si="357"/>
        <v>BRA</v>
      </c>
      <c r="D255" s="99" t="str">
        <f t="shared" si="358"/>
        <v>Pé Direito</v>
      </c>
      <c r="E255" s="28" t="str">
        <f t="shared" si="359"/>
        <v>Santa Quitéria</v>
      </c>
      <c r="F255" s="169">
        <f t="shared" si="360"/>
        <v>21</v>
      </c>
      <c r="G255" s="2" t="str">
        <f t="shared" si="361"/>
        <v>0 €</v>
      </c>
      <c r="H255" s="154">
        <f t="shared" si="362"/>
        <v>1.93</v>
      </c>
      <c r="I255" s="64">
        <f t="shared" si="363"/>
        <v>47118</v>
      </c>
      <c r="J255" s="304" t="str">
        <f t="shared" si="364"/>
        <v>500 € p/m</v>
      </c>
      <c r="K255" s="96">
        <f t="shared" si="355"/>
        <v>3.5222222222222221</v>
      </c>
      <c r="L255" s="146">
        <f t="shared" si="365"/>
        <v>0</v>
      </c>
      <c r="M255" s="6">
        <f t="shared" si="366"/>
        <v>0</v>
      </c>
      <c r="N255" s="5">
        <f t="shared" si="367"/>
        <v>5400</v>
      </c>
      <c r="O255" s="21">
        <f t="shared" si="368"/>
        <v>0</v>
      </c>
      <c r="P255" s="2">
        <f t="shared" si="369"/>
        <v>0</v>
      </c>
      <c r="Q255" s="2">
        <f t="shared" si="370"/>
        <v>0</v>
      </c>
      <c r="R255" s="5">
        <f t="shared" si="371"/>
        <v>0</v>
      </c>
      <c r="S255" s="2">
        <f t="shared" si="372"/>
        <v>0</v>
      </c>
      <c r="T255" s="2">
        <f t="shared" si="373"/>
        <v>0</v>
      </c>
      <c r="U255" s="102">
        <f t="shared" si="374"/>
        <v>0</v>
      </c>
      <c r="V255" s="102">
        <f t="shared" si="375"/>
        <v>0</v>
      </c>
      <c r="W255" s="6">
        <f t="shared" si="376"/>
        <v>0</v>
      </c>
      <c r="X255" s="5">
        <f t="shared" si="377"/>
        <v>0</v>
      </c>
      <c r="Y255" s="6">
        <f t="shared" si="378"/>
        <v>0</v>
      </c>
      <c r="Z255" s="5" t="e">
        <f t="shared" si="379"/>
        <v>#DIV/0!</v>
      </c>
      <c r="AA255" s="21">
        <f t="shared" si="380"/>
        <v>0</v>
      </c>
      <c r="AB255" s="6">
        <f t="shared" si="381"/>
        <v>0</v>
      </c>
      <c r="AC255" s="5" t="e">
        <f t="shared" si="382"/>
        <v>#DIV/0!</v>
      </c>
      <c r="AD255" s="6">
        <f t="shared" si="383"/>
        <v>0</v>
      </c>
      <c r="AE255" s="5">
        <f t="shared" si="384"/>
        <v>0</v>
      </c>
      <c r="AF255" s="21">
        <f t="shared" si="385"/>
        <v>0</v>
      </c>
      <c r="AG255" s="6">
        <f t="shared" si="386"/>
        <v>0</v>
      </c>
      <c r="AH255" s="5">
        <f t="shared" si="387"/>
        <v>0</v>
      </c>
      <c r="AI255" s="21">
        <f t="shared" si="388"/>
        <v>0</v>
      </c>
      <c r="AJ255" s="6">
        <f t="shared" si="389"/>
        <v>0</v>
      </c>
      <c r="AK255" s="5">
        <f t="shared" si="390"/>
        <v>0</v>
      </c>
      <c r="AL255" s="21">
        <f t="shared" si="391"/>
        <v>0</v>
      </c>
      <c r="AM255" s="21">
        <f t="shared" si="392"/>
        <v>0</v>
      </c>
      <c r="AN255" s="6">
        <f t="shared" si="393"/>
        <v>0</v>
      </c>
      <c r="AO255" s="5">
        <f t="shared" si="394"/>
        <v>0</v>
      </c>
      <c r="AP255" s="6">
        <f t="shared" si="395"/>
        <v>0</v>
      </c>
      <c r="AQ255" s="5">
        <f t="shared" si="396"/>
        <v>0</v>
      </c>
      <c r="AR255" s="2">
        <f t="shared" si="397"/>
        <v>0</v>
      </c>
      <c r="AS255" s="5">
        <f t="shared" si="398"/>
        <v>0</v>
      </c>
      <c r="AT255" s="21">
        <f t="shared" si="399"/>
        <v>0</v>
      </c>
      <c r="AU255" s="20">
        <f t="shared" si="400"/>
        <v>0</v>
      </c>
      <c r="AV255" s="20">
        <f t="shared" si="401"/>
        <v>1</v>
      </c>
      <c r="AW255" s="199">
        <f t="shared" si="402"/>
        <v>0</v>
      </c>
      <c r="AX255" s="24">
        <f t="shared" si="403"/>
        <v>0</v>
      </c>
      <c r="AY255" s="5">
        <f t="shared" si="404"/>
        <v>0</v>
      </c>
      <c r="AZ255" s="5">
        <f t="shared" si="405"/>
        <v>0</v>
      </c>
      <c r="BA255" s="5">
        <f t="shared" si="406"/>
        <v>0</v>
      </c>
      <c r="BB255" s="5">
        <f t="shared" si="407"/>
        <v>0</v>
      </c>
      <c r="BC255" s="5">
        <f t="shared" si="408"/>
        <v>0</v>
      </c>
      <c r="BD255" s="5">
        <f t="shared" si="409"/>
        <v>0</v>
      </c>
      <c r="BE255" s="199">
        <f t="shared" si="410"/>
        <v>0</v>
      </c>
      <c r="BF255" s="21">
        <f t="shared" si="411"/>
        <v>0</v>
      </c>
      <c r="BG255" s="6">
        <f t="shared" si="412"/>
        <v>0</v>
      </c>
      <c r="BH255" s="5" t="e">
        <f t="shared" si="413"/>
        <v>#DIV/0!</v>
      </c>
      <c r="BI255" s="6">
        <f t="shared" si="414"/>
        <v>0</v>
      </c>
      <c r="BJ255" s="5" t="e">
        <f t="shared" si="415"/>
        <v>#DIV/0!</v>
      </c>
      <c r="BK255" s="20">
        <f t="shared" si="416"/>
        <v>-9.9999999999999998E-13</v>
      </c>
      <c r="BL255" s="20">
        <f t="shared" si="417"/>
        <v>0</v>
      </c>
      <c r="BM255" s="6">
        <f t="shared" si="418"/>
        <v>0</v>
      </c>
      <c r="BN255" s="5">
        <f t="shared" si="419"/>
        <v>0</v>
      </c>
      <c r="BO255" s="333">
        <f t="shared" si="420"/>
        <v>0</v>
      </c>
      <c r="BP255" s="334">
        <f t="shared" si="421"/>
        <v>0</v>
      </c>
      <c r="BQ255" s="6">
        <f t="shared" si="422"/>
        <v>0</v>
      </c>
      <c r="BR255" s="5">
        <f t="shared" si="423"/>
        <v>0</v>
      </c>
      <c r="BS255" s="6">
        <f t="shared" si="424"/>
        <v>0</v>
      </c>
      <c r="BT255" s="5">
        <f t="shared" si="425"/>
        <v>0</v>
      </c>
      <c r="BU255" s="181">
        <f t="shared" si="426"/>
        <v>0</v>
      </c>
      <c r="BV255" s="154">
        <f t="shared" si="427"/>
        <v>0</v>
      </c>
      <c r="BW255" s="181">
        <f t="shared" si="428"/>
        <v>0</v>
      </c>
      <c r="BX255" s="180">
        <f t="shared" si="429"/>
        <v>0</v>
      </c>
      <c r="BY255" s="181">
        <f t="shared" si="430"/>
        <v>0</v>
      </c>
      <c r="BZ255" s="154">
        <f t="shared" si="431"/>
        <v>0</v>
      </c>
      <c r="CA255" s="182">
        <f t="shared" si="432"/>
        <v>0</v>
      </c>
      <c r="CB255" s="2">
        <f t="shared" si="433"/>
        <v>0</v>
      </c>
      <c r="CC255" s="2">
        <f t="shared" si="434"/>
        <v>0</v>
      </c>
      <c r="CD255" s="2">
        <f t="shared" si="435"/>
        <v>0</v>
      </c>
      <c r="CE255" s="2">
        <f t="shared" si="436"/>
        <v>0</v>
      </c>
      <c r="CF255" s="6">
        <f t="shared" si="437"/>
        <v>0</v>
      </c>
      <c r="CG255" s="6">
        <f t="shared" si="438"/>
        <v>0</v>
      </c>
      <c r="CH255" s="6">
        <f t="shared" si="439"/>
        <v>0</v>
      </c>
      <c r="CI255" s="20">
        <f t="shared" si="440"/>
        <v>0</v>
      </c>
      <c r="CJ255" s="133">
        <f t="shared" si="441"/>
        <v>2521</v>
      </c>
      <c r="CK255" s="5">
        <f t="shared" si="442"/>
        <v>0</v>
      </c>
      <c r="CL255" s="302" t="s">
        <v>1235</v>
      </c>
      <c r="CM255" s="298" t="s">
        <v>13</v>
      </c>
      <c r="CN255" s="298" t="s">
        <v>1686</v>
      </c>
      <c r="CO255" s="298">
        <v>21</v>
      </c>
      <c r="CP255" s="298" t="s">
        <v>1687</v>
      </c>
      <c r="CQ255" s="298" t="s">
        <v>1131</v>
      </c>
      <c r="CR255" s="298" t="s">
        <v>644</v>
      </c>
      <c r="CS255" s="298" t="s">
        <v>760</v>
      </c>
      <c r="CT255" s="298" t="s">
        <v>1123</v>
      </c>
      <c r="CU255" s="299">
        <v>47118</v>
      </c>
      <c r="CV255" s="298">
        <v>0</v>
      </c>
      <c r="CW255" s="298">
        <v>0</v>
      </c>
      <c r="CX255" s="298">
        <v>0</v>
      </c>
      <c r="CY255" s="298">
        <v>0</v>
      </c>
      <c r="CZ255" s="298">
        <v>0</v>
      </c>
      <c r="DA255" s="298">
        <v>0</v>
      </c>
      <c r="DB255" s="298">
        <v>0</v>
      </c>
      <c r="DC255" s="298">
        <v>0</v>
      </c>
      <c r="DD255" s="298">
        <v>0</v>
      </c>
      <c r="DE255" s="298">
        <v>0</v>
      </c>
      <c r="DF255" s="298">
        <v>0</v>
      </c>
      <c r="DG255" s="298">
        <v>0</v>
      </c>
      <c r="DH255" s="298">
        <v>0</v>
      </c>
      <c r="DI255" s="298">
        <v>0</v>
      </c>
      <c r="DJ255" s="298">
        <v>0</v>
      </c>
      <c r="DK255" s="298">
        <v>0</v>
      </c>
      <c r="DL255" s="298">
        <v>0</v>
      </c>
      <c r="DM255" s="298">
        <v>0</v>
      </c>
      <c r="DN255" s="298">
        <v>0</v>
      </c>
      <c r="DO255" s="298">
        <v>0</v>
      </c>
      <c r="DP255" s="298">
        <v>0</v>
      </c>
      <c r="DQ255" s="298">
        <v>0</v>
      </c>
      <c r="DR255" s="298">
        <v>0</v>
      </c>
      <c r="DS255" s="298">
        <v>0</v>
      </c>
      <c r="DT255" s="298">
        <v>0</v>
      </c>
      <c r="DU255" s="298">
        <v>0</v>
      </c>
      <c r="DV255" s="303" t="s">
        <v>548</v>
      </c>
    </row>
    <row r="256" spans="1:126" ht="24.95" customHeight="1" thickBot="1" x14ac:dyDescent="0.3">
      <c r="A256" s="29" t="str">
        <f t="shared" si="354"/>
        <v>255º</v>
      </c>
      <c r="B256" s="69" t="str">
        <f t="shared" si="356"/>
        <v>Vitor</v>
      </c>
      <c r="C256" s="269" t="str">
        <f t="shared" si="357"/>
        <v>BRA</v>
      </c>
      <c r="D256" s="99" t="str">
        <f t="shared" si="358"/>
        <v>Pé Direito</v>
      </c>
      <c r="E256" s="28" t="str">
        <f t="shared" si="359"/>
        <v>Sete de Dourados</v>
      </c>
      <c r="F256" s="169">
        <f t="shared" si="360"/>
        <v>27</v>
      </c>
      <c r="G256" s="2" t="str">
        <f t="shared" si="361"/>
        <v>0 €</v>
      </c>
      <c r="H256" s="154">
        <f t="shared" si="362"/>
        <v>1.91</v>
      </c>
      <c r="I256" s="64">
        <f t="shared" si="363"/>
        <v>47118</v>
      </c>
      <c r="J256" s="304" t="str">
        <f t="shared" si="364"/>
        <v>500 € p/m</v>
      </c>
      <c r="K256" s="96">
        <f t="shared" si="355"/>
        <v>3.5222222222222221</v>
      </c>
      <c r="L256" s="146">
        <f t="shared" si="365"/>
        <v>22</v>
      </c>
      <c r="M256" s="6">
        <f t="shared" si="366"/>
        <v>0</v>
      </c>
      <c r="N256" s="5">
        <f t="shared" si="367"/>
        <v>5400</v>
      </c>
      <c r="O256" s="21">
        <f t="shared" si="368"/>
        <v>0</v>
      </c>
      <c r="P256" s="2">
        <f t="shared" si="369"/>
        <v>444</v>
      </c>
      <c r="Q256" s="2">
        <f t="shared" si="370"/>
        <v>234</v>
      </c>
      <c r="R256" s="5">
        <f t="shared" si="371"/>
        <v>10.636363636363637</v>
      </c>
      <c r="S256" s="2">
        <f t="shared" si="372"/>
        <v>210</v>
      </c>
      <c r="T256" s="2">
        <f t="shared" si="373"/>
        <v>24</v>
      </c>
      <c r="U256" s="102">
        <f t="shared" si="374"/>
        <v>0.47297297297297297</v>
      </c>
      <c r="V256" s="102">
        <f t="shared" si="375"/>
        <v>0.52702702702702697</v>
      </c>
      <c r="W256" s="6">
        <f t="shared" si="376"/>
        <v>444</v>
      </c>
      <c r="X256" s="5">
        <f t="shared" si="377"/>
        <v>20.181818181818183</v>
      </c>
      <c r="Y256" s="6">
        <f t="shared" si="378"/>
        <v>0</v>
      </c>
      <c r="Z256" s="5">
        <f t="shared" si="379"/>
        <v>0</v>
      </c>
      <c r="AA256" s="21">
        <f t="shared" si="380"/>
        <v>0</v>
      </c>
      <c r="AB256" s="6">
        <f t="shared" si="381"/>
        <v>0</v>
      </c>
      <c r="AC256" s="5">
        <f t="shared" si="382"/>
        <v>0</v>
      </c>
      <c r="AD256" s="6">
        <f t="shared" si="383"/>
        <v>2</v>
      </c>
      <c r="AE256" s="5">
        <f t="shared" si="384"/>
        <v>9.0909090909090912E-2</v>
      </c>
      <c r="AF256" s="21">
        <f t="shared" si="385"/>
        <v>0.33333333333333331</v>
      </c>
      <c r="AG256" s="6">
        <f t="shared" si="386"/>
        <v>2</v>
      </c>
      <c r="AH256" s="5">
        <f t="shared" si="387"/>
        <v>9.0909090909090912E-2</v>
      </c>
      <c r="AI256" s="21">
        <f t="shared" si="388"/>
        <v>0.33333333333333331</v>
      </c>
      <c r="AJ256" s="6">
        <f t="shared" si="389"/>
        <v>2</v>
      </c>
      <c r="AK256" s="5">
        <f t="shared" si="390"/>
        <v>0.18803418803418803</v>
      </c>
      <c r="AL256" s="21">
        <f t="shared" si="391"/>
        <v>0.33333333333333331</v>
      </c>
      <c r="AM256" s="21">
        <f t="shared" si="392"/>
        <v>0.13636363636363635</v>
      </c>
      <c r="AN256" s="6">
        <f t="shared" si="393"/>
        <v>3</v>
      </c>
      <c r="AO256" s="5">
        <f t="shared" si="394"/>
        <v>0.13636363636363635</v>
      </c>
      <c r="AP256" s="6">
        <f t="shared" si="395"/>
        <v>6</v>
      </c>
      <c r="AQ256" s="5">
        <f t="shared" si="396"/>
        <v>0.27272727272727271</v>
      </c>
      <c r="AR256" s="2">
        <f t="shared" si="397"/>
        <v>43</v>
      </c>
      <c r="AS256" s="5">
        <f t="shared" si="398"/>
        <v>1.9545454545454546</v>
      </c>
      <c r="AT256" s="21">
        <f t="shared" si="399"/>
        <v>0.13953488372093023</v>
      </c>
      <c r="AU256" s="20">
        <f t="shared" si="400"/>
        <v>9.7560975609756101E-2</v>
      </c>
      <c r="AV256" s="20">
        <f t="shared" si="401"/>
        <v>0.86046511627906974</v>
      </c>
      <c r="AW256" s="199">
        <f t="shared" si="402"/>
        <v>0.20930232558139536</v>
      </c>
      <c r="AX256" s="24">
        <f t="shared" si="403"/>
        <v>53.513513513513516</v>
      </c>
      <c r="AY256" s="5">
        <f t="shared" si="404"/>
        <v>1.1621621621621621</v>
      </c>
      <c r="AZ256" s="5">
        <f t="shared" si="405"/>
        <v>1.1081081081081081</v>
      </c>
      <c r="BA256" s="5">
        <f t="shared" si="406"/>
        <v>-0.11</v>
      </c>
      <c r="BB256" s="5">
        <f t="shared" si="407"/>
        <v>-5.0000000000000001E-3</v>
      </c>
      <c r="BC256" s="5">
        <f t="shared" si="408"/>
        <v>-0.11</v>
      </c>
      <c r="BD256" s="5">
        <f t="shared" si="409"/>
        <v>-5.0000000000000001E-3</v>
      </c>
      <c r="BE256" s="199">
        <f t="shared" si="410"/>
        <v>-3.6666666666666667E-2</v>
      </c>
      <c r="BF256" s="21">
        <f t="shared" si="411"/>
        <v>-2.9818378964489023E-3</v>
      </c>
      <c r="BG256" s="6">
        <f t="shared" si="412"/>
        <v>0</v>
      </c>
      <c r="BH256" s="5">
        <f t="shared" si="413"/>
        <v>0</v>
      </c>
      <c r="BI256" s="6">
        <f t="shared" si="414"/>
        <v>0</v>
      </c>
      <c r="BJ256" s="5">
        <f t="shared" si="415"/>
        <v>0</v>
      </c>
      <c r="BK256" s="20">
        <f t="shared" si="416"/>
        <v>-9.9999999999999998E-13</v>
      </c>
      <c r="BL256" s="20">
        <f t="shared" si="417"/>
        <v>2.4949426837491573E-2</v>
      </c>
      <c r="BM256" s="6">
        <f t="shared" si="418"/>
        <v>37</v>
      </c>
      <c r="BN256" s="5">
        <f t="shared" si="419"/>
        <v>1.6818181818181819</v>
      </c>
      <c r="BO256" s="333">
        <f t="shared" si="420"/>
        <v>0</v>
      </c>
      <c r="BP256" s="334">
        <f t="shared" si="421"/>
        <v>0</v>
      </c>
      <c r="BQ256" s="6">
        <f t="shared" si="422"/>
        <v>2.2000000000000002</v>
      </c>
      <c r="BR256" s="5">
        <f t="shared" si="423"/>
        <v>0.1</v>
      </c>
      <c r="BS256" s="6">
        <f t="shared" si="424"/>
        <v>15.399999999999999</v>
      </c>
      <c r="BT256" s="5">
        <f t="shared" si="425"/>
        <v>0.7</v>
      </c>
      <c r="BU256" s="181">
        <f t="shared" si="426"/>
        <v>0</v>
      </c>
      <c r="BV256" s="154">
        <f t="shared" si="427"/>
        <v>0</v>
      </c>
      <c r="BW256" s="181">
        <f t="shared" si="428"/>
        <v>0</v>
      </c>
      <c r="BX256" s="180">
        <f t="shared" si="429"/>
        <v>0</v>
      </c>
      <c r="BY256" s="181">
        <f t="shared" si="430"/>
        <v>0</v>
      </c>
      <c r="BZ256" s="154">
        <f t="shared" si="431"/>
        <v>0</v>
      </c>
      <c r="CA256" s="182">
        <f t="shared" si="432"/>
        <v>0</v>
      </c>
      <c r="CB256" s="2">
        <f t="shared" si="433"/>
        <v>0</v>
      </c>
      <c r="CC256" s="2">
        <f t="shared" si="434"/>
        <v>0</v>
      </c>
      <c r="CD256" s="2">
        <f t="shared" si="435"/>
        <v>0</v>
      </c>
      <c r="CE256" s="2">
        <f t="shared" si="436"/>
        <v>10</v>
      </c>
      <c r="CF256" s="6">
        <f t="shared" si="437"/>
        <v>0</v>
      </c>
      <c r="CG256" s="6">
        <f t="shared" si="438"/>
        <v>493.93099999999998</v>
      </c>
      <c r="CH256" s="6">
        <f t="shared" si="439"/>
        <v>240</v>
      </c>
      <c r="CI256" s="20">
        <f t="shared" si="440"/>
        <v>0.48589782783425217</v>
      </c>
      <c r="CJ256" s="133">
        <f t="shared" si="441"/>
        <v>2521</v>
      </c>
      <c r="CK256" s="5">
        <f t="shared" si="442"/>
        <v>5.9</v>
      </c>
      <c r="CL256" s="300"/>
      <c r="CM256" s="296" t="s">
        <v>13</v>
      </c>
      <c r="CN256" s="296" t="s">
        <v>1688</v>
      </c>
      <c r="CO256" s="296">
        <v>27</v>
      </c>
      <c r="CP256" s="296" t="s">
        <v>1689</v>
      </c>
      <c r="CQ256" s="296" t="s">
        <v>1131</v>
      </c>
      <c r="CR256" s="296" t="s">
        <v>644</v>
      </c>
      <c r="CS256" s="296" t="s">
        <v>760</v>
      </c>
      <c r="CT256" s="296" t="s">
        <v>595</v>
      </c>
      <c r="CU256" s="297">
        <v>47118</v>
      </c>
      <c r="CV256" s="296">
        <v>0</v>
      </c>
      <c r="CW256" s="296">
        <v>1980</v>
      </c>
      <c r="CX256" s="296">
        <v>37</v>
      </c>
      <c r="CY256" s="296">
        <v>2</v>
      </c>
      <c r="CZ256" s="296">
        <v>2</v>
      </c>
      <c r="DA256" s="296">
        <v>2</v>
      </c>
      <c r="DB256" s="296">
        <v>0</v>
      </c>
      <c r="DC256" s="296">
        <v>0.1</v>
      </c>
      <c r="DD256" s="296">
        <v>0.7</v>
      </c>
      <c r="DE256" s="296">
        <v>3</v>
      </c>
      <c r="DF256" s="296">
        <v>0</v>
      </c>
      <c r="DG256" s="296">
        <v>0</v>
      </c>
      <c r="DH256" s="296">
        <v>0</v>
      </c>
      <c r="DI256" s="296">
        <v>10</v>
      </c>
      <c r="DJ256" s="296">
        <v>0</v>
      </c>
      <c r="DK256" s="296">
        <v>0</v>
      </c>
      <c r="DL256" s="296">
        <v>444</v>
      </c>
      <c r="DM256" s="296">
        <v>234</v>
      </c>
      <c r="DN256" s="296" t="s">
        <v>1690</v>
      </c>
      <c r="DO256" s="296">
        <v>0</v>
      </c>
      <c r="DP256" s="296">
        <v>0</v>
      </c>
      <c r="DQ256" s="296">
        <v>0</v>
      </c>
      <c r="DR256" s="296">
        <v>0</v>
      </c>
      <c r="DS256" s="296">
        <v>0</v>
      </c>
      <c r="DT256" s="296">
        <v>0</v>
      </c>
      <c r="DU256" s="296">
        <v>0</v>
      </c>
      <c r="DV256" s="301">
        <v>5.9</v>
      </c>
    </row>
    <row r="257" spans="1:126" ht="24.95" customHeight="1" thickBot="1" x14ac:dyDescent="0.3">
      <c r="A257" s="29" t="str">
        <f t="shared" si="354"/>
        <v>256º</v>
      </c>
      <c r="B257" s="69" t="str">
        <f t="shared" si="356"/>
        <v>Francinaldo Martins</v>
      </c>
      <c r="C257" s="269" t="str">
        <f t="shared" si="357"/>
        <v>BRA</v>
      </c>
      <c r="D257" s="99" t="str">
        <f t="shared" si="358"/>
        <v>Somente Pé Direito</v>
      </c>
      <c r="E257" s="28" t="str">
        <f t="shared" si="359"/>
        <v>URT</v>
      </c>
      <c r="F257" s="169">
        <f t="shared" si="360"/>
        <v>22</v>
      </c>
      <c r="G257" s="2" t="str">
        <f t="shared" si="361"/>
        <v>0 €</v>
      </c>
      <c r="H257" s="154">
        <f t="shared" si="362"/>
        <v>1.9</v>
      </c>
      <c r="I257" s="64">
        <f t="shared" si="363"/>
        <v>47118</v>
      </c>
      <c r="J257" s="304" t="str">
        <f t="shared" si="364"/>
        <v>500 € p/m</v>
      </c>
      <c r="K257" s="96">
        <f t="shared" si="355"/>
        <v>3.5222222222222221</v>
      </c>
      <c r="L257" s="146">
        <f t="shared" si="365"/>
        <v>21</v>
      </c>
      <c r="M257" s="6">
        <f t="shared" si="366"/>
        <v>0</v>
      </c>
      <c r="N257" s="5">
        <f t="shared" si="367"/>
        <v>5400</v>
      </c>
      <c r="O257" s="21">
        <f t="shared" si="368"/>
        <v>0</v>
      </c>
      <c r="P257" s="2">
        <f t="shared" si="369"/>
        <v>420</v>
      </c>
      <c r="Q257" s="2">
        <f t="shared" si="370"/>
        <v>229</v>
      </c>
      <c r="R257" s="5">
        <f t="shared" si="371"/>
        <v>10.904761904761905</v>
      </c>
      <c r="S257" s="2">
        <f t="shared" si="372"/>
        <v>191</v>
      </c>
      <c r="T257" s="2">
        <f t="shared" si="373"/>
        <v>38</v>
      </c>
      <c r="U257" s="102">
        <f t="shared" si="374"/>
        <v>0.45476190476190476</v>
      </c>
      <c r="V257" s="102">
        <f t="shared" si="375"/>
        <v>0.54523809523809519</v>
      </c>
      <c r="W257" s="6">
        <f t="shared" si="376"/>
        <v>420</v>
      </c>
      <c r="X257" s="5">
        <f t="shared" si="377"/>
        <v>20</v>
      </c>
      <c r="Y257" s="6">
        <f t="shared" si="378"/>
        <v>0</v>
      </c>
      <c r="Z257" s="5">
        <f t="shared" si="379"/>
        <v>0</v>
      </c>
      <c r="AA257" s="21">
        <f t="shared" si="380"/>
        <v>0</v>
      </c>
      <c r="AB257" s="6">
        <f t="shared" si="381"/>
        <v>0</v>
      </c>
      <c r="AC257" s="5">
        <f t="shared" si="382"/>
        <v>0</v>
      </c>
      <c r="AD257" s="6">
        <f t="shared" si="383"/>
        <v>0</v>
      </c>
      <c r="AE257" s="5">
        <f t="shared" si="384"/>
        <v>0</v>
      </c>
      <c r="AF257" s="21">
        <f t="shared" si="385"/>
        <v>0</v>
      </c>
      <c r="AG257" s="6">
        <f t="shared" si="386"/>
        <v>0</v>
      </c>
      <c r="AH257" s="5">
        <f t="shared" si="387"/>
        <v>0</v>
      </c>
      <c r="AI257" s="21">
        <f t="shared" si="388"/>
        <v>0</v>
      </c>
      <c r="AJ257" s="6">
        <f t="shared" si="389"/>
        <v>0</v>
      </c>
      <c r="AK257" s="5">
        <f t="shared" si="390"/>
        <v>0</v>
      </c>
      <c r="AL257" s="21">
        <f t="shared" si="391"/>
        <v>0</v>
      </c>
      <c r="AM257" s="21">
        <f t="shared" si="392"/>
        <v>0.14285714285714285</v>
      </c>
      <c r="AN257" s="6">
        <f t="shared" si="393"/>
        <v>3</v>
      </c>
      <c r="AO257" s="5">
        <f t="shared" si="394"/>
        <v>0.14285714285714285</v>
      </c>
      <c r="AP257" s="6">
        <f t="shared" si="395"/>
        <v>0</v>
      </c>
      <c r="AQ257" s="5">
        <f t="shared" si="396"/>
        <v>0</v>
      </c>
      <c r="AR257" s="2">
        <f t="shared" si="397"/>
        <v>35</v>
      </c>
      <c r="AS257" s="5">
        <f t="shared" si="398"/>
        <v>1.6666666666666667</v>
      </c>
      <c r="AT257" s="21">
        <f t="shared" si="399"/>
        <v>0</v>
      </c>
      <c r="AU257" s="20">
        <f t="shared" si="400"/>
        <v>0</v>
      </c>
      <c r="AV257" s="20">
        <f t="shared" si="401"/>
        <v>1</v>
      </c>
      <c r="AW257" s="199">
        <f t="shared" si="402"/>
        <v>0</v>
      </c>
      <c r="AX257" s="24">
        <f t="shared" si="403"/>
        <v>54</v>
      </c>
      <c r="AY257" s="5">
        <f t="shared" si="404"/>
        <v>1</v>
      </c>
      <c r="AZ257" s="5">
        <f t="shared" si="405"/>
        <v>1</v>
      </c>
      <c r="BA257" s="5">
        <f t="shared" si="406"/>
        <v>0</v>
      </c>
      <c r="BB257" s="5">
        <f t="shared" si="407"/>
        <v>0</v>
      </c>
      <c r="BC257" s="5">
        <f t="shared" si="408"/>
        <v>0</v>
      </c>
      <c r="BD257" s="5">
        <f t="shared" si="409"/>
        <v>0</v>
      </c>
      <c r="BE257" s="199">
        <f t="shared" si="410"/>
        <v>0</v>
      </c>
      <c r="BF257" s="21">
        <f t="shared" si="411"/>
        <v>0</v>
      </c>
      <c r="BG257" s="6">
        <f t="shared" si="412"/>
        <v>0</v>
      </c>
      <c r="BH257" s="5">
        <f t="shared" si="413"/>
        <v>0</v>
      </c>
      <c r="BI257" s="6">
        <f t="shared" si="414"/>
        <v>0</v>
      </c>
      <c r="BJ257" s="5">
        <f t="shared" si="415"/>
        <v>0</v>
      </c>
      <c r="BK257" s="20">
        <f t="shared" si="416"/>
        <v>-9.9999999999999998E-13</v>
      </c>
      <c r="BL257" s="20">
        <f t="shared" si="417"/>
        <v>2.3600809170600135E-2</v>
      </c>
      <c r="BM257" s="6">
        <f t="shared" si="418"/>
        <v>35</v>
      </c>
      <c r="BN257" s="5">
        <f t="shared" si="419"/>
        <v>1.6666666666666667</v>
      </c>
      <c r="BO257" s="333">
        <f t="shared" si="420"/>
        <v>0</v>
      </c>
      <c r="BP257" s="334">
        <f t="shared" si="421"/>
        <v>0</v>
      </c>
      <c r="BQ257" s="6">
        <f t="shared" si="422"/>
        <v>0</v>
      </c>
      <c r="BR257" s="5">
        <f t="shared" si="423"/>
        <v>0</v>
      </c>
      <c r="BS257" s="6">
        <f t="shared" si="424"/>
        <v>0</v>
      </c>
      <c r="BT257" s="5">
        <f t="shared" si="425"/>
        <v>0</v>
      </c>
      <c r="BU257" s="181">
        <f t="shared" si="426"/>
        <v>0</v>
      </c>
      <c r="BV257" s="154">
        <f t="shared" si="427"/>
        <v>0</v>
      </c>
      <c r="BW257" s="181">
        <f t="shared" si="428"/>
        <v>0</v>
      </c>
      <c r="BX257" s="180">
        <f t="shared" si="429"/>
        <v>0</v>
      </c>
      <c r="BY257" s="181">
        <f t="shared" si="430"/>
        <v>0</v>
      </c>
      <c r="BZ257" s="154">
        <f t="shared" si="431"/>
        <v>0</v>
      </c>
      <c r="CA257" s="182">
        <f t="shared" si="432"/>
        <v>0</v>
      </c>
      <c r="CB257" s="2">
        <f t="shared" si="433"/>
        <v>0</v>
      </c>
      <c r="CC257" s="2">
        <f t="shared" si="434"/>
        <v>0</v>
      </c>
      <c r="CD257" s="2">
        <f t="shared" si="435"/>
        <v>0</v>
      </c>
      <c r="CE257" s="2">
        <f t="shared" si="436"/>
        <v>5</v>
      </c>
      <c r="CF257" s="6">
        <f t="shared" si="437"/>
        <v>0</v>
      </c>
      <c r="CG257" s="6">
        <f t="shared" si="438"/>
        <v>461</v>
      </c>
      <c r="CH257" s="6">
        <f t="shared" si="439"/>
        <v>229</v>
      </c>
      <c r="CI257" s="20">
        <f t="shared" si="440"/>
        <v>0.49674620390455532</v>
      </c>
      <c r="CJ257" s="133">
        <f t="shared" si="441"/>
        <v>2521</v>
      </c>
      <c r="CK257" s="5">
        <f t="shared" si="442"/>
        <v>6.19</v>
      </c>
      <c r="CL257" s="302"/>
      <c r="CM257" s="298" t="s">
        <v>13</v>
      </c>
      <c r="CN257" s="298" t="s">
        <v>1691</v>
      </c>
      <c r="CO257" s="298">
        <v>22</v>
      </c>
      <c r="CP257" s="298" t="s">
        <v>1692</v>
      </c>
      <c r="CQ257" s="298" t="s">
        <v>1131</v>
      </c>
      <c r="CR257" s="298" t="s">
        <v>645</v>
      </c>
      <c r="CS257" s="298" t="s">
        <v>760</v>
      </c>
      <c r="CT257" s="298" t="s">
        <v>682</v>
      </c>
      <c r="CU257" s="299">
        <v>47118</v>
      </c>
      <c r="CV257" s="298">
        <v>0</v>
      </c>
      <c r="CW257" s="298">
        <v>1890</v>
      </c>
      <c r="CX257" s="298">
        <v>35</v>
      </c>
      <c r="CY257" s="298">
        <v>0</v>
      </c>
      <c r="CZ257" s="298">
        <v>0</v>
      </c>
      <c r="DA257" s="298">
        <v>0</v>
      </c>
      <c r="DB257" s="298">
        <v>0</v>
      </c>
      <c r="DC257" s="298">
        <v>0</v>
      </c>
      <c r="DD257" s="298">
        <v>0</v>
      </c>
      <c r="DE257" s="298">
        <v>3</v>
      </c>
      <c r="DF257" s="298">
        <v>0</v>
      </c>
      <c r="DG257" s="298">
        <v>0</v>
      </c>
      <c r="DH257" s="298">
        <v>0</v>
      </c>
      <c r="DI257" s="298">
        <v>5</v>
      </c>
      <c r="DJ257" s="298">
        <v>0</v>
      </c>
      <c r="DK257" s="298">
        <v>0</v>
      </c>
      <c r="DL257" s="298">
        <v>420</v>
      </c>
      <c r="DM257" s="298">
        <v>229</v>
      </c>
      <c r="DN257" s="298">
        <v>0</v>
      </c>
      <c r="DO257" s="298">
        <v>0</v>
      </c>
      <c r="DP257" s="298">
        <v>0</v>
      </c>
      <c r="DQ257" s="298">
        <v>0</v>
      </c>
      <c r="DR257" s="298">
        <v>0</v>
      </c>
      <c r="DS257" s="298">
        <v>0</v>
      </c>
      <c r="DT257" s="298">
        <v>0</v>
      </c>
      <c r="DU257" s="298">
        <v>0</v>
      </c>
      <c r="DV257" s="303">
        <v>6.19</v>
      </c>
    </row>
    <row r="258" spans="1:126" ht="24.95" customHeight="1" thickBot="1" x14ac:dyDescent="0.3">
      <c r="A258" s="29" t="str">
        <f t="shared" ref="A258:A266" si="443">ROW()-1 &amp; "º"</f>
        <v>257º</v>
      </c>
      <c r="B258" s="69" t="str">
        <f t="shared" si="356"/>
        <v>Paulo Vítor</v>
      </c>
      <c r="C258" s="269" t="str">
        <f t="shared" si="357"/>
        <v>BRA</v>
      </c>
      <c r="D258" s="99" t="str">
        <f t="shared" si="358"/>
        <v>Pé Direito</v>
      </c>
      <c r="E258" s="28" t="str">
        <f t="shared" si="359"/>
        <v>Canaã (PA)</v>
      </c>
      <c r="F258" s="169">
        <f t="shared" si="360"/>
        <v>23</v>
      </c>
      <c r="G258" s="2" t="str">
        <f t="shared" si="361"/>
        <v>0 €</v>
      </c>
      <c r="H258" s="154">
        <f t="shared" si="362"/>
        <v>1.89</v>
      </c>
      <c r="I258" s="64">
        <f t="shared" si="363"/>
        <v>47118</v>
      </c>
      <c r="J258" s="304" t="str">
        <f t="shared" si="364"/>
        <v>500 € p/m</v>
      </c>
      <c r="K258" s="96">
        <f t="shared" ref="K258:K266" si="444">IFERROR(AVERAGE(L:L),0)</f>
        <v>3.5222222222222221</v>
      </c>
      <c r="L258" s="146">
        <f t="shared" si="365"/>
        <v>0</v>
      </c>
      <c r="M258" s="6">
        <f t="shared" si="366"/>
        <v>0</v>
      </c>
      <c r="N258" s="5">
        <f t="shared" si="367"/>
        <v>5400</v>
      </c>
      <c r="O258" s="21">
        <f t="shared" si="368"/>
        <v>0</v>
      </c>
      <c r="P258" s="2">
        <f t="shared" si="369"/>
        <v>0</v>
      </c>
      <c r="Q258" s="2">
        <f t="shared" si="370"/>
        <v>0</v>
      </c>
      <c r="R258" s="5">
        <f t="shared" si="371"/>
        <v>0</v>
      </c>
      <c r="S258" s="2">
        <f t="shared" si="372"/>
        <v>0</v>
      </c>
      <c r="T258" s="2">
        <f t="shared" si="373"/>
        <v>0</v>
      </c>
      <c r="U258" s="102">
        <f t="shared" si="374"/>
        <v>0</v>
      </c>
      <c r="V258" s="102">
        <f t="shared" si="375"/>
        <v>0</v>
      </c>
      <c r="W258" s="6">
        <f t="shared" si="376"/>
        <v>0</v>
      </c>
      <c r="X258" s="5">
        <f t="shared" si="377"/>
        <v>0</v>
      </c>
      <c r="Y258" s="6">
        <f t="shared" si="378"/>
        <v>0</v>
      </c>
      <c r="Z258" s="5" t="e">
        <f t="shared" si="379"/>
        <v>#DIV/0!</v>
      </c>
      <c r="AA258" s="21">
        <f t="shared" si="380"/>
        <v>0</v>
      </c>
      <c r="AB258" s="6">
        <f t="shared" si="381"/>
        <v>0</v>
      </c>
      <c r="AC258" s="5" t="e">
        <f t="shared" si="382"/>
        <v>#DIV/0!</v>
      </c>
      <c r="AD258" s="6">
        <f t="shared" si="383"/>
        <v>0</v>
      </c>
      <c r="AE258" s="5">
        <f t="shared" si="384"/>
        <v>0</v>
      </c>
      <c r="AF258" s="21">
        <f t="shared" si="385"/>
        <v>0</v>
      </c>
      <c r="AG258" s="6">
        <f t="shared" si="386"/>
        <v>0</v>
      </c>
      <c r="AH258" s="5">
        <f t="shared" si="387"/>
        <v>0</v>
      </c>
      <c r="AI258" s="21">
        <f t="shared" si="388"/>
        <v>0</v>
      </c>
      <c r="AJ258" s="6">
        <f t="shared" si="389"/>
        <v>0</v>
      </c>
      <c r="AK258" s="5">
        <f t="shared" si="390"/>
        <v>0</v>
      </c>
      <c r="AL258" s="21">
        <f t="shared" si="391"/>
        <v>0</v>
      </c>
      <c r="AM258" s="21">
        <f t="shared" si="392"/>
        <v>0</v>
      </c>
      <c r="AN258" s="6">
        <f t="shared" si="393"/>
        <v>0</v>
      </c>
      <c r="AO258" s="5">
        <f t="shared" si="394"/>
        <v>0</v>
      </c>
      <c r="AP258" s="6">
        <f t="shared" si="395"/>
        <v>0</v>
      </c>
      <c r="AQ258" s="5">
        <f t="shared" si="396"/>
        <v>0</v>
      </c>
      <c r="AR258" s="2">
        <f t="shared" si="397"/>
        <v>0</v>
      </c>
      <c r="AS258" s="5">
        <f t="shared" si="398"/>
        <v>0</v>
      </c>
      <c r="AT258" s="21">
        <f t="shared" si="399"/>
        <v>0</v>
      </c>
      <c r="AU258" s="20">
        <f t="shared" si="400"/>
        <v>0</v>
      </c>
      <c r="AV258" s="20">
        <f t="shared" si="401"/>
        <v>1</v>
      </c>
      <c r="AW258" s="199">
        <f t="shared" si="402"/>
        <v>0</v>
      </c>
      <c r="AX258" s="24">
        <f t="shared" si="403"/>
        <v>0</v>
      </c>
      <c r="AY258" s="5">
        <f t="shared" si="404"/>
        <v>0</v>
      </c>
      <c r="AZ258" s="5">
        <f t="shared" si="405"/>
        <v>0</v>
      </c>
      <c r="BA258" s="5">
        <f t="shared" si="406"/>
        <v>0</v>
      </c>
      <c r="BB258" s="5">
        <f t="shared" si="407"/>
        <v>0</v>
      </c>
      <c r="BC258" s="5">
        <f t="shared" si="408"/>
        <v>0</v>
      </c>
      <c r="BD258" s="5">
        <f t="shared" si="409"/>
        <v>0</v>
      </c>
      <c r="BE258" s="199">
        <f t="shared" si="410"/>
        <v>0</v>
      </c>
      <c r="BF258" s="21">
        <f t="shared" si="411"/>
        <v>0</v>
      </c>
      <c r="BG258" s="6">
        <f t="shared" si="412"/>
        <v>0</v>
      </c>
      <c r="BH258" s="5" t="e">
        <f t="shared" si="413"/>
        <v>#DIV/0!</v>
      </c>
      <c r="BI258" s="6">
        <f t="shared" si="414"/>
        <v>0</v>
      </c>
      <c r="BJ258" s="5" t="e">
        <f t="shared" si="415"/>
        <v>#DIV/0!</v>
      </c>
      <c r="BK258" s="20">
        <f t="shared" si="416"/>
        <v>-9.9999999999999998E-13</v>
      </c>
      <c r="BL258" s="20">
        <f t="shared" si="417"/>
        <v>0</v>
      </c>
      <c r="BM258" s="6">
        <f t="shared" si="418"/>
        <v>0</v>
      </c>
      <c r="BN258" s="5">
        <f t="shared" si="419"/>
        <v>0</v>
      </c>
      <c r="BO258" s="333">
        <f t="shared" si="420"/>
        <v>0</v>
      </c>
      <c r="BP258" s="334">
        <f t="shared" si="421"/>
        <v>0</v>
      </c>
      <c r="BQ258" s="6">
        <f t="shared" si="422"/>
        <v>0</v>
      </c>
      <c r="BR258" s="5">
        <f t="shared" si="423"/>
        <v>0</v>
      </c>
      <c r="BS258" s="6">
        <f t="shared" si="424"/>
        <v>0</v>
      </c>
      <c r="BT258" s="5">
        <f t="shared" si="425"/>
        <v>0</v>
      </c>
      <c r="BU258" s="181">
        <f t="shared" si="426"/>
        <v>0</v>
      </c>
      <c r="BV258" s="154">
        <f t="shared" si="427"/>
        <v>0</v>
      </c>
      <c r="BW258" s="181">
        <f t="shared" si="428"/>
        <v>0</v>
      </c>
      <c r="BX258" s="180">
        <f t="shared" si="429"/>
        <v>0</v>
      </c>
      <c r="BY258" s="181">
        <f t="shared" si="430"/>
        <v>0</v>
      </c>
      <c r="BZ258" s="154">
        <f t="shared" si="431"/>
        <v>0</v>
      </c>
      <c r="CA258" s="182">
        <f t="shared" si="432"/>
        <v>0</v>
      </c>
      <c r="CB258" s="2">
        <f t="shared" si="433"/>
        <v>0</v>
      </c>
      <c r="CC258" s="2">
        <f t="shared" si="434"/>
        <v>0</v>
      </c>
      <c r="CD258" s="2">
        <f t="shared" si="435"/>
        <v>0</v>
      </c>
      <c r="CE258" s="2">
        <f t="shared" si="436"/>
        <v>0</v>
      </c>
      <c r="CF258" s="6">
        <f t="shared" si="437"/>
        <v>0</v>
      </c>
      <c r="CG258" s="6">
        <f t="shared" si="438"/>
        <v>0</v>
      </c>
      <c r="CH258" s="6">
        <f t="shared" si="439"/>
        <v>0</v>
      </c>
      <c r="CI258" s="20">
        <f t="shared" si="440"/>
        <v>0</v>
      </c>
      <c r="CJ258" s="133">
        <f t="shared" si="441"/>
        <v>2521</v>
      </c>
      <c r="CK258" s="5">
        <f t="shared" si="442"/>
        <v>0</v>
      </c>
      <c r="CL258" s="300"/>
      <c r="CM258" s="296" t="s">
        <v>13</v>
      </c>
      <c r="CN258" s="296" t="s">
        <v>1693</v>
      </c>
      <c r="CO258" s="296">
        <v>23</v>
      </c>
      <c r="CP258" s="296" t="s">
        <v>1694</v>
      </c>
      <c r="CQ258" s="296" t="s">
        <v>1131</v>
      </c>
      <c r="CR258" s="296" t="s">
        <v>644</v>
      </c>
      <c r="CS258" s="296" t="s">
        <v>760</v>
      </c>
      <c r="CT258" s="296" t="s">
        <v>593</v>
      </c>
      <c r="CU258" s="297">
        <v>47118</v>
      </c>
      <c r="CV258" s="296">
        <v>0</v>
      </c>
      <c r="CW258" s="296">
        <v>0</v>
      </c>
      <c r="CX258" s="296">
        <v>0</v>
      </c>
      <c r="CY258" s="296">
        <v>0</v>
      </c>
      <c r="CZ258" s="296">
        <v>0</v>
      </c>
      <c r="DA258" s="296">
        <v>0</v>
      </c>
      <c r="DB258" s="296">
        <v>0</v>
      </c>
      <c r="DC258" s="296">
        <v>0</v>
      </c>
      <c r="DD258" s="296">
        <v>0</v>
      </c>
      <c r="DE258" s="296">
        <v>0</v>
      </c>
      <c r="DF258" s="296">
        <v>0</v>
      </c>
      <c r="DG258" s="296">
        <v>0</v>
      </c>
      <c r="DH258" s="296">
        <v>0</v>
      </c>
      <c r="DI258" s="296">
        <v>0</v>
      </c>
      <c r="DJ258" s="296">
        <v>0</v>
      </c>
      <c r="DK258" s="296">
        <v>0</v>
      </c>
      <c r="DL258" s="296">
        <v>0</v>
      </c>
      <c r="DM258" s="296">
        <v>0</v>
      </c>
      <c r="DN258" s="296">
        <v>0</v>
      </c>
      <c r="DO258" s="296">
        <v>0</v>
      </c>
      <c r="DP258" s="296">
        <v>0</v>
      </c>
      <c r="DQ258" s="296">
        <v>0</v>
      </c>
      <c r="DR258" s="296">
        <v>0</v>
      </c>
      <c r="DS258" s="296">
        <v>0</v>
      </c>
      <c r="DT258" s="296">
        <v>0</v>
      </c>
      <c r="DU258" s="296">
        <v>0</v>
      </c>
      <c r="DV258" s="301" t="s">
        <v>548</v>
      </c>
    </row>
    <row r="259" spans="1:126" ht="24.95" customHeight="1" thickBot="1" x14ac:dyDescent="0.3">
      <c r="A259" s="29" t="str">
        <f t="shared" si="443"/>
        <v>258º</v>
      </c>
      <c r="B259" s="69" t="str">
        <f t="shared" si="356"/>
        <v>Idenilson Costa</v>
      </c>
      <c r="C259" s="269" t="str">
        <f t="shared" si="357"/>
        <v>BRA</v>
      </c>
      <c r="D259" s="99" t="str">
        <f t="shared" si="358"/>
        <v>Pé Direito</v>
      </c>
      <c r="E259" s="28" t="str">
        <f t="shared" si="359"/>
        <v>Pombal (PB)</v>
      </c>
      <c r="F259" s="169">
        <f t="shared" si="360"/>
        <v>23</v>
      </c>
      <c r="G259" s="2" t="str">
        <f t="shared" si="361"/>
        <v>0 €</v>
      </c>
      <c r="H259" s="154">
        <f t="shared" si="362"/>
        <v>1.82</v>
      </c>
      <c r="I259" s="64">
        <f t="shared" si="363"/>
        <v>47118</v>
      </c>
      <c r="J259" s="304" t="str">
        <f t="shared" si="364"/>
        <v>500 € p/m</v>
      </c>
      <c r="K259" s="96">
        <f t="shared" si="444"/>
        <v>3.5222222222222221</v>
      </c>
      <c r="L259" s="146">
        <f t="shared" si="365"/>
        <v>19.011111111111113</v>
      </c>
      <c r="M259" s="6">
        <f t="shared" si="366"/>
        <v>0</v>
      </c>
      <c r="N259" s="5">
        <f t="shared" si="367"/>
        <v>5400</v>
      </c>
      <c r="O259" s="21">
        <f t="shared" si="368"/>
        <v>0</v>
      </c>
      <c r="P259" s="2">
        <f t="shared" si="369"/>
        <v>400</v>
      </c>
      <c r="Q259" s="2">
        <f t="shared" si="370"/>
        <v>216</v>
      </c>
      <c r="R259" s="5">
        <f t="shared" si="371"/>
        <v>11.361776738749269</v>
      </c>
      <c r="S259" s="2">
        <f t="shared" si="372"/>
        <v>184</v>
      </c>
      <c r="T259" s="2">
        <f t="shared" si="373"/>
        <v>32</v>
      </c>
      <c r="U259" s="102">
        <f t="shared" si="374"/>
        <v>0.46</v>
      </c>
      <c r="V259" s="102">
        <f t="shared" si="375"/>
        <v>0.54</v>
      </c>
      <c r="W259" s="6">
        <f t="shared" si="376"/>
        <v>400</v>
      </c>
      <c r="X259" s="5">
        <f t="shared" si="377"/>
        <v>21.040327293980127</v>
      </c>
      <c r="Y259" s="6">
        <f t="shared" si="378"/>
        <v>0</v>
      </c>
      <c r="Z259" s="5">
        <f t="shared" si="379"/>
        <v>0</v>
      </c>
      <c r="AA259" s="21">
        <f t="shared" si="380"/>
        <v>0</v>
      </c>
      <c r="AB259" s="6">
        <f t="shared" si="381"/>
        <v>0</v>
      </c>
      <c r="AC259" s="5">
        <f t="shared" si="382"/>
        <v>0</v>
      </c>
      <c r="AD259" s="6">
        <f t="shared" si="383"/>
        <v>0</v>
      </c>
      <c r="AE259" s="5">
        <f t="shared" si="384"/>
        <v>0</v>
      </c>
      <c r="AF259" s="21">
        <f t="shared" si="385"/>
        <v>0</v>
      </c>
      <c r="AG259" s="6">
        <f t="shared" si="386"/>
        <v>0</v>
      </c>
      <c r="AH259" s="5">
        <f t="shared" si="387"/>
        <v>0</v>
      </c>
      <c r="AI259" s="21">
        <f t="shared" si="388"/>
        <v>0</v>
      </c>
      <c r="AJ259" s="6">
        <f t="shared" si="389"/>
        <v>0</v>
      </c>
      <c r="AK259" s="5">
        <f t="shared" si="390"/>
        <v>0</v>
      </c>
      <c r="AL259" s="21">
        <f t="shared" si="391"/>
        <v>0</v>
      </c>
      <c r="AM259" s="21">
        <f t="shared" si="392"/>
        <v>0.15780245470485094</v>
      </c>
      <c r="AN259" s="6">
        <f t="shared" si="393"/>
        <v>3</v>
      </c>
      <c r="AO259" s="5">
        <f t="shared" si="394"/>
        <v>0.15780245470485094</v>
      </c>
      <c r="AP259" s="6">
        <f t="shared" si="395"/>
        <v>0</v>
      </c>
      <c r="AQ259" s="5">
        <f t="shared" si="396"/>
        <v>0</v>
      </c>
      <c r="AR259" s="2">
        <f t="shared" si="397"/>
        <v>34</v>
      </c>
      <c r="AS259" s="5">
        <f t="shared" si="398"/>
        <v>1.7884278199883108</v>
      </c>
      <c r="AT259" s="21">
        <f t="shared" si="399"/>
        <v>0</v>
      </c>
      <c r="AU259" s="20">
        <f t="shared" si="400"/>
        <v>2.9411764705882353E-2</v>
      </c>
      <c r="AV259" s="20">
        <f t="shared" si="401"/>
        <v>1</v>
      </c>
      <c r="AW259" s="199">
        <f t="shared" si="402"/>
        <v>0</v>
      </c>
      <c r="AX259" s="24">
        <f t="shared" si="403"/>
        <v>50.323529411764703</v>
      </c>
      <c r="AY259" s="5">
        <f t="shared" si="404"/>
        <v>1</v>
      </c>
      <c r="AZ259" s="5">
        <f t="shared" si="405"/>
        <v>1</v>
      </c>
      <c r="BA259" s="5">
        <f t="shared" si="406"/>
        <v>0</v>
      </c>
      <c r="BB259" s="5">
        <f t="shared" si="407"/>
        <v>0</v>
      </c>
      <c r="BC259" s="5">
        <f t="shared" si="408"/>
        <v>-0.79</v>
      </c>
      <c r="BD259" s="5">
        <f t="shared" si="409"/>
        <v>-4.1554646405610754E-2</v>
      </c>
      <c r="BE259" s="199">
        <f t="shared" si="410"/>
        <v>0</v>
      </c>
      <c r="BF259" s="21">
        <f t="shared" si="411"/>
        <v>0</v>
      </c>
      <c r="BG259" s="6">
        <f t="shared" si="412"/>
        <v>2</v>
      </c>
      <c r="BH259" s="5">
        <f t="shared" si="413"/>
        <v>0.10520163646990063</v>
      </c>
      <c r="BI259" s="6">
        <f t="shared" si="414"/>
        <v>1</v>
      </c>
      <c r="BJ259" s="5">
        <f t="shared" si="415"/>
        <v>5.2600818234950317E-2</v>
      </c>
      <c r="BK259" s="20">
        <f t="shared" si="416"/>
        <v>0.5</v>
      </c>
      <c r="BL259" s="20">
        <f t="shared" si="417"/>
        <v>2.2926500337154418E-2</v>
      </c>
      <c r="BM259" s="6">
        <f t="shared" si="418"/>
        <v>34</v>
      </c>
      <c r="BN259" s="5">
        <f t="shared" si="419"/>
        <v>1.7884278199883108</v>
      </c>
      <c r="BO259" s="333">
        <f t="shared" si="420"/>
        <v>0</v>
      </c>
      <c r="BP259" s="334">
        <f t="shared" si="421"/>
        <v>0</v>
      </c>
      <c r="BQ259" s="6">
        <f t="shared" si="422"/>
        <v>0</v>
      </c>
      <c r="BR259" s="5">
        <f t="shared" si="423"/>
        <v>0</v>
      </c>
      <c r="BS259" s="6">
        <f t="shared" si="424"/>
        <v>0</v>
      </c>
      <c r="BT259" s="5">
        <f t="shared" si="425"/>
        <v>0</v>
      </c>
      <c r="BU259" s="181">
        <f t="shared" si="426"/>
        <v>3</v>
      </c>
      <c r="BV259" s="154">
        <f t="shared" si="427"/>
        <v>0.15780245470485094</v>
      </c>
      <c r="BW259" s="181">
        <f t="shared" si="428"/>
        <v>1</v>
      </c>
      <c r="BX259" s="180">
        <f t="shared" si="429"/>
        <v>5.2600818234950317E-2</v>
      </c>
      <c r="BY259" s="181">
        <f t="shared" si="430"/>
        <v>2</v>
      </c>
      <c r="BZ259" s="154">
        <f t="shared" si="431"/>
        <v>0.10520163646990063</v>
      </c>
      <c r="CA259" s="182">
        <f t="shared" si="432"/>
        <v>0.33333333333333331</v>
      </c>
      <c r="CB259" s="2">
        <f t="shared" si="433"/>
        <v>1</v>
      </c>
      <c r="CC259" s="2">
        <f t="shared" si="434"/>
        <v>0</v>
      </c>
      <c r="CD259" s="2">
        <f t="shared" si="435"/>
        <v>1</v>
      </c>
      <c r="CE259" s="2">
        <f t="shared" si="436"/>
        <v>15</v>
      </c>
      <c r="CF259" s="6">
        <f t="shared" si="437"/>
        <v>1</v>
      </c>
      <c r="CG259" s="6">
        <f t="shared" si="438"/>
        <v>445</v>
      </c>
      <c r="CH259" s="6">
        <f t="shared" si="439"/>
        <v>218</v>
      </c>
      <c r="CI259" s="20">
        <f t="shared" si="440"/>
        <v>0.48988764044943822</v>
      </c>
      <c r="CJ259" s="133">
        <f t="shared" si="441"/>
        <v>2521</v>
      </c>
      <c r="CK259" s="5">
        <f t="shared" si="442"/>
        <v>5.77</v>
      </c>
      <c r="CL259" s="302" t="s">
        <v>640</v>
      </c>
      <c r="CM259" s="298" t="s">
        <v>13</v>
      </c>
      <c r="CN259" s="298" t="s">
        <v>1695</v>
      </c>
      <c r="CO259" s="298">
        <v>23</v>
      </c>
      <c r="CP259" s="298" t="s">
        <v>1696</v>
      </c>
      <c r="CQ259" s="298" t="s">
        <v>1131</v>
      </c>
      <c r="CR259" s="298" t="s">
        <v>644</v>
      </c>
      <c r="CS259" s="298" t="s">
        <v>760</v>
      </c>
      <c r="CT259" s="298" t="s">
        <v>546</v>
      </c>
      <c r="CU259" s="299">
        <v>47118</v>
      </c>
      <c r="CV259" s="298">
        <v>0</v>
      </c>
      <c r="CW259" s="298">
        <v>1711</v>
      </c>
      <c r="CX259" s="298">
        <v>34</v>
      </c>
      <c r="CY259" s="298">
        <v>0</v>
      </c>
      <c r="CZ259" s="298">
        <v>0</v>
      </c>
      <c r="DA259" s="298">
        <v>0</v>
      </c>
      <c r="DB259" s="298">
        <v>0</v>
      </c>
      <c r="DC259" s="298">
        <v>0</v>
      </c>
      <c r="DD259" s="298">
        <v>0</v>
      </c>
      <c r="DE259" s="298">
        <v>3</v>
      </c>
      <c r="DF259" s="298">
        <v>1</v>
      </c>
      <c r="DG259" s="298">
        <v>0</v>
      </c>
      <c r="DH259" s="298">
        <v>1</v>
      </c>
      <c r="DI259" s="298">
        <v>15</v>
      </c>
      <c r="DJ259" s="298">
        <v>0</v>
      </c>
      <c r="DK259" s="298">
        <v>0</v>
      </c>
      <c r="DL259" s="298">
        <v>400</v>
      </c>
      <c r="DM259" s="298">
        <v>216</v>
      </c>
      <c r="DN259" s="298">
        <v>0</v>
      </c>
      <c r="DO259" s="298">
        <v>0</v>
      </c>
      <c r="DP259" s="298">
        <v>0</v>
      </c>
      <c r="DQ259" s="298">
        <v>2</v>
      </c>
      <c r="DR259" s="298">
        <v>1</v>
      </c>
      <c r="DS259" s="298">
        <v>0</v>
      </c>
      <c r="DT259" s="298">
        <v>2</v>
      </c>
      <c r="DU259" s="298">
        <v>1</v>
      </c>
      <c r="DV259" s="303">
        <v>5.77</v>
      </c>
    </row>
    <row r="260" spans="1:126" ht="24.95" customHeight="1" thickBot="1" x14ac:dyDescent="0.3">
      <c r="A260" s="29" t="str">
        <f t="shared" si="443"/>
        <v>259º</v>
      </c>
      <c r="B260" s="69" t="str">
        <f t="shared" si="356"/>
        <v>Janderson</v>
      </c>
      <c r="C260" s="269" t="str">
        <f t="shared" si="357"/>
        <v>BRA</v>
      </c>
      <c r="D260" s="99" t="str">
        <f t="shared" si="358"/>
        <v>Pé Direito</v>
      </c>
      <c r="E260" s="28" t="str">
        <f t="shared" si="359"/>
        <v>Porto de Caruaru</v>
      </c>
      <c r="F260" s="169">
        <f t="shared" si="360"/>
        <v>26</v>
      </c>
      <c r="G260" s="2" t="str">
        <f t="shared" si="361"/>
        <v>0 €</v>
      </c>
      <c r="H260" s="154">
        <f t="shared" si="362"/>
        <v>1.97</v>
      </c>
      <c r="I260" s="64">
        <f t="shared" si="363"/>
        <v>47118</v>
      </c>
      <c r="J260" s="304" t="str">
        <f t="shared" si="364"/>
        <v>500 € p/m</v>
      </c>
      <c r="K260" s="96">
        <f t="shared" si="444"/>
        <v>3.5222222222222221</v>
      </c>
      <c r="L260" s="146">
        <f t="shared" si="365"/>
        <v>29</v>
      </c>
      <c r="M260" s="6">
        <f t="shared" si="366"/>
        <v>1</v>
      </c>
      <c r="N260" s="5">
        <f t="shared" si="367"/>
        <v>2610</v>
      </c>
      <c r="O260" s="21">
        <f t="shared" si="368"/>
        <v>3.4482758620689655E-2</v>
      </c>
      <c r="P260" s="2">
        <f t="shared" si="369"/>
        <v>642</v>
      </c>
      <c r="Q260" s="2">
        <f t="shared" si="370"/>
        <v>385</v>
      </c>
      <c r="R260" s="5">
        <f t="shared" si="371"/>
        <v>13.275862068965518</v>
      </c>
      <c r="S260" s="2">
        <f t="shared" si="372"/>
        <v>257</v>
      </c>
      <c r="T260" s="2">
        <f t="shared" si="373"/>
        <v>128</v>
      </c>
      <c r="U260" s="102">
        <f t="shared" si="374"/>
        <v>0.40031152647975077</v>
      </c>
      <c r="V260" s="102">
        <f t="shared" si="375"/>
        <v>0.59968847352024923</v>
      </c>
      <c r="W260" s="6">
        <f t="shared" si="376"/>
        <v>642</v>
      </c>
      <c r="X260" s="5">
        <f t="shared" si="377"/>
        <v>22.137931034482758</v>
      </c>
      <c r="Y260" s="6">
        <f t="shared" si="378"/>
        <v>0</v>
      </c>
      <c r="Z260" s="5">
        <f t="shared" si="379"/>
        <v>0</v>
      </c>
      <c r="AA260" s="21">
        <f t="shared" si="380"/>
        <v>0</v>
      </c>
      <c r="AB260" s="6">
        <f t="shared" si="381"/>
        <v>0</v>
      </c>
      <c r="AC260" s="5">
        <f t="shared" si="382"/>
        <v>0</v>
      </c>
      <c r="AD260" s="6">
        <f t="shared" si="383"/>
        <v>7</v>
      </c>
      <c r="AE260" s="5">
        <f t="shared" si="384"/>
        <v>0.2413793103448276</v>
      </c>
      <c r="AF260" s="21">
        <f t="shared" si="385"/>
        <v>0.19444444444444445</v>
      </c>
      <c r="AG260" s="6">
        <f t="shared" si="386"/>
        <v>3</v>
      </c>
      <c r="AH260" s="5">
        <f t="shared" si="387"/>
        <v>0.10344827586206896</v>
      </c>
      <c r="AI260" s="21">
        <f t="shared" si="388"/>
        <v>8.3333333333333329E-2</v>
      </c>
      <c r="AJ260" s="6">
        <f t="shared" si="389"/>
        <v>26</v>
      </c>
      <c r="AK260" s="5">
        <f t="shared" si="390"/>
        <v>1.9584415584415584</v>
      </c>
      <c r="AL260" s="21">
        <f t="shared" si="391"/>
        <v>0.72222222222222221</v>
      </c>
      <c r="AM260" s="21">
        <f t="shared" si="392"/>
        <v>0.20689655172413793</v>
      </c>
      <c r="AN260" s="6">
        <f t="shared" si="393"/>
        <v>6</v>
      </c>
      <c r="AO260" s="5">
        <f t="shared" si="394"/>
        <v>0.20689655172413793</v>
      </c>
      <c r="AP260" s="6">
        <f t="shared" si="395"/>
        <v>36</v>
      </c>
      <c r="AQ260" s="5">
        <f t="shared" si="396"/>
        <v>1.2413793103448276</v>
      </c>
      <c r="AR260" s="2">
        <f t="shared" si="397"/>
        <v>79</v>
      </c>
      <c r="AS260" s="5">
        <f t="shared" si="398"/>
        <v>2.7241379310344827</v>
      </c>
      <c r="AT260" s="21">
        <f t="shared" si="399"/>
        <v>0.45569620253164556</v>
      </c>
      <c r="AU260" s="20">
        <f t="shared" si="400"/>
        <v>0.40277777777777779</v>
      </c>
      <c r="AV260" s="20">
        <f t="shared" si="401"/>
        <v>0.54430379746835444</v>
      </c>
      <c r="AW260" s="199">
        <f t="shared" si="402"/>
        <v>0.65822784810126578</v>
      </c>
      <c r="AX260" s="24">
        <f t="shared" si="403"/>
        <v>60.697674418604649</v>
      </c>
      <c r="AY260" s="5">
        <f t="shared" si="404"/>
        <v>1.8372093023255813</v>
      </c>
      <c r="AZ260" s="5">
        <f t="shared" si="405"/>
        <v>1.6744186046511629</v>
      </c>
      <c r="BA260" s="5">
        <f t="shared" si="406"/>
        <v>-0.8</v>
      </c>
      <c r="BB260" s="5">
        <f t="shared" si="407"/>
        <v>-2.7586206896551727E-2</v>
      </c>
      <c r="BC260" s="5">
        <f t="shared" si="408"/>
        <v>-0.8</v>
      </c>
      <c r="BD260" s="5">
        <f t="shared" si="409"/>
        <v>-2.7586206896551727E-2</v>
      </c>
      <c r="BE260" s="199">
        <f t="shared" si="410"/>
        <v>-0.13333333333333336</v>
      </c>
      <c r="BF260" s="21">
        <f t="shared" si="411"/>
        <v>-1.8957345971563982E-2</v>
      </c>
      <c r="BG260" s="6">
        <f t="shared" si="412"/>
        <v>1</v>
      </c>
      <c r="BH260" s="5">
        <f t="shared" si="413"/>
        <v>3.4482758620689655E-2</v>
      </c>
      <c r="BI260" s="6">
        <f t="shared" si="414"/>
        <v>0</v>
      </c>
      <c r="BJ260" s="5">
        <f t="shared" si="415"/>
        <v>0</v>
      </c>
      <c r="BK260" s="20">
        <f t="shared" si="416"/>
        <v>0</v>
      </c>
      <c r="BL260" s="20">
        <f t="shared" si="417"/>
        <v>2.8995279838165879E-2</v>
      </c>
      <c r="BM260" s="6">
        <f t="shared" si="418"/>
        <v>43</v>
      </c>
      <c r="BN260" s="5">
        <f t="shared" si="419"/>
        <v>1.4827586206896552</v>
      </c>
      <c r="BO260" s="333">
        <f t="shared" si="420"/>
        <v>0</v>
      </c>
      <c r="BP260" s="334">
        <f t="shared" si="421"/>
        <v>0</v>
      </c>
      <c r="BQ260" s="6">
        <f t="shared" si="422"/>
        <v>40.599999999999994</v>
      </c>
      <c r="BR260" s="5">
        <f t="shared" si="423"/>
        <v>1.4</v>
      </c>
      <c r="BS260" s="6">
        <f t="shared" si="424"/>
        <v>75.400000000000006</v>
      </c>
      <c r="BT260" s="5">
        <f t="shared" si="425"/>
        <v>2.6</v>
      </c>
      <c r="BU260" s="181">
        <f t="shared" si="426"/>
        <v>1</v>
      </c>
      <c r="BV260" s="154">
        <f t="shared" si="427"/>
        <v>3.4482758620689655E-2</v>
      </c>
      <c r="BW260" s="181">
        <f t="shared" si="428"/>
        <v>0</v>
      </c>
      <c r="BX260" s="180">
        <f t="shared" si="429"/>
        <v>0</v>
      </c>
      <c r="BY260" s="181">
        <f t="shared" si="430"/>
        <v>1</v>
      </c>
      <c r="BZ260" s="154">
        <f t="shared" si="431"/>
        <v>3.4482758620689655E-2</v>
      </c>
      <c r="CA260" s="182">
        <f t="shared" si="432"/>
        <v>0</v>
      </c>
      <c r="CB260" s="2">
        <f t="shared" si="433"/>
        <v>0</v>
      </c>
      <c r="CC260" s="2">
        <f t="shared" si="434"/>
        <v>0</v>
      </c>
      <c r="CD260" s="2">
        <f t="shared" si="435"/>
        <v>0</v>
      </c>
      <c r="CE260" s="2">
        <f t="shared" si="436"/>
        <v>13</v>
      </c>
      <c r="CF260" s="6">
        <f t="shared" si="437"/>
        <v>0</v>
      </c>
      <c r="CG260" s="6">
        <f t="shared" si="438"/>
        <v>738.45799999999997</v>
      </c>
      <c r="CH260" s="6">
        <f t="shared" si="439"/>
        <v>421</v>
      </c>
      <c r="CI260" s="20">
        <f t="shared" si="440"/>
        <v>0.57010689842888829</v>
      </c>
      <c r="CJ260" s="133">
        <f t="shared" si="441"/>
        <v>2521</v>
      </c>
      <c r="CK260" s="5">
        <f t="shared" si="442"/>
        <v>6.82</v>
      </c>
      <c r="CL260" s="300" t="s">
        <v>19</v>
      </c>
      <c r="CM260" s="296" t="s">
        <v>13</v>
      </c>
      <c r="CN260" s="296" t="s">
        <v>1697</v>
      </c>
      <c r="CO260" s="296">
        <v>26</v>
      </c>
      <c r="CP260" s="296" t="s">
        <v>1698</v>
      </c>
      <c r="CQ260" s="296" t="s">
        <v>1131</v>
      </c>
      <c r="CR260" s="296" t="s">
        <v>644</v>
      </c>
      <c r="CS260" s="296" t="s">
        <v>760</v>
      </c>
      <c r="CT260" s="296" t="s">
        <v>1281</v>
      </c>
      <c r="CU260" s="297">
        <v>47118</v>
      </c>
      <c r="CV260" s="296">
        <v>1</v>
      </c>
      <c r="CW260" s="296">
        <v>2610</v>
      </c>
      <c r="CX260" s="296">
        <v>43</v>
      </c>
      <c r="CY260" s="296">
        <v>7</v>
      </c>
      <c r="CZ260" s="296">
        <v>3</v>
      </c>
      <c r="DA260" s="296">
        <v>26</v>
      </c>
      <c r="DB260" s="296">
        <v>0</v>
      </c>
      <c r="DC260" s="296">
        <v>1.4</v>
      </c>
      <c r="DD260" s="296">
        <v>2.6</v>
      </c>
      <c r="DE260" s="296">
        <v>6</v>
      </c>
      <c r="DF260" s="296">
        <v>0</v>
      </c>
      <c r="DG260" s="296">
        <v>0</v>
      </c>
      <c r="DH260" s="296">
        <v>0</v>
      </c>
      <c r="DI260" s="296">
        <v>13</v>
      </c>
      <c r="DJ260" s="296">
        <v>0</v>
      </c>
      <c r="DK260" s="296">
        <v>0</v>
      </c>
      <c r="DL260" s="296">
        <v>642</v>
      </c>
      <c r="DM260" s="296">
        <v>385</v>
      </c>
      <c r="DN260" s="296" t="s">
        <v>1699</v>
      </c>
      <c r="DO260" s="296">
        <v>0</v>
      </c>
      <c r="DP260" s="296">
        <v>0</v>
      </c>
      <c r="DQ260" s="296">
        <v>1</v>
      </c>
      <c r="DR260" s="296">
        <v>0</v>
      </c>
      <c r="DS260" s="296">
        <v>0</v>
      </c>
      <c r="DT260" s="296">
        <v>1</v>
      </c>
      <c r="DU260" s="296">
        <v>0</v>
      </c>
      <c r="DV260" s="301">
        <v>6.82</v>
      </c>
    </row>
    <row r="261" spans="1:126" ht="24.95" customHeight="1" thickBot="1" x14ac:dyDescent="0.3">
      <c r="A261" s="29" t="str">
        <f t="shared" si="443"/>
        <v>260º</v>
      </c>
      <c r="B261" s="69" t="str">
        <f t="shared" si="356"/>
        <v>Eduardo</v>
      </c>
      <c r="C261" s="269" t="str">
        <f t="shared" si="357"/>
        <v>BRA</v>
      </c>
      <c r="D261" s="99" t="str">
        <f t="shared" si="358"/>
        <v>Pé Direito</v>
      </c>
      <c r="E261" s="28" t="str">
        <f t="shared" si="359"/>
        <v>Petrolina</v>
      </c>
      <c r="F261" s="169">
        <f t="shared" si="360"/>
        <v>25</v>
      </c>
      <c r="G261" s="2" t="str">
        <f t="shared" si="361"/>
        <v>0 €</v>
      </c>
      <c r="H261" s="154">
        <f t="shared" si="362"/>
        <v>1.9</v>
      </c>
      <c r="I261" s="64">
        <f t="shared" si="363"/>
        <v>47118</v>
      </c>
      <c r="J261" s="304" t="str">
        <f t="shared" si="364"/>
        <v>500 € p/m</v>
      </c>
      <c r="K261" s="96">
        <f t="shared" si="444"/>
        <v>3.5222222222222221</v>
      </c>
      <c r="L261" s="146">
        <f t="shared" si="365"/>
        <v>0</v>
      </c>
      <c r="M261" s="6">
        <f t="shared" si="366"/>
        <v>0</v>
      </c>
      <c r="N261" s="5">
        <f t="shared" si="367"/>
        <v>5400</v>
      </c>
      <c r="O261" s="21">
        <f t="shared" si="368"/>
        <v>0</v>
      </c>
      <c r="P261" s="2">
        <f t="shared" si="369"/>
        <v>0</v>
      </c>
      <c r="Q261" s="2">
        <f t="shared" si="370"/>
        <v>0</v>
      </c>
      <c r="R261" s="5">
        <f t="shared" si="371"/>
        <v>0</v>
      </c>
      <c r="S261" s="2">
        <f t="shared" si="372"/>
        <v>0</v>
      </c>
      <c r="T261" s="2">
        <f t="shared" si="373"/>
        <v>0</v>
      </c>
      <c r="U261" s="102">
        <f t="shared" si="374"/>
        <v>0</v>
      </c>
      <c r="V261" s="102">
        <f t="shared" si="375"/>
        <v>0</v>
      </c>
      <c r="W261" s="6">
        <f t="shared" si="376"/>
        <v>0</v>
      </c>
      <c r="X261" s="5">
        <f t="shared" si="377"/>
        <v>0</v>
      </c>
      <c r="Y261" s="6">
        <f t="shared" si="378"/>
        <v>0</v>
      </c>
      <c r="Z261" s="5" t="e">
        <f t="shared" si="379"/>
        <v>#DIV/0!</v>
      </c>
      <c r="AA261" s="21">
        <f t="shared" si="380"/>
        <v>0</v>
      </c>
      <c r="AB261" s="6">
        <f t="shared" si="381"/>
        <v>0</v>
      </c>
      <c r="AC261" s="5" t="e">
        <f t="shared" si="382"/>
        <v>#DIV/0!</v>
      </c>
      <c r="AD261" s="6">
        <f t="shared" si="383"/>
        <v>0</v>
      </c>
      <c r="AE261" s="5">
        <f t="shared" si="384"/>
        <v>0</v>
      </c>
      <c r="AF261" s="21">
        <f t="shared" si="385"/>
        <v>0</v>
      </c>
      <c r="AG261" s="6">
        <f t="shared" si="386"/>
        <v>0</v>
      </c>
      <c r="AH261" s="5">
        <f t="shared" si="387"/>
        <v>0</v>
      </c>
      <c r="AI261" s="21">
        <f t="shared" si="388"/>
        <v>0</v>
      </c>
      <c r="AJ261" s="6">
        <f t="shared" si="389"/>
        <v>0</v>
      </c>
      <c r="AK261" s="5">
        <f t="shared" si="390"/>
        <v>0</v>
      </c>
      <c r="AL261" s="21">
        <f t="shared" si="391"/>
        <v>0</v>
      </c>
      <c r="AM261" s="21">
        <f t="shared" si="392"/>
        <v>0</v>
      </c>
      <c r="AN261" s="6">
        <f t="shared" si="393"/>
        <v>0</v>
      </c>
      <c r="AO261" s="5">
        <f t="shared" si="394"/>
        <v>0</v>
      </c>
      <c r="AP261" s="6">
        <f t="shared" si="395"/>
        <v>0</v>
      </c>
      <c r="AQ261" s="5">
        <f t="shared" si="396"/>
        <v>0</v>
      </c>
      <c r="AR261" s="2">
        <f t="shared" si="397"/>
        <v>0</v>
      </c>
      <c r="AS261" s="5">
        <f t="shared" si="398"/>
        <v>0</v>
      </c>
      <c r="AT261" s="21">
        <f t="shared" si="399"/>
        <v>0</v>
      </c>
      <c r="AU261" s="20">
        <f t="shared" si="400"/>
        <v>0</v>
      </c>
      <c r="AV261" s="20">
        <f t="shared" si="401"/>
        <v>1</v>
      </c>
      <c r="AW261" s="199">
        <f t="shared" si="402"/>
        <v>0</v>
      </c>
      <c r="AX261" s="24">
        <f t="shared" si="403"/>
        <v>0</v>
      </c>
      <c r="AY261" s="5">
        <f t="shared" si="404"/>
        <v>0</v>
      </c>
      <c r="AZ261" s="5">
        <f t="shared" si="405"/>
        <v>0</v>
      </c>
      <c r="BA261" s="5">
        <f t="shared" si="406"/>
        <v>0</v>
      </c>
      <c r="BB261" s="5">
        <f t="shared" si="407"/>
        <v>0</v>
      </c>
      <c r="BC261" s="5">
        <f t="shared" si="408"/>
        <v>0</v>
      </c>
      <c r="BD261" s="5">
        <f t="shared" si="409"/>
        <v>0</v>
      </c>
      <c r="BE261" s="199">
        <f t="shared" si="410"/>
        <v>0</v>
      </c>
      <c r="BF261" s="21">
        <f t="shared" si="411"/>
        <v>0</v>
      </c>
      <c r="BG261" s="6">
        <f t="shared" si="412"/>
        <v>0</v>
      </c>
      <c r="BH261" s="5" t="e">
        <f t="shared" si="413"/>
        <v>#DIV/0!</v>
      </c>
      <c r="BI261" s="6">
        <f t="shared" si="414"/>
        <v>0</v>
      </c>
      <c r="BJ261" s="5" t="e">
        <f t="shared" si="415"/>
        <v>#DIV/0!</v>
      </c>
      <c r="BK261" s="20">
        <f t="shared" si="416"/>
        <v>-9.9999999999999998E-13</v>
      </c>
      <c r="BL261" s="20">
        <f t="shared" si="417"/>
        <v>0</v>
      </c>
      <c r="BM261" s="6">
        <f t="shared" si="418"/>
        <v>0</v>
      </c>
      <c r="BN261" s="5">
        <f t="shared" si="419"/>
        <v>0</v>
      </c>
      <c r="BO261" s="333">
        <f t="shared" si="420"/>
        <v>0</v>
      </c>
      <c r="BP261" s="334">
        <f t="shared" si="421"/>
        <v>0</v>
      </c>
      <c r="BQ261" s="6">
        <f t="shared" si="422"/>
        <v>0</v>
      </c>
      <c r="BR261" s="5">
        <f t="shared" si="423"/>
        <v>0</v>
      </c>
      <c r="BS261" s="6">
        <f t="shared" si="424"/>
        <v>0</v>
      </c>
      <c r="BT261" s="5">
        <f t="shared" si="425"/>
        <v>0</v>
      </c>
      <c r="BU261" s="181">
        <f t="shared" si="426"/>
        <v>0</v>
      </c>
      <c r="BV261" s="154">
        <f t="shared" si="427"/>
        <v>0</v>
      </c>
      <c r="BW261" s="181">
        <f t="shared" si="428"/>
        <v>0</v>
      </c>
      <c r="BX261" s="180">
        <f t="shared" si="429"/>
        <v>0</v>
      </c>
      <c r="BY261" s="181">
        <f t="shared" si="430"/>
        <v>0</v>
      </c>
      <c r="BZ261" s="154">
        <f t="shared" si="431"/>
        <v>0</v>
      </c>
      <c r="CA261" s="182">
        <f t="shared" si="432"/>
        <v>0</v>
      </c>
      <c r="CB261" s="2">
        <f t="shared" si="433"/>
        <v>0</v>
      </c>
      <c r="CC261" s="2">
        <f t="shared" si="434"/>
        <v>0</v>
      </c>
      <c r="CD261" s="2">
        <f t="shared" si="435"/>
        <v>0</v>
      </c>
      <c r="CE261" s="2">
        <f t="shared" si="436"/>
        <v>0</v>
      </c>
      <c r="CF261" s="6">
        <f t="shared" si="437"/>
        <v>0</v>
      </c>
      <c r="CG261" s="6">
        <f t="shared" si="438"/>
        <v>0</v>
      </c>
      <c r="CH261" s="6">
        <f t="shared" si="439"/>
        <v>0</v>
      </c>
      <c r="CI261" s="20">
        <f t="shared" si="440"/>
        <v>0</v>
      </c>
      <c r="CJ261" s="133">
        <f t="shared" si="441"/>
        <v>2521</v>
      </c>
      <c r="CK261" s="5">
        <f t="shared" si="442"/>
        <v>0</v>
      </c>
      <c r="CL261" s="302"/>
      <c r="CM261" s="298" t="s">
        <v>13</v>
      </c>
      <c r="CN261" s="298" t="s">
        <v>1700</v>
      </c>
      <c r="CO261" s="298">
        <v>25</v>
      </c>
      <c r="CP261" s="298" t="s">
        <v>1477</v>
      </c>
      <c r="CQ261" s="298" t="s">
        <v>1131</v>
      </c>
      <c r="CR261" s="298" t="s">
        <v>644</v>
      </c>
      <c r="CS261" s="298" t="s">
        <v>760</v>
      </c>
      <c r="CT261" s="298" t="s">
        <v>682</v>
      </c>
      <c r="CU261" s="299">
        <v>47118</v>
      </c>
      <c r="CV261" s="298">
        <v>0</v>
      </c>
      <c r="CW261" s="298">
        <v>0</v>
      </c>
      <c r="CX261" s="298">
        <v>0</v>
      </c>
      <c r="CY261" s="298">
        <v>0</v>
      </c>
      <c r="CZ261" s="298">
        <v>0</v>
      </c>
      <c r="DA261" s="298">
        <v>0</v>
      </c>
      <c r="DB261" s="298">
        <v>0</v>
      </c>
      <c r="DC261" s="298">
        <v>0</v>
      </c>
      <c r="DD261" s="298">
        <v>0</v>
      </c>
      <c r="DE261" s="298">
        <v>0</v>
      </c>
      <c r="DF261" s="298">
        <v>0</v>
      </c>
      <c r="DG261" s="298">
        <v>0</v>
      </c>
      <c r="DH261" s="298">
        <v>0</v>
      </c>
      <c r="DI261" s="298">
        <v>0</v>
      </c>
      <c r="DJ261" s="298">
        <v>0</v>
      </c>
      <c r="DK261" s="298">
        <v>0</v>
      </c>
      <c r="DL261" s="298">
        <v>0</v>
      </c>
      <c r="DM261" s="298">
        <v>0</v>
      </c>
      <c r="DN261" s="298">
        <v>0</v>
      </c>
      <c r="DO261" s="298">
        <v>0</v>
      </c>
      <c r="DP261" s="298">
        <v>0</v>
      </c>
      <c r="DQ261" s="298">
        <v>0</v>
      </c>
      <c r="DR261" s="298">
        <v>0</v>
      </c>
      <c r="DS261" s="298">
        <v>0</v>
      </c>
      <c r="DT261" s="298">
        <v>0</v>
      </c>
      <c r="DU261" s="298">
        <v>0</v>
      </c>
      <c r="DV261" s="303" t="s">
        <v>548</v>
      </c>
    </row>
    <row r="262" spans="1:126" ht="24.95" customHeight="1" thickBot="1" x14ac:dyDescent="0.3">
      <c r="A262" s="29" t="str">
        <f t="shared" si="443"/>
        <v>261º</v>
      </c>
      <c r="B262" s="69" t="str">
        <f t="shared" si="356"/>
        <v>Marlisson Souza Alves</v>
      </c>
      <c r="C262" s="269" t="str">
        <f t="shared" si="357"/>
        <v>BRA</v>
      </c>
      <c r="D262" s="99" t="str">
        <f t="shared" si="358"/>
        <v>Pé Direito</v>
      </c>
      <c r="E262" s="28" t="str">
        <f t="shared" si="359"/>
        <v>Corisabbá</v>
      </c>
      <c r="F262" s="169">
        <f t="shared" si="360"/>
        <v>21</v>
      </c>
      <c r="G262" s="2" t="str">
        <f t="shared" si="361"/>
        <v>0 €</v>
      </c>
      <c r="H262" s="154">
        <f t="shared" si="362"/>
        <v>1.84</v>
      </c>
      <c r="I262" s="64">
        <f t="shared" si="363"/>
        <v>47118</v>
      </c>
      <c r="J262" s="304" t="str">
        <f t="shared" si="364"/>
        <v>500 € p/m</v>
      </c>
      <c r="K262" s="96">
        <f t="shared" si="444"/>
        <v>3.5222222222222221</v>
      </c>
      <c r="L262" s="146">
        <f t="shared" si="365"/>
        <v>0.75555555555555554</v>
      </c>
      <c r="M262" s="6">
        <f t="shared" si="366"/>
        <v>0</v>
      </c>
      <c r="N262" s="5">
        <f t="shared" si="367"/>
        <v>5400</v>
      </c>
      <c r="O262" s="21">
        <f t="shared" si="368"/>
        <v>0</v>
      </c>
      <c r="P262" s="2">
        <f t="shared" si="369"/>
        <v>19</v>
      </c>
      <c r="Q262" s="2">
        <f t="shared" si="370"/>
        <v>8</v>
      </c>
      <c r="R262" s="5">
        <f t="shared" si="371"/>
        <v>10.588235294117647</v>
      </c>
      <c r="S262" s="2">
        <f t="shared" si="372"/>
        <v>11</v>
      </c>
      <c r="T262" s="2">
        <f t="shared" si="373"/>
        <v>-3</v>
      </c>
      <c r="U262" s="102">
        <f t="shared" si="374"/>
        <v>0.57894736842105265</v>
      </c>
      <c r="V262" s="102">
        <f t="shared" si="375"/>
        <v>0.42105263157894735</v>
      </c>
      <c r="W262" s="6">
        <f t="shared" si="376"/>
        <v>19</v>
      </c>
      <c r="X262" s="5">
        <f t="shared" si="377"/>
        <v>25.147058823529413</v>
      </c>
      <c r="Y262" s="6">
        <f t="shared" si="378"/>
        <v>0</v>
      </c>
      <c r="Z262" s="5">
        <f t="shared" si="379"/>
        <v>0</v>
      </c>
      <c r="AA262" s="21">
        <f t="shared" si="380"/>
        <v>0</v>
      </c>
      <c r="AB262" s="6">
        <f t="shared" si="381"/>
        <v>0</v>
      </c>
      <c r="AC262" s="5">
        <f t="shared" si="382"/>
        <v>0</v>
      </c>
      <c r="AD262" s="6">
        <f t="shared" si="383"/>
        <v>0</v>
      </c>
      <c r="AE262" s="5">
        <f t="shared" si="384"/>
        <v>0</v>
      </c>
      <c r="AF262" s="21">
        <f t="shared" si="385"/>
        <v>0</v>
      </c>
      <c r="AG262" s="6">
        <f t="shared" si="386"/>
        <v>0</v>
      </c>
      <c r="AH262" s="5">
        <f t="shared" si="387"/>
        <v>0</v>
      </c>
      <c r="AI262" s="21">
        <f t="shared" si="388"/>
        <v>0</v>
      </c>
      <c r="AJ262" s="6">
        <f t="shared" si="389"/>
        <v>1</v>
      </c>
      <c r="AK262" s="5">
        <f t="shared" si="390"/>
        <v>9.4444444444444442E-2</v>
      </c>
      <c r="AL262" s="21">
        <f t="shared" si="391"/>
        <v>1</v>
      </c>
      <c r="AM262" s="21">
        <f t="shared" si="392"/>
        <v>0</v>
      </c>
      <c r="AN262" s="6">
        <f t="shared" si="393"/>
        <v>0</v>
      </c>
      <c r="AO262" s="5">
        <f t="shared" si="394"/>
        <v>0</v>
      </c>
      <c r="AP262" s="6">
        <f t="shared" si="395"/>
        <v>1</v>
      </c>
      <c r="AQ262" s="5">
        <f t="shared" si="396"/>
        <v>1.3235294117647058</v>
      </c>
      <c r="AR262" s="2">
        <f t="shared" si="397"/>
        <v>2</v>
      </c>
      <c r="AS262" s="5">
        <f t="shared" si="398"/>
        <v>2.6470588235294117</v>
      </c>
      <c r="AT262" s="21">
        <f t="shared" si="399"/>
        <v>0.5</v>
      </c>
      <c r="AU262" s="20">
        <f t="shared" si="400"/>
        <v>0.5</v>
      </c>
      <c r="AV262" s="20">
        <f t="shared" si="401"/>
        <v>0.5</v>
      </c>
      <c r="AW262" s="199">
        <f t="shared" si="402"/>
        <v>0.75</v>
      </c>
      <c r="AX262" s="24">
        <f t="shared" si="403"/>
        <v>68</v>
      </c>
      <c r="AY262" s="5">
        <f t="shared" si="404"/>
        <v>2</v>
      </c>
      <c r="AZ262" s="5">
        <f t="shared" si="405"/>
        <v>2</v>
      </c>
      <c r="BA262" s="5">
        <f t="shared" si="406"/>
        <v>-0.14000000000000001</v>
      </c>
      <c r="BB262" s="5">
        <f t="shared" si="407"/>
        <v>-0.18529411764705886</v>
      </c>
      <c r="BC262" s="5">
        <f t="shared" si="408"/>
        <v>-0.14000000000000001</v>
      </c>
      <c r="BD262" s="5">
        <f t="shared" si="409"/>
        <v>-0.18529411764705886</v>
      </c>
      <c r="BE262" s="199">
        <f t="shared" si="410"/>
        <v>-0.18529411764705886</v>
      </c>
      <c r="BF262" s="21">
        <f t="shared" si="411"/>
        <v>-0.16279069767441862</v>
      </c>
      <c r="BG262" s="6">
        <f t="shared" si="412"/>
        <v>0</v>
      </c>
      <c r="BH262" s="5">
        <f t="shared" si="413"/>
        <v>0</v>
      </c>
      <c r="BI262" s="6">
        <f t="shared" si="414"/>
        <v>0</v>
      </c>
      <c r="BJ262" s="5">
        <f t="shared" si="415"/>
        <v>0</v>
      </c>
      <c r="BK262" s="20">
        <f t="shared" si="416"/>
        <v>-9.9999999999999998E-13</v>
      </c>
      <c r="BL262" s="20">
        <f t="shared" si="417"/>
        <v>6.7430883344571813E-4</v>
      </c>
      <c r="BM262" s="6">
        <f t="shared" si="418"/>
        <v>1</v>
      </c>
      <c r="BN262" s="5">
        <f t="shared" si="419"/>
        <v>1.3235294117647058</v>
      </c>
      <c r="BO262" s="333">
        <f t="shared" si="420"/>
        <v>0</v>
      </c>
      <c r="BP262" s="334">
        <f t="shared" si="421"/>
        <v>0</v>
      </c>
      <c r="BQ262" s="6">
        <f t="shared" si="422"/>
        <v>0</v>
      </c>
      <c r="BR262" s="5">
        <f t="shared" si="423"/>
        <v>0</v>
      </c>
      <c r="BS262" s="6">
        <f t="shared" si="424"/>
        <v>0</v>
      </c>
      <c r="BT262" s="5">
        <f t="shared" si="425"/>
        <v>0</v>
      </c>
      <c r="BU262" s="181">
        <f t="shared" si="426"/>
        <v>0</v>
      </c>
      <c r="BV262" s="154">
        <f t="shared" si="427"/>
        <v>0</v>
      </c>
      <c r="BW262" s="181">
        <f t="shared" si="428"/>
        <v>0</v>
      </c>
      <c r="BX262" s="180">
        <f t="shared" si="429"/>
        <v>0</v>
      </c>
      <c r="BY262" s="181">
        <f t="shared" si="430"/>
        <v>0</v>
      </c>
      <c r="BZ262" s="154">
        <f t="shared" si="431"/>
        <v>0</v>
      </c>
      <c r="CA262" s="182">
        <f t="shared" si="432"/>
        <v>0</v>
      </c>
      <c r="CB262" s="2">
        <f t="shared" si="433"/>
        <v>0</v>
      </c>
      <c r="CC262" s="2">
        <f t="shared" si="434"/>
        <v>0</v>
      </c>
      <c r="CD262" s="2">
        <f t="shared" si="435"/>
        <v>0</v>
      </c>
      <c r="CE262" s="2">
        <f t="shared" si="436"/>
        <v>0</v>
      </c>
      <c r="CF262" s="6">
        <f t="shared" si="437"/>
        <v>0</v>
      </c>
      <c r="CG262" s="6">
        <f t="shared" si="438"/>
        <v>21</v>
      </c>
      <c r="CH262" s="6">
        <f t="shared" si="439"/>
        <v>9</v>
      </c>
      <c r="CI262" s="20">
        <f t="shared" si="440"/>
        <v>0.42857142857142855</v>
      </c>
      <c r="CJ262" s="133">
        <f t="shared" si="441"/>
        <v>2521</v>
      </c>
      <c r="CK262" s="5">
        <f t="shared" si="442"/>
        <v>6.7</v>
      </c>
      <c r="CL262" s="300" t="s">
        <v>1235</v>
      </c>
      <c r="CM262" s="296" t="s">
        <v>13</v>
      </c>
      <c r="CN262" s="296" t="s">
        <v>1701</v>
      </c>
      <c r="CO262" s="296">
        <v>21</v>
      </c>
      <c r="CP262" s="296" t="s">
        <v>1702</v>
      </c>
      <c r="CQ262" s="296" t="s">
        <v>1131</v>
      </c>
      <c r="CR262" s="296" t="s">
        <v>644</v>
      </c>
      <c r="CS262" s="296" t="s">
        <v>760</v>
      </c>
      <c r="CT262" s="296" t="s">
        <v>574</v>
      </c>
      <c r="CU262" s="297">
        <v>47118</v>
      </c>
      <c r="CV262" s="296">
        <v>0</v>
      </c>
      <c r="CW262" s="296">
        <v>68</v>
      </c>
      <c r="CX262" s="296">
        <v>1</v>
      </c>
      <c r="CY262" s="296">
        <v>0</v>
      </c>
      <c r="CZ262" s="296">
        <v>0</v>
      </c>
      <c r="DA262" s="296">
        <v>1</v>
      </c>
      <c r="DB262" s="296">
        <v>0</v>
      </c>
      <c r="DC262" s="296">
        <v>0</v>
      </c>
      <c r="DD262" s="296">
        <v>0</v>
      </c>
      <c r="DE262" s="296">
        <v>0</v>
      </c>
      <c r="DF262" s="296">
        <v>0</v>
      </c>
      <c r="DG262" s="296">
        <v>0</v>
      </c>
      <c r="DH262" s="296">
        <v>0</v>
      </c>
      <c r="DI262" s="296">
        <v>0</v>
      </c>
      <c r="DJ262" s="296">
        <v>0</v>
      </c>
      <c r="DK262" s="296">
        <v>0</v>
      </c>
      <c r="DL262" s="296">
        <v>19</v>
      </c>
      <c r="DM262" s="296">
        <v>8</v>
      </c>
      <c r="DN262" s="296" t="s">
        <v>1703</v>
      </c>
      <c r="DO262" s="296">
        <v>0</v>
      </c>
      <c r="DP262" s="296">
        <v>0</v>
      </c>
      <c r="DQ262" s="296">
        <v>0</v>
      </c>
      <c r="DR262" s="296">
        <v>0</v>
      </c>
      <c r="DS262" s="296">
        <v>0</v>
      </c>
      <c r="DT262" s="296">
        <v>0</v>
      </c>
      <c r="DU262" s="296">
        <v>0</v>
      </c>
      <c r="DV262" s="301">
        <v>6.7</v>
      </c>
    </row>
    <row r="263" spans="1:126" ht="24.95" customHeight="1" thickBot="1" x14ac:dyDescent="0.3">
      <c r="A263" s="29" t="str">
        <f t="shared" si="443"/>
        <v>262º</v>
      </c>
      <c r="B263" s="69" t="str">
        <f t="shared" si="356"/>
        <v>Ewerton</v>
      </c>
      <c r="C263" s="269" t="str">
        <f t="shared" si="357"/>
        <v>BRA</v>
      </c>
      <c r="D263" s="99" t="str">
        <f t="shared" si="358"/>
        <v>Pé Direito</v>
      </c>
      <c r="E263" s="28" t="str">
        <f t="shared" si="359"/>
        <v>Genus</v>
      </c>
      <c r="F263" s="169">
        <f t="shared" si="360"/>
        <v>18</v>
      </c>
      <c r="G263" s="2" t="str">
        <f t="shared" si="361"/>
        <v>0 €</v>
      </c>
      <c r="H263" s="154">
        <f t="shared" si="362"/>
        <v>1.87</v>
      </c>
      <c r="I263" s="64">
        <f t="shared" si="363"/>
        <v>47118</v>
      </c>
      <c r="J263" s="304" t="str">
        <f t="shared" si="364"/>
        <v>500 € p/m</v>
      </c>
      <c r="K263" s="96">
        <f t="shared" si="444"/>
        <v>3.5222222222222221</v>
      </c>
      <c r="L263" s="146">
        <f t="shared" si="365"/>
        <v>0</v>
      </c>
      <c r="M263" s="6">
        <f t="shared" si="366"/>
        <v>0</v>
      </c>
      <c r="N263" s="5">
        <f t="shared" si="367"/>
        <v>5400</v>
      </c>
      <c r="O263" s="21">
        <f t="shared" si="368"/>
        <v>0</v>
      </c>
      <c r="P263" s="2">
        <f t="shared" si="369"/>
        <v>0</v>
      </c>
      <c r="Q263" s="2">
        <f t="shared" si="370"/>
        <v>0</v>
      </c>
      <c r="R263" s="5">
        <f t="shared" si="371"/>
        <v>0</v>
      </c>
      <c r="S263" s="2">
        <f t="shared" si="372"/>
        <v>0</v>
      </c>
      <c r="T263" s="2">
        <f t="shared" si="373"/>
        <v>0</v>
      </c>
      <c r="U263" s="102">
        <f t="shared" si="374"/>
        <v>0</v>
      </c>
      <c r="V263" s="102">
        <f t="shared" si="375"/>
        <v>0</v>
      </c>
      <c r="W263" s="6">
        <f t="shared" si="376"/>
        <v>0</v>
      </c>
      <c r="X263" s="5">
        <f t="shared" si="377"/>
        <v>0</v>
      </c>
      <c r="Y263" s="6">
        <f t="shared" si="378"/>
        <v>0</v>
      </c>
      <c r="Z263" s="5" t="e">
        <f t="shared" si="379"/>
        <v>#DIV/0!</v>
      </c>
      <c r="AA263" s="21">
        <f t="shared" si="380"/>
        <v>0</v>
      </c>
      <c r="AB263" s="6">
        <f t="shared" si="381"/>
        <v>0</v>
      </c>
      <c r="AC263" s="5" t="e">
        <f t="shared" si="382"/>
        <v>#DIV/0!</v>
      </c>
      <c r="AD263" s="6">
        <f t="shared" si="383"/>
        <v>0</v>
      </c>
      <c r="AE263" s="5">
        <f t="shared" si="384"/>
        <v>0</v>
      </c>
      <c r="AF263" s="21">
        <f t="shared" si="385"/>
        <v>0</v>
      </c>
      <c r="AG263" s="6">
        <f t="shared" si="386"/>
        <v>0</v>
      </c>
      <c r="AH263" s="5">
        <f t="shared" si="387"/>
        <v>0</v>
      </c>
      <c r="AI263" s="21">
        <f t="shared" si="388"/>
        <v>0</v>
      </c>
      <c r="AJ263" s="6">
        <f t="shared" si="389"/>
        <v>0</v>
      </c>
      <c r="AK263" s="5">
        <f t="shared" si="390"/>
        <v>0</v>
      </c>
      <c r="AL263" s="21">
        <f t="shared" si="391"/>
        <v>0</v>
      </c>
      <c r="AM263" s="21">
        <f t="shared" si="392"/>
        <v>0</v>
      </c>
      <c r="AN263" s="6">
        <f t="shared" si="393"/>
        <v>0</v>
      </c>
      <c r="AO263" s="5">
        <f t="shared" si="394"/>
        <v>0</v>
      </c>
      <c r="AP263" s="6">
        <f t="shared" si="395"/>
        <v>0</v>
      </c>
      <c r="AQ263" s="5">
        <f t="shared" si="396"/>
        <v>0</v>
      </c>
      <c r="AR263" s="2">
        <f t="shared" si="397"/>
        <v>0</v>
      </c>
      <c r="AS263" s="5">
        <f t="shared" si="398"/>
        <v>0</v>
      </c>
      <c r="AT263" s="21">
        <f t="shared" si="399"/>
        <v>0</v>
      </c>
      <c r="AU263" s="20">
        <f t="shared" si="400"/>
        <v>0</v>
      </c>
      <c r="AV263" s="20">
        <f t="shared" si="401"/>
        <v>1</v>
      </c>
      <c r="AW263" s="199">
        <f t="shared" si="402"/>
        <v>0</v>
      </c>
      <c r="AX263" s="24">
        <f t="shared" si="403"/>
        <v>0</v>
      </c>
      <c r="AY263" s="5">
        <f t="shared" si="404"/>
        <v>0</v>
      </c>
      <c r="AZ263" s="5">
        <f t="shared" si="405"/>
        <v>0</v>
      </c>
      <c r="BA263" s="5">
        <f t="shared" si="406"/>
        <v>0</v>
      </c>
      <c r="BB263" s="5">
        <f t="shared" si="407"/>
        <v>0</v>
      </c>
      <c r="BC263" s="5">
        <f t="shared" si="408"/>
        <v>0</v>
      </c>
      <c r="BD263" s="5">
        <f t="shared" si="409"/>
        <v>0</v>
      </c>
      <c r="BE263" s="199">
        <f t="shared" si="410"/>
        <v>0</v>
      </c>
      <c r="BF263" s="21">
        <f t="shared" si="411"/>
        <v>0</v>
      </c>
      <c r="BG263" s="6">
        <f t="shared" si="412"/>
        <v>0</v>
      </c>
      <c r="BH263" s="5" t="e">
        <f t="shared" si="413"/>
        <v>#DIV/0!</v>
      </c>
      <c r="BI263" s="6">
        <f t="shared" si="414"/>
        <v>0</v>
      </c>
      <c r="BJ263" s="5" t="e">
        <f t="shared" si="415"/>
        <v>#DIV/0!</v>
      </c>
      <c r="BK263" s="20">
        <f t="shared" si="416"/>
        <v>-9.9999999999999998E-13</v>
      </c>
      <c r="BL263" s="20">
        <f t="shared" si="417"/>
        <v>0</v>
      </c>
      <c r="BM263" s="6">
        <f t="shared" si="418"/>
        <v>0</v>
      </c>
      <c r="BN263" s="5">
        <f t="shared" si="419"/>
        <v>0</v>
      </c>
      <c r="BO263" s="333">
        <f t="shared" si="420"/>
        <v>0</v>
      </c>
      <c r="BP263" s="334">
        <f t="shared" si="421"/>
        <v>0</v>
      </c>
      <c r="BQ263" s="6">
        <f t="shared" si="422"/>
        <v>0</v>
      </c>
      <c r="BR263" s="5">
        <f t="shared" si="423"/>
        <v>0</v>
      </c>
      <c r="BS263" s="6">
        <f t="shared" si="424"/>
        <v>0</v>
      </c>
      <c r="BT263" s="5">
        <f t="shared" si="425"/>
        <v>0</v>
      </c>
      <c r="BU263" s="181">
        <f t="shared" si="426"/>
        <v>0</v>
      </c>
      <c r="BV263" s="154">
        <f t="shared" si="427"/>
        <v>0</v>
      </c>
      <c r="BW263" s="181">
        <f t="shared" si="428"/>
        <v>0</v>
      </c>
      <c r="BX263" s="180">
        <f t="shared" si="429"/>
        <v>0</v>
      </c>
      <c r="BY263" s="181">
        <f t="shared" si="430"/>
        <v>0</v>
      </c>
      <c r="BZ263" s="154">
        <f t="shared" si="431"/>
        <v>0</v>
      </c>
      <c r="CA263" s="182">
        <f t="shared" si="432"/>
        <v>0</v>
      </c>
      <c r="CB263" s="2">
        <f t="shared" si="433"/>
        <v>0</v>
      </c>
      <c r="CC263" s="2">
        <f t="shared" si="434"/>
        <v>0</v>
      </c>
      <c r="CD263" s="2">
        <f t="shared" si="435"/>
        <v>0</v>
      </c>
      <c r="CE263" s="2">
        <f t="shared" si="436"/>
        <v>0</v>
      </c>
      <c r="CF263" s="6">
        <f t="shared" si="437"/>
        <v>0</v>
      </c>
      <c r="CG263" s="6">
        <f t="shared" si="438"/>
        <v>0</v>
      </c>
      <c r="CH263" s="6">
        <f t="shared" si="439"/>
        <v>0</v>
      </c>
      <c r="CI263" s="20">
        <f t="shared" si="440"/>
        <v>0</v>
      </c>
      <c r="CJ263" s="133">
        <f t="shared" si="441"/>
        <v>2521</v>
      </c>
      <c r="CK263" s="5">
        <f t="shared" si="442"/>
        <v>0</v>
      </c>
      <c r="CL263" s="302" t="s">
        <v>19</v>
      </c>
      <c r="CM263" s="298" t="s">
        <v>13</v>
      </c>
      <c r="CN263" s="298" t="s">
        <v>1704</v>
      </c>
      <c r="CO263" s="298">
        <v>18</v>
      </c>
      <c r="CP263" s="298" t="s">
        <v>1705</v>
      </c>
      <c r="CQ263" s="298" t="s">
        <v>1131</v>
      </c>
      <c r="CR263" s="298" t="s">
        <v>644</v>
      </c>
      <c r="CS263" s="298" t="s">
        <v>760</v>
      </c>
      <c r="CT263" s="298" t="s">
        <v>911</v>
      </c>
      <c r="CU263" s="299">
        <v>47118</v>
      </c>
      <c r="CV263" s="298">
        <v>0</v>
      </c>
      <c r="CW263" s="298">
        <v>0</v>
      </c>
      <c r="CX263" s="298">
        <v>0</v>
      </c>
      <c r="CY263" s="298">
        <v>0</v>
      </c>
      <c r="CZ263" s="298">
        <v>0</v>
      </c>
      <c r="DA263" s="298">
        <v>0</v>
      </c>
      <c r="DB263" s="298">
        <v>0</v>
      </c>
      <c r="DC263" s="298">
        <v>0</v>
      </c>
      <c r="DD263" s="298">
        <v>0</v>
      </c>
      <c r="DE263" s="298">
        <v>0</v>
      </c>
      <c r="DF263" s="298">
        <v>0</v>
      </c>
      <c r="DG263" s="298">
        <v>0</v>
      </c>
      <c r="DH263" s="298">
        <v>0</v>
      </c>
      <c r="DI263" s="298">
        <v>0</v>
      </c>
      <c r="DJ263" s="298">
        <v>0</v>
      </c>
      <c r="DK263" s="298">
        <v>0</v>
      </c>
      <c r="DL263" s="298">
        <v>0</v>
      </c>
      <c r="DM263" s="298">
        <v>0</v>
      </c>
      <c r="DN263" s="298">
        <v>0</v>
      </c>
      <c r="DO263" s="298">
        <v>0</v>
      </c>
      <c r="DP263" s="298">
        <v>0</v>
      </c>
      <c r="DQ263" s="298">
        <v>0</v>
      </c>
      <c r="DR263" s="298">
        <v>0</v>
      </c>
      <c r="DS263" s="298">
        <v>0</v>
      </c>
      <c r="DT263" s="298">
        <v>0</v>
      </c>
      <c r="DU263" s="298">
        <v>0</v>
      </c>
      <c r="DV263" s="303" t="s">
        <v>548</v>
      </c>
    </row>
    <row r="264" spans="1:126" ht="24.95" customHeight="1" thickBot="1" x14ac:dyDescent="0.3">
      <c r="A264" s="29" t="str">
        <f t="shared" si="443"/>
        <v>263º</v>
      </c>
      <c r="B264" s="69" t="str">
        <f t="shared" si="356"/>
        <v>Teobaldo Braz</v>
      </c>
      <c r="C264" s="269" t="str">
        <f t="shared" si="357"/>
        <v>BRA</v>
      </c>
      <c r="D264" s="99" t="str">
        <f t="shared" si="358"/>
        <v>Pé Direito</v>
      </c>
      <c r="E264" s="28" t="str">
        <f t="shared" si="359"/>
        <v>Carmópolis</v>
      </c>
      <c r="F264" s="169">
        <f t="shared" si="360"/>
        <v>23</v>
      </c>
      <c r="G264" s="2" t="str">
        <f t="shared" si="361"/>
        <v>0 €</v>
      </c>
      <c r="H264" s="154">
        <f t="shared" si="362"/>
        <v>1.88</v>
      </c>
      <c r="I264" s="64">
        <f t="shared" si="363"/>
        <v>47118</v>
      </c>
      <c r="J264" s="304" t="str">
        <f t="shared" si="364"/>
        <v>500 € p/m</v>
      </c>
      <c r="K264" s="96">
        <f t="shared" si="444"/>
        <v>3.5222222222222221</v>
      </c>
      <c r="L264" s="146">
        <f t="shared" si="365"/>
        <v>0</v>
      </c>
      <c r="M264" s="6">
        <f t="shared" si="366"/>
        <v>0</v>
      </c>
      <c r="N264" s="5">
        <f t="shared" si="367"/>
        <v>5400</v>
      </c>
      <c r="O264" s="21">
        <f t="shared" si="368"/>
        <v>0</v>
      </c>
      <c r="P264" s="2">
        <f t="shared" si="369"/>
        <v>0</v>
      </c>
      <c r="Q264" s="2">
        <f t="shared" si="370"/>
        <v>0</v>
      </c>
      <c r="R264" s="5">
        <f t="shared" si="371"/>
        <v>0</v>
      </c>
      <c r="S264" s="2">
        <f t="shared" si="372"/>
        <v>0</v>
      </c>
      <c r="T264" s="2">
        <f t="shared" si="373"/>
        <v>0</v>
      </c>
      <c r="U264" s="102">
        <f t="shared" si="374"/>
        <v>0</v>
      </c>
      <c r="V264" s="102">
        <f t="shared" si="375"/>
        <v>0</v>
      </c>
      <c r="W264" s="6">
        <f t="shared" si="376"/>
        <v>0</v>
      </c>
      <c r="X264" s="5">
        <f t="shared" si="377"/>
        <v>0</v>
      </c>
      <c r="Y264" s="6">
        <f t="shared" si="378"/>
        <v>0</v>
      </c>
      <c r="Z264" s="5" t="e">
        <f t="shared" si="379"/>
        <v>#DIV/0!</v>
      </c>
      <c r="AA264" s="21">
        <f t="shared" si="380"/>
        <v>0</v>
      </c>
      <c r="AB264" s="6">
        <f t="shared" si="381"/>
        <v>0</v>
      </c>
      <c r="AC264" s="5" t="e">
        <f t="shared" si="382"/>
        <v>#DIV/0!</v>
      </c>
      <c r="AD264" s="6">
        <f t="shared" si="383"/>
        <v>0</v>
      </c>
      <c r="AE264" s="5">
        <f t="shared" si="384"/>
        <v>0</v>
      </c>
      <c r="AF264" s="21">
        <f t="shared" si="385"/>
        <v>0</v>
      </c>
      <c r="AG264" s="6">
        <f t="shared" si="386"/>
        <v>0</v>
      </c>
      <c r="AH264" s="5">
        <f t="shared" si="387"/>
        <v>0</v>
      </c>
      <c r="AI264" s="21">
        <f t="shared" si="388"/>
        <v>0</v>
      </c>
      <c r="AJ264" s="6">
        <f t="shared" si="389"/>
        <v>0</v>
      </c>
      <c r="AK264" s="5">
        <f t="shared" si="390"/>
        <v>0</v>
      </c>
      <c r="AL264" s="21">
        <f t="shared" si="391"/>
        <v>0</v>
      </c>
      <c r="AM264" s="21">
        <f t="shared" si="392"/>
        <v>0</v>
      </c>
      <c r="AN264" s="6">
        <f t="shared" si="393"/>
        <v>0</v>
      </c>
      <c r="AO264" s="5">
        <f t="shared" si="394"/>
        <v>0</v>
      </c>
      <c r="AP264" s="6">
        <f t="shared" si="395"/>
        <v>0</v>
      </c>
      <c r="AQ264" s="5">
        <f t="shared" si="396"/>
        <v>0</v>
      </c>
      <c r="AR264" s="2">
        <f t="shared" si="397"/>
        <v>0</v>
      </c>
      <c r="AS264" s="5">
        <f t="shared" si="398"/>
        <v>0</v>
      </c>
      <c r="AT264" s="21">
        <f t="shared" si="399"/>
        <v>0</v>
      </c>
      <c r="AU264" s="20">
        <f t="shared" si="400"/>
        <v>0</v>
      </c>
      <c r="AV264" s="20">
        <f t="shared" si="401"/>
        <v>1</v>
      </c>
      <c r="AW264" s="199">
        <f t="shared" si="402"/>
        <v>0</v>
      </c>
      <c r="AX264" s="24">
        <f t="shared" si="403"/>
        <v>0</v>
      </c>
      <c r="AY264" s="5">
        <f t="shared" si="404"/>
        <v>0</v>
      </c>
      <c r="AZ264" s="5">
        <f t="shared" si="405"/>
        <v>0</v>
      </c>
      <c r="BA264" s="5">
        <f t="shared" si="406"/>
        <v>0</v>
      </c>
      <c r="BB264" s="5">
        <f t="shared" si="407"/>
        <v>0</v>
      </c>
      <c r="BC264" s="5">
        <f t="shared" si="408"/>
        <v>0</v>
      </c>
      <c r="BD264" s="5">
        <f t="shared" si="409"/>
        <v>0</v>
      </c>
      <c r="BE264" s="199">
        <f t="shared" si="410"/>
        <v>0</v>
      </c>
      <c r="BF264" s="21">
        <f t="shared" si="411"/>
        <v>0</v>
      </c>
      <c r="BG264" s="6">
        <f t="shared" si="412"/>
        <v>0</v>
      </c>
      <c r="BH264" s="5" t="e">
        <f t="shared" si="413"/>
        <v>#DIV/0!</v>
      </c>
      <c r="BI264" s="6">
        <f t="shared" si="414"/>
        <v>0</v>
      </c>
      <c r="BJ264" s="5" t="e">
        <f t="shared" si="415"/>
        <v>#DIV/0!</v>
      </c>
      <c r="BK264" s="20">
        <f t="shared" si="416"/>
        <v>-9.9999999999999998E-13</v>
      </c>
      <c r="BL264" s="20">
        <f t="shared" si="417"/>
        <v>0</v>
      </c>
      <c r="BM264" s="6">
        <f t="shared" si="418"/>
        <v>0</v>
      </c>
      <c r="BN264" s="5">
        <f t="shared" si="419"/>
        <v>0</v>
      </c>
      <c r="BO264" s="333">
        <f t="shared" si="420"/>
        <v>0</v>
      </c>
      <c r="BP264" s="334">
        <f t="shared" si="421"/>
        <v>0</v>
      </c>
      <c r="BQ264" s="6">
        <f t="shared" si="422"/>
        <v>0</v>
      </c>
      <c r="BR264" s="5">
        <f t="shared" si="423"/>
        <v>0</v>
      </c>
      <c r="BS264" s="6">
        <f t="shared" si="424"/>
        <v>0</v>
      </c>
      <c r="BT264" s="5">
        <f t="shared" si="425"/>
        <v>0</v>
      </c>
      <c r="BU264" s="181">
        <f t="shared" si="426"/>
        <v>0</v>
      </c>
      <c r="BV264" s="154">
        <f t="shared" si="427"/>
        <v>0</v>
      </c>
      <c r="BW264" s="181">
        <f t="shared" si="428"/>
        <v>0</v>
      </c>
      <c r="BX264" s="180">
        <f t="shared" si="429"/>
        <v>0</v>
      </c>
      <c r="BY264" s="181">
        <f t="shared" si="430"/>
        <v>0</v>
      </c>
      <c r="BZ264" s="154">
        <f t="shared" si="431"/>
        <v>0</v>
      </c>
      <c r="CA264" s="182">
        <f t="shared" si="432"/>
        <v>0</v>
      </c>
      <c r="CB264" s="2">
        <f t="shared" si="433"/>
        <v>0</v>
      </c>
      <c r="CC264" s="2">
        <f t="shared" si="434"/>
        <v>0</v>
      </c>
      <c r="CD264" s="2">
        <f t="shared" si="435"/>
        <v>0</v>
      </c>
      <c r="CE264" s="2">
        <f t="shared" si="436"/>
        <v>0</v>
      </c>
      <c r="CF264" s="6">
        <f t="shared" si="437"/>
        <v>0</v>
      </c>
      <c r="CG264" s="6">
        <f t="shared" si="438"/>
        <v>0</v>
      </c>
      <c r="CH264" s="6">
        <f t="shared" si="439"/>
        <v>0</v>
      </c>
      <c r="CI264" s="20">
        <f t="shared" si="440"/>
        <v>0</v>
      </c>
      <c r="CJ264" s="133">
        <f t="shared" si="441"/>
        <v>2521</v>
      </c>
      <c r="CK264" s="5">
        <f t="shared" si="442"/>
        <v>0</v>
      </c>
      <c r="CL264" s="300"/>
      <c r="CM264" s="296" t="s">
        <v>13</v>
      </c>
      <c r="CN264" s="296" t="s">
        <v>1706</v>
      </c>
      <c r="CO264" s="296">
        <v>23</v>
      </c>
      <c r="CP264" s="296" t="s">
        <v>1707</v>
      </c>
      <c r="CQ264" s="296" t="s">
        <v>1131</v>
      </c>
      <c r="CR264" s="296" t="s">
        <v>644</v>
      </c>
      <c r="CS264" s="296" t="s">
        <v>760</v>
      </c>
      <c r="CT264" s="296" t="s">
        <v>552</v>
      </c>
      <c r="CU264" s="297">
        <v>47118</v>
      </c>
      <c r="CV264" s="296">
        <v>0</v>
      </c>
      <c r="CW264" s="296">
        <v>0</v>
      </c>
      <c r="CX264" s="296">
        <v>0</v>
      </c>
      <c r="CY264" s="296">
        <v>0</v>
      </c>
      <c r="CZ264" s="296">
        <v>0</v>
      </c>
      <c r="DA264" s="296">
        <v>0</v>
      </c>
      <c r="DB264" s="296">
        <v>0</v>
      </c>
      <c r="DC264" s="296">
        <v>0</v>
      </c>
      <c r="DD264" s="296">
        <v>0</v>
      </c>
      <c r="DE264" s="296">
        <v>0</v>
      </c>
      <c r="DF264" s="296">
        <v>0</v>
      </c>
      <c r="DG264" s="296">
        <v>0</v>
      </c>
      <c r="DH264" s="296">
        <v>0</v>
      </c>
      <c r="DI264" s="296">
        <v>0</v>
      </c>
      <c r="DJ264" s="296">
        <v>0</v>
      </c>
      <c r="DK264" s="296">
        <v>0</v>
      </c>
      <c r="DL264" s="296">
        <v>0</v>
      </c>
      <c r="DM264" s="296">
        <v>0</v>
      </c>
      <c r="DN264" s="296">
        <v>0</v>
      </c>
      <c r="DO264" s="296">
        <v>0</v>
      </c>
      <c r="DP264" s="296">
        <v>0</v>
      </c>
      <c r="DQ264" s="296">
        <v>0</v>
      </c>
      <c r="DR264" s="296">
        <v>0</v>
      </c>
      <c r="DS264" s="296">
        <v>0</v>
      </c>
      <c r="DT264" s="296">
        <v>0</v>
      </c>
      <c r="DU264" s="296">
        <v>0</v>
      </c>
      <c r="DV264" s="301" t="s">
        <v>548</v>
      </c>
    </row>
    <row r="265" spans="1:126" ht="24.95" customHeight="1" thickBot="1" x14ac:dyDescent="0.3">
      <c r="A265" s="29" t="str">
        <f t="shared" si="443"/>
        <v>264º</v>
      </c>
      <c r="B265" s="69" t="str">
        <f t="shared" si="356"/>
        <v>Sandrinho</v>
      </c>
      <c r="C265" s="269" t="str">
        <f t="shared" si="357"/>
        <v>BRA</v>
      </c>
      <c r="D265" s="99" t="str">
        <f t="shared" si="358"/>
        <v>Pé Direito</v>
      </c>
      <c r="E265" s="28" t="str">
        <f t="shared" si="359"/>
        <v>Boca Júnior (SE)</v>
      </c>
      <c r="F265" s="169">
        <f t="shared" si="360"/>
        <v>28</v>
      </c>
      <c r="G265" s="2" t="str">
        <f t="shared" si="361"/>
        <v>0 €</v>
      </c>
      <c r="H265" s="154">
        <f t="shared" si="362"/>
        <v>1.91</v>
      </c>
      <c r="I265" s="64">
        <f t="shared" si="363"/>
        <v>47118</v>
      </c>
      <c r="J265" s="304" t="str">
        <f t="shared" si="364"/>
        <v>500 € p/m</v>
      </c>
      <c r="K265" s="96">
        <f t="shared" si="444"/>
        <v>3.5222222222222221</v>
      </c>
      <c r="L265" s="146">
        <f t="shared" si="365"/>
        <v>0.41111111111111109</v>
      </c>
      <c r="M265" s="6">
        <f t="shared" si="366"/>
        <v>0</v>
      </c>
      <c r="N265" s="5">
        <f t="shared" si="367"/>
        <v>5400</v>
      </c>
      <c r="O265" s="21">
        <f t="shared" si="368"/>
        <v>0</v>
      </c>
      <c r="P265" s="2">
        <f t="shared" si="369"/>
        <v>23</v>
      </c>
      <c r="Q265" s="2">
        <f t="shared" si="370"/>
        <v>10</v>
      </c>
      <c r="R265" s="5">
        <f t="shared" si="371"/>
        <v>24.324324324324326</v>
      </c>
      <c r="S265" s="2">
        <f t="shared" si="372"/>
        <v>13</v>
      </c>
      <c r="T265" s="2">
        <f t="shared" si="373"/>
        <v>-3</v>
      </c>
      <c r="U265" s="102">
        <f t="shared" si="374"/>
        <v>0.56521739130434778</v>
      </c>
      <c r="V265" s="102">
        <f t="shared" si="375"/>
        <v>0.43478260869565216</v>
      </c>
      <c r="W265" s="6">
        <f t="shared" si="376"/>
        <v>23</v>
      </c>
      <c r="X265" s="5">
        <f t="shared" si="377"/>
        <v>55.945945945945951</v>
      </c>
      <c r="Y265" s="6">
        <f t="shared" si="378"/>
        <v>0</v>
      </c>
      <c r="Z265" s="5">
        <f t="shared" si="379"/>
        <v>0</v>
      </c>
      <c r="AA265" s="21">
        <f t="shared" si="380"/>
        <v>0</v>
      </c>
      <c r="AB265" s="6">
        <f t="shared" si="381"/>
        <v>0</v>
      </c>
      <c r="AC265" s="5">
        <f t="shared" si="382"/>
        <v>0</v>
      </c>
      <c r="AD265" s="6">
        <f t="shared" si="383"/>
        <v>0</v>
      </c>
      <c r="AE265" s="5">
        <f t="shared" si="384"/>
        <v>0</v>
      </c>
      <c r="AF265" s="21">
        <f t="shared" si="385"/>
        <v>0</v>
      </c>
      <c r="AG265" s="6">
        <f t="shared" si="386"/>
        <v>0</v>
      </c>
      <c r="AH265" s="5">
        <f t="shared" si="387"/>
        <v>0</v>
      </c>
      <c r="AI265" s="21">
        <f t="shared" si="388"/>
        <v>0</v>
      </c>
      <c r="AJ265" s="6">
        <f t="shared" si="389"/>
        <v>0</v>
      </c>
      <c r="AK265" s="5">
        <f t="shared" si="390"/>
        <v>0</v>
      </c>
      <c r="AL265" s="21">
        <f t="shared" si="391"/>
        <v>0</v>
      </c>
      <c r="AM265" s="21">
        <f t="shared" si="392"/>
        <v>2.4324324324324325</v>
      </c>
      <c r="AN265" s="6">
        <f t="shared" si="393"/>
        <v>1</v>
      </c>
      <c r="AO265" s="5">
        <f t="shared" si="394"/>
        <v>2.4324324324324325</v>
      </c>
      <c r="AP265" s="6">
        <f t="shared" si="395"/>
        <v>0</v>
      </c>
      <c r="AQ265" s="5">
        <f t="shared" si="396"/>
        <v>0</v>
      </c>
      <c r="AR265" s="2">
        <f t="shared" si="397"/>
        <v>3</v>
      </c>
      <c r="AS265" s="5">
        <f t="shared" si="398"/>
        <v>7.2972972972972974</v>
      </c>
      <c r="AT265" s="21">
        <f t="shared" si="399"/>
        <v>0</v>
      </c>
      <c r="AU265" s="20">
        <f t="shared" si="400"/>
        <v>0</v>
      </c>
      <c r="AV265" s="20">
        <f t="shared" si="401"/>
        <v>1</v>
      </c>
      <c r="AW265" s="199">
        <f t="shared" si="402"/>
        <v>0</v>
      </c>
      <c r="AX265" s="24">
        <f t="shared" si="403"/>
        <v>12.333333333333334</v>
      </c>
      <c r="AY265" s="5">
        <f t="shared" si="404"/>
        <v>1</v>
      </c>
      <c r="AZ265" s="5">
        <f t="shared" si="405"/>
        <v>1</v>
      </c>
      <c r="BA265" s="5">
        <f t="shared" si="406"/>
        <v>0</v>
      </c>
      <c r="BB265" s="5">
        <f t="shared" si="407"/>
        <v>0</v>
      </c>
      <c r="BC265" s="5">
        <f t="shared" si="408"/>
        <v>0</v>
      </c>
      <c r="BD265" s="5">
        <f t="shared" si="409"/>
        <v>0</v>
      </c>
      <c r="BE265" s="199">
        <f t="shared" si="410"/>
        <v>0</v>
      </c>
      <c r="BF265" s="21">
        <f t="shared" si="411"/>
        <v>0</v>
      </c>
      <c r="BG265" s="6">
        <f t="shared" si="412"/>
        <v>0</v>
      </c>
      <c r="BH265" s="5">
        <f t="shared" si="413"/>
        <v>0</v>
      </c>
      <c r="BI265" s="6">
        <f t="shared" si="414"/>
        <v>0</v>
      </c>
      <c r="BJ265" s="5">
        <f t="shared" si="415"/>
        <v>0</v>
      </c>
      <c r="BK265" s="20">
        <f t="shared" si="416"/>
        <v>-9.9999999999999998E-13</v>
      </c>
      <c r="BL265" s="20">
        <f t="shared" si="417"/>
        <v>2.0229265003371545E-3</v>
      </c>
      <c r="BM265" s="6">
        <f t="shared" si="418"/>
        <v>3</v>
      </c>
      <c r="BN265" s="5">
        <f t="shared" si="419"/>
        <v>7.2972972972972974</v>
      </c>
      <c r="BO265" s="333">
        <f t="shared" si="420"/>
        <v>0</v>
      </c>
      <c r="BP265" s="334">
        <f t="shared" si="421"/>
        <v>0</v>
      </c>
      <c r="BQ265" s="6">
        <f t="shared" si="422"/>
        <v>0</v>
      </c>
      <c r="BR265" s="5">
        <f t="shared" si="423"/>
        <v>0</v>
      </c>
      <c r="BS265" s="6">
        <f t="shared" si="424"/>
        <v>0</v>
      </c>
      <c r="BT265" s="5">
        <f t="shared" si="425"/>
        <v>0</v>
      </c>
      <c r="BU265" s="181">
        <f t="shared" si="426"/>
        <v>0</v>
      </c>
      <c r="BV265" s="154">
        <f t="shared" si="427"/>
        <v>0</v>
      </c>
      <c r="BW265" s="181">
        <f t="shared" si="428"/>
        <v>0</v>
      </c>
      <c r="BX265" s="180">
        <f t="shared" si="429"/>
        <v>0</v>
      </c>
      <c r="BY265" s="181">
        <f t="shared" si="430"/>
        <v>0</v>
      </c>
      <c r="BZ265" s="154">
        <f t="shared" si="431"/>
        <v>0</v>
      </c>
      <c r="CA265" s="182">
        <f t="shared" si="432"/>
        <v>0</v>
      </c>
      <c r="CB265" s="2">
        <f t="shared" si="433"/>
        <v>0</v>
      </c>
      <c r="CC265" s="2">
        <f t="shared" si="434"/>
        <v>0</v>
      </c>
      <c r="CD265" s="2">
        <f t="shared" si="435"/>
        <v>0</v>
      </c>
      <c r="CE265" s="2">
        <f t="shared" si="436"/>
        <v>1</v>
      </c>
      <c r="CF265" s="6">
        <f t="shared" si="437"/>
        <v>0</v>
      </c>
      <c r="CG265" s="6">
        <f t="shared" si="438"/>
        <v>28</v>
      </c>
      <c r="CH265" s="6">
        <f t="shared" si="439"/>
        <v>10</v>
      </c>
      <c r="CI265" s="20">
        <f t="shared" si="440"/>
        <v>0.35714285714285715</v>
      </c>
      <c r="CJ265" s="133">
        <f t="shared" si="441"/>
        <v>2521</v>
      </c>
      <c r="CK265" s="5">
        <f t="shared" si="442"/>
        <v>6.1</v>
      </c>
      <c r="CL265" s="302" t="s">
        <v>19</v>
      </c>
      <c r="CM265" s="298" t="s">
        <v>13</v>
      </c>
      <c r="CN265" s="298" t="s">
        <v>1708</v>
      </c>
      <c r="CO265" s="298">
        <v>28</v>
      </c>
      <c r="CP265" s="298" t="s">
        <v>1709</v>
      </c>
      <c r="CQ265" s="298" t="s">
        <v>1131</v>
      </c>
      <c r="CR265" s="298" t="s">
        <v>644</v>
      </c>
      <c r="CS265" s="298" t="s">
        <v>760</v>
      </c>
      <c r="CT265" s="298" t="s">
        <v>595</v>
      </c>
      <c r="CU265" s="299">
        <v>47118</v>
      </c>
      <c r="CV265" s="298">
        <v>0</v>
      </c>
      <c r="CW265" s="298">
        <v>37</v>
      </c>
      <c r="CX265" s="298">
        <v>3</v>
      </c>
      <c r="CY265" s="298">
        <v>0</v>
      </c>
      <c r="CZ265" s="298">
        <v>0</v>
      </c>
      <c r="DA265" s="298">
        <v>0</v>
      </c>
      <c r="DB265" s="298">
        <v>0</v>
      </c>
      <c r="DC265" s="298">
        <v>0</v>
      </c>
      <c r="DD265" s="298">
        <v>0</v>
      </c>
      <c r="DE265" s="298">
        <v>1</v>
      </c>
      <c r="DF265" s="298">
        <v>0</v>
      </c>
      <c r="DG265" s="298">
        <v>0</v>
      </c>
      <c r="DH265" s="298">
        <v>0</v>
      </c>
      <c r="DI265" s="298">
        <v>1</v>
      </c>
      <c r="DJ265" s="298">
        <v>0</v>
      </c>
      <c r="DK265" s="298">
        <v>0</v>
      </c>
      <c r="DL265" s="298">
        <v>23</v>
      </c>
      <c r="DM265" s="298">
        <v>10</v>
      </c>
      <c r="DN265" s="298">
        <v>0</v>
      </c>
      <c r="DO265" s="298">
        <v>0</v>
      </c>
      <c r="DP265" s="298">
        <v>0</v>
      </c>
      <c r="DQ265" s="298">
        <v>0</v>
      </c>
      <c r="DR265" s="298">
        <v>0</v>
      </c>
      <c r="DS265" s="298">
        <v>0</v>
      </c>
      <c r="DT265" s="298">
        <v>0</v>
      </c>
      <c r="DU265" s="298">
        <v>0</v>
      </c>
      <c r="DV265" s="303">
        <v>6.1</v>
      </c>
    </row>
    <row r="266" spans="1:126" ht="24.95" customHeight="1" thickBot="1" x14ac:dyDescent="0.3">
      <c r="A266" s="29" t="str">
        <f t="shared" si="443"/>
        <v>265º</v>
      </c>
      <c r="B266" s="69" t="str">
        <f t="shared" si="356"/>
        <v>Dener</v>
      </c>
      <c r="C266" s="269" t="str">
        <f t="shared" si="357"/>
        <v>BRA</v>
      </c>
      <c r="D266" s="99" t="str">
        <f t="shared" si="358"/>
        <v>Pé Direito</v>
      </c>
      <c r="E266" s="28" t="str">
        <f t="shared" si="359"/>
        <v>Bela Vista (TO)</v>
      </c>
      <c r="F266" s="169">
        <f t="shared" si="360"/>
        <v>24</v>
      </c>
      <c r="G266" s="2" t="str">
        <f t="shared" si="361"/>
        <v>0 €</v>
      </c>
      <c r="H266" s="154">
        <f t="shared" si="362"/>
        <v>1.91</v>
      </c>
      <c r="I266" s="64">
        <f t="shared" si="363"/>
        <v>47118</v>
      </c>
      <c r="J266" s="304" t="str">
        <f t="shared" si="364"/>
        <v>500 € p/m</v>
      </c>
      <c r="K266" s="96">
        <f t="shared" si="444"/>
        <v>3.5222222222222221</v>
      </c>
      <c r="L266" s="146">
        <f t="shared" si="365"/>
        <v>12</v>
      </c>
      <c r="M266" s="6">
        <f t="shared" si="366"/>
        <v>0</v>
      </c>
      <c r="N266" s="5">
        <f t="shared" si="367"/>
        <v>5400</v>
      </c>
      <c r="O266" s="21">
        <f t="shared" si="368"/>
        <v>0</v>
      </c>
      <c r="P266" s="2">
        <f t="shared" si="369"/>
        <v>240</v>
      </c>
      <c r="Q266" s="2">
        <f t="shared" si="370"/>
        <v>134</v>
      </c>
      <c r="R266" s="5">
        <f t="shared" si="371"/>
        <v>11.166666666666666</v>
      </c>
      <c r="S266" s="2">
        <f t="shared" si="372"/>
        <v>106</v>
      </c>
      <c r="T266" s="2">
        <f t="shared" si="373"/>
        <v>28</v>
      </c>
      <c r="U266" s="102">
        <f t="shared" si="374"/>
        <v>0.44166666666666665</v>
      </c>
      <c r="V266" s="102">
        <f t="shared" si="375"/>
        <v>0.55833333333333335</v>
      </c>
      <c r="W266" s="6">
        <f t="shared" si="376"/>
        <v>240</v>
      </c>
      <c r="X266" s="5">
        <f t="shared" si="377"/>
        <v>20</v>
      </c>
      <c r="Y266" s="6">
        <f t="shared" si="378"/>
        <v>0</v>
      </c>
      <c r="Z266" s="5">
        <f t="shared" si="379"/>
        <v>0</v>
      </c>
      <c r="AA266" s="21">
        <f t="shared" si="380"/>
        <v>0</v>
      </c>
      <c r="AB266" s="6">
        <f t="shared" si="381"/>
        <v>0</v>
      </c>
      <c r="AC266" s="5">
        <f t="shared" si="382"/>
        <v>0</v>
      </c>
      <c r="AD266" s="6">
        <f t="shared" si="383"/>
        <v>0</v>
      </c>
      <c r="AE266" s="5">
        <f t="shared" si="384"/>
        <v>0</v>
      </c>
      <c r="AF266" s="21">
        <f t="shared" si="385"/>
        <v>0</v>
      </c>
      <c r="AG266" s="6">
        <f t="shared" si="386"/>
        <v>0</v>
      </c>
      <c r="AH266" s="5">
        <f t="shared" si="387"/>
        <v>0</v>
      </c>
      <c r="AI266" s="21">
        <f t="shared" si="388"/>
        <v>0</v>
      </c>
      <c r="AJ266" s="6">
        <f t="shared" si="389"/>
        <v>0</v>
      </c>
      <c r="AK266" s="5">
        <f t="shared" si="390"/>
        <v>0</v>
      </c>
      <c r="AL266" s="21">
        <f t="shared" si="391"/>
        <v>0</v>
      </c>
      <c r="AM266" s="21">
        <f t="shared" si="392"/>
        <v>8.3333333333333329E-2</v>
      </c>
      <c r="AN266" s="6">
        <f t="shared" si="393"/>
        <v>1</v>
      </c>
      <c r="AO266" s="5">
        <f t="shared" si="394"/>
        <v>8.3333333333333329E-2</v>
      </c>
      <c r="AP266" s="6">
        <f t="shared" si="395"/>
        <v>0</v>
      </c>
      <c r="AQ266" s="5">
        <f t="shared" si="396"/>
        <v>0</v>
      </c>
      <c r="AR266" s="2">
        <f t="shared" si="397"/>
        <v>21</v>
      </c>
      <c r="AS266" s="5">
        <f t="shared" si="398"/>
        <v>1.75</v>
      </c>
      <c r="AT266" s="21">
        <f t="shared" si="399"/>
        <v>0</v>
      </c>
      <c r="AU266" s="20">
        <f t="shared" si="400"/>
        <v>0</v>
      </c>
      <c r="AV266" s="20">
        <f t="shared" si="401"/>
        <v>1</v>
      </c>
      <c r="AW266" s="199">
        <f t="shared" si="402"/>
        <v>0</v>
      </c>
      <c r="AX266" s="24">
        <f t="shared" si="403"/>
        <v>51.428571428571431</v>
      </c>
      <c r="AY266" s="5">
        <f t="shared" si="404"/>
        <v>1</v>
      </c>
      <c r="AZ266" s="5">
        <f t="shared" si="405"/>
        <v>1</v>
      </c>
      <c r="BA266" s="5">
        <f t="shared" si="406"/>
        <v>0</v>
      </c>
      <c r="BB266" s="5">
        <f t="shared" si="407"/>
        <v>0</v>
      </c>
      <c r="BC266" s="5">
        <f t="shared" si="408"/>
        <v>0</v>
      </c>
      <c r="BD266" s="5">
        <f t="shared" si="409"/>
        <v>0</v>
      </c>
      <c r="BE266" s="199">
        <f t="shared" si="410"/>
        <v>0</v>
      </c>
      <c r="BF266" s="21">
        <f t="shared" si="411"/>
        <v>0</v>
      </c>
      <c r="BG266" s="6">
        <f t="shared" si="412"/>
        <v>0</v>
      </c>
      <c r="BH266" s="5">
        <f t="shared" si="413"/>
        <v>0</v>
      </c>
      <c r="BI266" s="6">
        <f t="shared" si="414"/>
        <v>0</v>
      </c>
      <c r="BJ266" s="5">
        <f t="shared" si="415"/>
        <v>0</v>
      </c>
      <c r="BK266" s="20">
        <f t="shared" si="416"/>
        <v>-9.9999999999999998E-13</v>
      </c>
      <c r="BL266" s="20">
        <f t="shared" si="417"/>
        <v>1.4160485502360081E-2</v>
      </c>
      <c r="BM266" s="6">
        <f t="shared" si="418"/>
        <v>21</v>
      </c>
      <c r="BN266" s="5">
        <f t="shared" si="419"/>
        <v>1.75</v>
      </c>
      <c r="BO266" s="333">
        <f t="shared" si="420"/>
        <v>0</v>
      </c>
      <c r="BP266" s="334">
        <f t="shared" si="421"/>
        <v>0</v>
      </c>
      <c r="BQ266" s="6">
        <f t="shared" si="422"/>
        <v>0</v>
      </c>
      <c r="BR266" s="5">
        <f t="shared" si="423"/>
        <v>0</v>
      </c>
      <c r="BS266" s="6">
        <f t="shared" si="424"/>
        <v>0</v>
      </c>
      <c r="BT266" s="5">
        <f t="shared" si="425"/>
        <v>0</v>
      </c>
      <c r="BU266" s="181">
        <f t="shared" si="426"/>
        <v>0</v>
      </c>
      <c r="BV266" s="154">
        <f t="shared" si="427"/>
        <v>0</v>
      </c>
      <c r="BW266" s="181">
        <f t="shared" si="428"/>
        <v>0</v>
      </c>
      <c r="BX266" s="180">
        <f t="shared" si="429"/>
        <v>0</v>
      </c>
      <c r="BY266" s="181">
        <f t="shared" si="430"/>
        <v>0</v>
      </c>
      <c r="BZ266" s="154">
        <f t="shared" si="431"/>
        <v>0</v>
      </c>
      <c r="CA266" s="182">
        <f t="shared" si="432"/>
        <v>0</v>
      </c>
      <c r="CB266" s="2">
        <f t="shared" si="433"/>
        <v>0</v>
      </c>
      <c r="CC266" s="2">
        <f t="shared" si="434"/>
        <v>0</v>
      </c>
      <c r="CD266" s="2">
        <f t="shared" si="435"/>
        <v>0</v>
      </c>
      <c r="CE266" s="2">
        <f t="shared" si="436"/>
        <v>5</v>
      </c>
      <c r="CF266" s="6">
        <f t="shared" si="437"/>
        <v>0</v>
      </c>
      <c r="CG266" s="6">
        <f t="shared" si="438"/>
        <v>263</v>
      </c>
      <c r="CH266" s="6">
        <f t="shared" si="439"/>
        <v>134</v>
      </c>
      <c r="CI266" s="20">
        <f t="shared" si="440"/>
        <v>0.50950570342205326</v>
      </c>
      <c r="CJ266" s="133">
        <f t="shared" si="441"/>
        <v>2521</v>
      </c>
      <c r="CK266" s="5">
        <f t="shared" si="442"/>
        <v>6.18</v>
      </c>
      <c r="CL266" s="330"/>
      <c r="CM266" s="331" t="s">
        <v>13</v>
      </c>
      <c r="CN266" s="331" t="s">
        <v>1710</v>
      </c>
      <c r="CO266" s="331">
        <v>24</v>
      </c>
      <c r="CP266" s="331" t="s">
        <v>1711</v>
      </c>
      <c r="CQ266" s="331" t="s">
        <v>1131</v>
      </c>
      <c r="CR266" s="331" t="s">
        <v>644</v>
      </c>
      <c r="CS266" s="331" t="s">
        <v>760</v>
      </c>
      <c r="CT266" s="331" t="s">
        <v>595</v>
      </c>
      <c r="CU266" s="382">
        <v>47118</v>
      </c>
      <c r="CV266" s="331">
        <v>0</v>
      </c>
      <c r="CW266" s="331">
        <v>1080</v>
      </c>
      <c r="CX266" s="331">
        <v>21</v>
      </c>
      <c r="CY266" s="331">
        <v>0</v>
      </c>
      <c r="CZ266" s="331">
        <v>0</v>
      </c>
      <c r="DA266" s="331">
        <v>0</v>
      </c>
      <c r="DB266" s="331">
        <v>0</v>
      </c>
      <c r="DC266" s="331">
        <v>0</v>
      </c>
      <c r="DD266" s="331">
        <v>0</v>
      </c>
      <c r="DE266" s="331">
        <v>1</v>
      </c>
      <c r="DF266" s="331">
        <v>0</v>
      </c>
      <c r="DG266" s="331">
        <v>0</v>
      </c>
      <c r="DH266" s="331">
        <v>0</v>
      </c>
      <c r="DI266" s="331">
        <v>5</v>
      </c>
      <c r="DJ266" s="331">
        <v>0</v>
      </c>
      <c r="DK266" s="331">
        <v>0</v>
      </c>
      <c r="DL266" s="331">
        <v>240</v>
      </c>
      <c r="DM266" s="331">
        <v>134</v>
      </c>
      <c r="DN266" s="331">
        <v>0</v>
      </c>
      <c r="DO266" s="331">
        <v>0</v>
      </c>
      <c r="DP266" s="331">
        <v>0</v>
      </c>
      <c r="DQ266" s="331">
        <v>0</v>
      </c>
      <c r="DR266" s="331">
        <v>0</v>
      </c>
      <c r="DS266" s="331">
        <v>0</v>
      </c>
      <c r="DT266" s="331">
        <v>0</v>
      </c>
      <c r="DU266" s="331">
        <v>0</v>
      </c>
      <c r="DV266" s="332">
        <v>6.18</v>
      </c>
    </row>
    <row r="267" spans="1:126" ht="24.95" customHeight="1" x14ac:dyDescent="0.25"/>
    <row r="268" spans="1:126" ht="24.95" customHeight="1" x14ac:dyDescent="0.25"/>
    <row r="269" spans="1:126" ht="24.95" customHeight="1" x14ac:dyDescent="0.25"/>
    <row r="270" spans="1:126" ht="24.95" customHeight="1" x14ac:dyDescent="0.25"/>
    <row r="271" spans="1:126" ht="24.95" customHeight="1" x14ac:dyDescent="0.25"/>
    <row r="272" spans="1:126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DV1">
    <sortState ref="B2:DV11">
      <sortCondition ref="B1"/>
    </sortState>
  </autoFilter>
  <phoneticPr fontId="53" type="noConversion"/>
  <conditionalFormatting sqref="S1:T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266">
    <cfRule type="colorScale" priority="480">
      <colorScale>
        <cfvo type="num" val="0"/>
        <cfvo type="num" val="50"/>
        <cfvo type="num" val="60"/>
        <color rgb="FFC00000"/>
        <color rgb="FFFFEB84"/>
        <color theme="9" tint="0.39997558519241921"/>
      </colorScale>
    </cfRule>
  </conditionalFormatting>
  <conditionalFormatting sqref="S1:S1048576">
    <cfRule type="colorScale" priority="355">
      <colorScale>
        <cfvo type="min"/>
        <cfvo type="max"/>
        <color rgb="FFFCFCFF"/>
        <color rgb="FFF8696B"/>
      </colorScale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306">
      <colorScale>
        <cfvo type="min"/>
        <cfvo type="max"/>
        <color rgb="FFFCFCFF"/>
        <color rgb="FFF8696B"/>
      </colorScale>
    </cfRule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12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7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G1:G1048576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H1048576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K1048576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ntainsText" dxfId="9" priority="67" operator="containsText" text="Sem Data Final">
      <formula>NOT(ISERROR(SEARCH("Sem Data Final",I1)))</formula>
    </cfRule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1048576">
    <cfRule type="iconSet" priority="1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1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2">
      <colorScale>
        <cfvo type="min"/>
        <cfvo type="percentile" val="50"/>
        <cfvo type="max"/>
        <color rgb="FFF8696B"/>
        <color theme="8" tint="0.59999389629810485"/>
        <color theme="4" tint="-0.249977111117893"/>
      </colorScale>
    </cfRule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{6D537749-53AB-41C5-A1F8-D46AFC65EE80}</x14:id>
        </ext>
      </extLst>
    </cfRule>
  </conditionalFormatting>
  <conditionalFormatting sqref="AY1:AY1048576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4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AZ1:AZ1048576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3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CK2:CK1048576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196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CJ1:CJ1048576">
    <cfRule type="colorScale" priority="311">
      <colorScale>
        <cfvo type="min"/>
        <cfvo type="max"/>
        <color rgb="FF63BE7B"/>
        <color rgb="FFFFEF9C"/>
      </colorScale>
    </cfRule>
  </conditionalFormatting>
  <conditionalFormatting sqref="F1:F1048576">
    <cfRule type="colorScale" priority="309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I1:BI1048576">
    <cfRule type="colorScale" priority="226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BG1:BG1048576">
    <cfRule type="colorScale" priority="227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H1:H1048576">
    <cfRule type="colorScale" priority="273">
      <colorScale>
        <cfvo type="num" val="1.78"/>
        <cfvo type="percent" val="1.8499000000000001"/>
        <cfvo type="num" val="1.85"/>
        <color rgb="FFF8696B"/>
        <color rgb="FFFFEB84"/>
        <color rgb="FF63BE7B"/>
      </colorScale>
    </cfRule>
  </conditionalFormatting>
  <conditionalFormatting sqref="CK1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109">
      <colorScale>
        <cfvo type="num" val="0"/>
        <cfvo type="num" val="1"/>
        <cfvo type="max"/>
        <color rgb="FFFCFCFF"/>
        <color rgb="FFFFAFAF"/>
        <color rgb="FFF8696B"/>
      </colorScale>
    </cfRule>
  </conditionalFormatting>
  <conditionalFormatting sqref="BC1:BC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2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BD1:BD1048576">
    <cfRule type="iconSet" priority="1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1">
      <colorScale>
        <cfvo type="num" val="-1E-4"/>
        <cfvo type="num" val="0"/>
        <cfvo type="max"/>
        <color rgb="FFF8696B"/>
        <color rgb="FFFFF2CC"/>
        <color rgb="FFEC7524"/>
      </colorScale>
    </cfRule>
  </conditionalFormatting>
  <conditionalFormatting sqref="CK1:CK1048576">
    <cfRule type="colorScale" priority="185">
      <colorScale>
        <cfvo type="num" val="6.59"/>
        <cfvo type="num" val="6.99"/>
        <cfvo type="num" val="7"/>
        <color rgb="FFF8696B"/>
        <color rgb="FFFFEB84"/>
        <color rgb="FF63BE7B"/>
      </colorScale>
    </cfRule>
    <cfRule type="iconSet" priority="221">
      <iconSet iconSet="3Arrows">
        <cfvo type="percent" val="0"/>
        <cfvo type="num" val="6.7"/>
        <cfvo type="num" val="7"/>
      </iconSet>
    </cfRule>
  </conditionalFormatting>
  <conditionalFormatting sqref="BM1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1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1:AE1048576">
    <cfRule type="colorScale" priority="1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K1048576">
    <cfRule type="colorScale" priority="6606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1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K1:AK1048576"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U1:BU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{4BE9EE7D-CDDB-4B76-9FC0-2CD95ACCE319}</x14:id>
        </ext>
      </extLst>
    </cfRule>
    <cfRule type="colorScale" priority="122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V1:BV104857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{648AEEE9-13DF-48FA-A43C-E66A6020C798}</x14:id>
        </ext>
      </extLst>
    </cfRule>
    <cfRule type="colorScale" priority="121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W1:BW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{57C7AC16-7E8C-445D-9290-782E5BFF0B76}</x14:id>
        </ext>
      </extLst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{50FFED53-08B6-497C-9D58-1364802B3BF2}</x14:id>
        </ext>
      </extLst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1:BY104857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{F0FF4969-8518-4C18-9439-A6DB8733BA81}</x14:id>
        </ext>
      </extLst>
    </cfRule>
    <cfRule type="colorScale" priority="116">
      <colorScale>
        <cfvo type="min"/>
        <cfvo type="max"/>
        <color rgb="FFFCFCFF"/>
        <color rgb="FFF8696B"/>
      </colorScale>
    </cfRule>
  </conditionalFormatting>
  <conditionalFormatting sqref="BZ1:BZ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{04F2973A-18B8-4617-B93D-E979E0E0DA0A}</x14:id>
        </ext>
      </extLst>
    </cfRule>
    <cfRule type="colorScale" priority="115">
      <colorScale>
        <cfvo type="min"/>
        <cfvo type="max"/>
        <color rgb="FFFCFCFF"/>
        <color rgb="FFF8696B"/>
      </colorScale>
    </cfRule>
  </conditionalFormatting>
  <conditionalFormatting sqref="CA1:CA10485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112">
      <colorScale>
        <cfvo type="num" val="0"/>
        <cfvo type="num" val="1"/>
        <cfvo type="max"/>
        <color rgb="FFFCFCFF"/>
        <color rgb="FFFFAFAF"/>
        <color rgb="FFF8696B"/>
      </colorScale>
    </cfRule>
  </conditionalFormatting>
  <conditionalFormatting sqref="CC1:CC1048576">
    <cfRule type="colorScale" priority="110">
      <colorScale>
        <cfvo type="num" val="0.5"/>
        <cfvo type="max"/>
        <color rgb="FFFCFCFF"/>
        <color rgb="FFF8696B"/>
      </colorScale>
    </cfRule>
  </conditionalFormatting>
  <conditionalFormatting sqref="R1:R1048576">
    <cfRule type="iconSet" priority="1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0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L1:L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9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95">
      <iconSet iconSet="3ArrowsGray">
        <cfvo type="percent" val="0"/>
        <cfvo type="percent" val="33"/>
        <cfvo type="percent" val="67"/>
      </iconSet>
    </cfRule>
  </conditionalFormatting>
  <conditionalFormatting sqref="N1:N1048576">
    <cfRule type="colorScale" priority="91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94">
      <iconSet iconSet="3ArrowsGray">
        <cfvo type="percent" val="0"/>
        <cfvo type="percent" val="33"/>
        <cfvo type="percent" val="67"/>
      </iconSet>
    </cfRule>
  </conditionalFormatting>
  <conditionalFormatting sqref="O1:O1048576">
    <cfRule type="colorScale" priority="9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93">
      <iconSet iconSet="3ArrowsGray">
        <cfvo type="percent" val="0"/>
        <cfvo type="percent" val="33"/>
        <cfvo type="percent" val="67"/>
      </iconSet>
    </cfRule>
  </conditionalFormatting>
  <conditionalFormatting sqref="AT1:AT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5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1:CG1048576">
    <cfRule type="colorScale" priority="55">
      <colorScale>
        <cfvo type="min"/>
        <cfvo type="max"/>
        <color rgb="FFFFEF9C"/>
        <color rgb="FF63BE7B"/>
      </colorScale>
    </cfRule>
  </conditionalFormatting>
  <conditionalFormatting sqref="CH1:CH1048576">
    <cfRule type="colorScale" priority="54">
      <colorScale>
        <cfvo type="min"/>
        <cfvo type="max"/>
        <color rgb="FFFFEF9C"/>
        <color rgb="FF63BE7B"/>
      </colorScale>
    </cfRule>
  </conditionalFormatting>
  <conditionalFormatting sqref="CI1:CI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51">
      <colorScale>
        <cfvo type="min"/>
        <cfvo type="percentile" val="50"/>
        <cfvo type="max"/>
        <color theme="8" tint="0.79998168889431442"/>
        <color theme="4" tint="0.59999389629810485"/>
        <color rgb="FF5799D5"/>
      </colorScale>
    </cfRule>
  </conditionalFormatting>
  <conditionalFormatting sqref="CF1:CF1048576">
    <cfRule type="colorScale" priority="50">
      <colorScale>
        <cfvo type="min"/>
        <cfvo type="max"/>
        <color rgb="FFFCFCFF"/>
        <color rgb="FFF8696B"/>
      </colorScale>
    </cfRule>
  </conditionalFormatting>
  <conditionalFormatting sqref="BN1:BN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{E9A7ED1D-7264-4B20-9282-DA6CAF4BC8E9}</x14:id>
        </ext>
      </extLst>
    </cfRule>
    <cfRule type="colorScale" priority="47">
      <colorScale>
        <cfvo type="min"/>
        <cfvo type="max"/>
        <color rgb="FFFCFCFF"/>
        <color rgb="FFF8696B"/>
      </colorScale>
    </cfRule>
  </conditionalFormatting>
  <conditionalFormatting sqref="BQ1:BQ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{ADB8A499-A97D-49B2-B301-1329DDB18C80}</x14:id>
        </ext>
      </extLst>
    </cfRule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{F852551D-5544-4F19-A7FE-F7475D677C53}</x14:id>
        </ext>
      </extLst>
    </cfRule>
    <cfRule type="iconSet" priority="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{702A60C2-3457-4868-B22C-49D3CEF76C48}</x14:id>
        </ext>
      </extLst>
    </cfRule>
    <cfRule type="iconSet" priority="3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8">
      <colorScale>
        <cfvo type="min"/>
        <cfvo type="max"/>
        <color rgb="FFFCFCFF"/>
        <color rgb="FFF8696B"/>
      </colorScale>
    </cfRule>
  </conditionalFormatting>
  <conditionalFormatting sqref="BT1:BT1048576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{9E7037D8-2F78-49E1-8FD3-C774A01DBAF5}</x14:id>
        </ext>
      </extLst>
    </cfRule>
    <cfRule type="iconSet" priority="3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6">
      <colorScale>
        <cfvo type="min"/>
        <cfvo type="max"/>
        <color rgb="FFFCFCFF"/>
        <color rgb="FFF8696B"/>
      </colorScale>
    </cfRule>
  </conditionalFormatting>
  <conditionalFormatting sqref="AO1:AO1048576">
    <cfRule type="colorScale" priority="34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AL1:AL1048576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1:AM1048576">
    <cfRule type="iconSet" priority="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colorScale" priority="29">
      <colorScale>
        <cfvo type="min"/>
        <cfvo type="max"/>
        <color rgb="FFC9E9D1"/>
        <color rgb="FF63BE7B"/>
      </colorScale>
    </cfRule>
  </conditionalFormatting>
  <conditionalFormatting sqref="X1:X1048576">
    <cfRule type="colorScale" priority="27">
      <colorScale>
        <cfvo type="min"/>
        <cfvo type="max"/>
        <color rgb="FFC9E9D1"/>
        <color rgb="FF63BE7B"/>
      </colorScale>
    </cfRule>
  </conditionalFormatting>
  <conditionalFormatting sqref="Y1:Y1048576">
    <cfRule type="colorScale" priority="26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Z1:Z1048576">
    <cfRule type="colorScale" priority="25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A1:AA1048576">
    <cfRule type="colorScale" priority="24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B1:AB1048576">
    <cfRule type="colorScale" priority="23">
      <colorScale>
        <cfvo type="min"/>
        <cfvo type="percentile" val="50"/>
        <cfvo type="max"/>
        <color theme="7" tint="0.79998168889431442"/>
        <color rgb="FFC9E9D1"/>
        <color rgb="FF63BE7B"/>
      </colorScale>
    </cfRule>
  </conditionalFormatting>
  <conditionalFormatting sqref="AC1:AC1048576">
    <cfRule type="colorScale" priority="22">
      <colorScale>
        <cfvo type="min"/>
        <cfvo type="percentile" val="50"/>
        <cfvo type="max"/>
        <color rgb="FFFFF2CC"/>
        <color rgb="FFC9E9D1"/>
        <color rgb="FF63BE7B"/>
      </colorScale>
    </cfRule>
  </conditionalFormatting>
  <conditionalFormatting sqref="BF1:BF1048576"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K1:BK1048576">
    <cfRule type="colorScale" priority="19">
      <colorScale>
        <cfvo type="min"/>
        <cfvo type="percentile" val="50"/>
        <cfvo type="max"/>
        <color rgb="FFF8696B"/>
        <color rgb="FFFFF2CC"/>
        <color rgb="FFEC7524"/>
      </colorScale>
    </cfRule>
  </conditionalFormatting>
  <conditionalFormatting sqref="BE1:BE1048576">
    <cfRule type="iconSet" priority="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H1:BH1048576">
    <cfRule type="dataBar" priority="16">
      <dataBar>
        <cfvo type="min"/>
        <cfvo type="max"/>
        <color theme="5" tint="-0.249977111117893"/>
      </dataBar>
      <extLst>
        <ext xmlns:x14="http://schemas.microsoft.com/office/spreadsheetml/2009/9/main" uri="{B025F937-C7B1-47D3-B67F-A62EFF666E3E}">
          <x14:id>{CA2A2EB0-01C3-41EB-84DB-6FDA66D2A7D6}</x14:id>
        </ext>
      </extLst>
    </cfRule>
  </conditionalFormatting>
  <conditionalFormatting sqref="BJ1:BJ1048576">
    <cfRule type="dataBar" priority="15">
      <dataBar>
        <cfvo type="min"/>
        <cfvo type="max"/>
        <color rgb="FFEC7524"/>
      </dataBar>
      <extLst>
        <ext xmlns:x14="http://schemas.microsoft.com/office/spreadsheetml/2009/9/main" uri="{B025F937-C7B1-47D3-B67F-A62EFF666E3E}">
          <x14:id>{E05C20E0-DEA5-4297-A5E0-AD81D5F854F9}</x14:id>
        </ext>
      </extLst>
    </cfRule>
  </conditionalFormatting>
  <conditionalFormatting sqref="J1:J1048576">
    <cfRule type="colorScale" priority="23736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dataBar" priority="14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{912F4324-9B94-4CBC-97BC-6E0664AE96AE}</x14:id>
        </ext>
      </extLst>
    </cfRule>
  </conditionalFormatting>
  <conditionalFormatting sqref="BP1:BP1048576">
    <cfRule type="dataBar" priority="13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{0D56D725-C2A4-47B5-A774-7D791B524F90}</x14:id>
        </ext>
      </extLst>
    </cfRule>
  </conditionalFormatting>
  <conditionalFormatting sqref="BM267:BM1048576 BM1">
    <cfRule type="colorScale" priority="2441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266">
    <cfRule type="colorScale" priority="2441340">
      <colorScale>
        <cfvo type="percent" val="0"/>
        <cfvo type="percent" val="50"/>
        <cfvo type="percent" val="100"/>
        <color theme="9" tint="0.79998168889431442"/>
        <color rgb="FFFF0000"/>
        <color rgb="FFC00000"/>
      </colorScale>
    </cfRule>
  </conditionalFormatting>
  <conditionalFormatting sqref="AI2:AK266">
    <cfRule type="colorScale" priority="2441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:CK266">
    <cfRule type="colorScale" priority="2441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266">
    <cfRule type="colorScale" priority="2441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266">
    <cfRule type="colorScale" priority="2441344">
      <colorScale>
        <cfvo type="min"/>
        <cfvo type="percent" val="50"/>
        <cfvo type="max"/>
        <color theme="0" tint="0.79998168889431442"/>
        <color theme="9" tint="0.59999389629810485"/>
        <color rgb="FF63BE7B"/>
      </colorScale>
    </cfRule>
    <cfRule type="colorScale" priority="2441345">
      <colorScale>
        <cfvo type="min"/>
        <cfvo type="max"/>
        <color rgb="FFFFEF9C"/>
        <color rgb="FF63BE7B"/>
      </colorScale>
    </cfRule>
  </conditionalFormatting>
  <conditionalFormatting sqref="BM2:BM266">
    <cfRule type="colorScale" priority="2441346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  <cfRule type="colorScale" priority="24413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48">
      <colorScale>
        <cfvo type="min"/>
        <cfvo type="max"/>
        <color rgb="FFFCFCFF"/>
        <color rgb="FF63BE7B"/>
      </colorScale>
    </cfRule>
  </conditionalFormatting>
  <conditionalFormatting sqref="BM2:BM266">
    <cfRule type="colorScale" priority="244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E266">
    <cfRule type="colorScale" priority="24413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1">
      <colorScale>
        <cfvo type="min"/>
        <cfvo type="max"/>
        <color rgb="FFFFEF9C"/>
        <color rgb="FF63BE7B"/>
      </colorScale>
    </cfRule>
  </conditionalFormatting>
  <conditionalFormatting sqref="AD2:AE266">
    <cfRule type="colorScale" priority="2441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H266">
    <cfRule type="colorScale" priority="24413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4">
      <colorScale>
        <cfvo type="min"/>
        <cfvo type="max"/>
        <color rgb="FFFFEF9C"/>
        <color rgb="FF63BE7B"/>
      </colorScale>
    </cfRule>
  </conditionalFormatting>
  <conditionalFormatting sqref="AG2:AH266">
    <cfRule type="colorScale" priority="2441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K266">
    <cfRule type="colorScale" priority="2441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K266">
    <cfRule type="colorScale" priority="2441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8">
      <colorScale>
        <cfvo type="min"/>
        <cfvo type="max"/>
        <color rgb="FFFFEF9C"/>
        <color rgb="FF63BE7B"/>
      </colorScale>
    </cfRule>
  </conditionalFormatting>
  <conditionalFormatting sqref="AJ2:AJ266">
    <cfRule type="colorScale" priority="2441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:AK266">
    <cfRule type="colorScale" priority="2441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266">
    <cfRule type="colorScale" priority="2441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266">
    <cfRule type="dataBar" priority="244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{2FC819BD-B89C-455D-B6AE-68CC0317ED24}</x14:id>
        </ext>
      </extLst>
    </cfRule>
  </conditionalFormatting>
  <conditionalFormatting sqref="J2:J266">
    <cfRule type="colorScale" priority="2441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537749-53AB-41C5-A1F8-D46AFC65E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4BE9EE7D-CDDB-4B76-9FC0-2CD95ACCE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648AEEE9-13DF-48FA-A43C-E66A6020C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BV1:BV1048576</xm:sqref>
        </x14:conditionalFormatting>
        <x14:conditionalFormatting xmlns:xm="http://schemas.microsoft.com/office/excel/2006/main">
          <x14:cfRule type="dataBar" id="{57C7AC16-7E8C-445D-9290-782E5BFF0B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BW1:BW1048576</xm:sqref>
        </x14:conditionalFormatting>
        <x14:conditionalFormatting xmlns:xm="http://schemas.microsoft.com/office/excel/2006/main">
          <x14:cfRule type="dataBar" id="{50FFED53-08B6-497C-9D58-1364802B3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BX1:BX1048576</xm:sqref>
        </x14:conditionalFormatting>
        <x14:conditionalFormatting xmlns:xm="http://schemas.microsoft.com/office/excel/2006/main">
          <x14:cfRule type="dataBar" id="{F0FF4969-8518-4C18-9439-A6DB8733BA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04F2973A-18B8-4617-B93D-E979E0E0DA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E9A7ED1D-7264-4B20-9282-DA6CAF4BC8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BN1:BN1048576</xm:sqref>
        </x14:conditionalFormatting>
        <x14:conditionalFormatting xmlns:xm="http://schemas.microsoft.com/office/excel/2006/main">
          <x14:cfRule type="dataBar" id="{ADB8A499-A97D-49B2-B301-1329DDB18C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F852551D-5544-4F19-A7FE-F7475D677C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702A60C2-3457-4868-B22C-49D3CEF76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9E7037D8-2F78-49E1-8FD3-C774A01DB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CA2A2EB0-01C3-41EB-84DB-6FDA66D2A7D6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BH1:BH1048576</xm:sqref>
        </x14:conditionalFormatting>
        <x14:conditionalFormatting xmlns:xm="http://schemas.microsoft.com/office/excel/2006/main">
          <x14:cfRule type="dataBar" id="{E05C20E0-DEA5-4297-A5E0-AD81D5F854F9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BJ1:BJ1048576</xm:sqref>
        </x14:conditionalFormatting>
        <x14:conditionalFormatting xmlns:xm="http://schemas.microsoft.com/office/excel/2006/main">
          <x14:cfRule type="dataBar" id="{912F4324-9B94-4CBC-97BC-6E0664AE96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0D56D725-C2A4-47B5-A774-7D791B524F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BP1:BP1048576</xm:sqref>
        </x14:conditionalFormatting>
        <x14:conditionalFormatting xmlns:xm="http://schemas.microsoft.com/office/excel/2006/main">
          <x14:cfRule type="dataBar" id="{2FC819BD-B89C-455D-B6AE-68CC0317ED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AP2:AP266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>
    <tabColor theme="4" tint="-0.499984740745262"/>
  </sheetPr>
  <dimension ref="A1:GB11"/>
  <sheetViews>
    <sheetView zoomScale="90" zoomScaleNormal="90" workbookViewId="0">
      <pane xSplit="2" ySplit="1" topLeftCell="C2" activePane="bottomRight" state="frozen"/>
      <selection activeCell="F1" sqref="F1:F1048576"/>
      <selection pane="topRight" activeCell="F1" sqref="F1:F1048576"/>
      <selection pane="bottomLeft" activeCell="F1" sqref="F1:F1048576"/>
      <selection pane="bottomRight"/>
    </sheetView>
  </sheetViews>
  <sheetFormatPr defaultRowHeight="24.95" customHeight="1" x14ac:dyDescent="0.25"/>
  <cols>
    <col min="2" max="2" width="30.7109375" customWidth="1"/>
    <col min="3" max="3" width="12.5703125" customWidth="1"/>
    <col min="4" max="4" width="21.7109375" customWidth="1"/>
    <col min="5" max="5" width="24.28515625" customWidth="1"/>
    <col min="6" max="6" width="14" customWidth="1"/>
    <col min="7" max="7" width="15.7109375" customWidth="1"/>
    <col min="8" max="8" width="17.140625" customWidth="1"/>
    <col min="9" max="9" width="18" customWidth="1"/>
    <col min="10" max="10" width="20.85546875" style="13" bestFit="1" customWidth="1"/>
    <col min="11" max="12" width="15.7109375" customWidth="1"/>
    <col min="13" max="53" width="18.7109375" customWidth="1"/>
    <col min="54" max="55" width="18.7109375" style="190" customWidth="1"/>
    <col min="56" max="64" width="18.7109375" customWidth="1"/>
    <col min="65" max="69" width="18.7109375" style="11" customWidth="1"/>
    <col min="70" max="86" width="18.7109375" customWidth="1"/>
    <col min="87" max="87" width="18.7109375" style="11" customWidth="1"/>
    <col min="88" max="90" width="18.7109375" customWidth="1"/>
    <col min="91" max="113" width="18.7109375" style="11" customWidth="1"/>
    <col min="114" max="120" width="18.7109375" customWidth="1"/>
    <col min="121" max="128" width="18.7109375" style="11" customWidth="1"/>
    <col min="129" max="129" width="18.7109375" style="103" customWidth="1"/>
    <col min="130" max="130" width="9.7109375" style="1" customWidth="1"/>
    <col min="131" max="177" width="12.7109375" style="1" customWidth="1"/>
    <col min="178" max="178" width="9.140625" style="1"/>
  </cols>
  <sheetData>
    <row r="1" spans="1:184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4" t="s">
        <v>21</v>
      </c>
      <c r="I1" s="8" t="s">
        <v>90</v>
      </c>
      <c r="J1" s="85" t="s">
        <v>3</v>
      </c>
      <c r="K1" s="4" t="s">
        <v>231</v>
      </c>
      <c r="L1" s="4" t="s">
        <v>121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24</v>
      </c>
      <c r="R1" s="224" t="s">
        <v>306</v>
      </c>
      <c r="S1" s="224" t="s">
        <v>153</v>
      </c>
      <c r="T1" s="224" t="s">
        <v>305</v>
      </c>
      <c r="U1" s="98" t="s">
        <v>38</v>
      </c>
      <c r="V1" s="98" t="s">
        <v>417</v>
      </c>
      <c r="W1" s="98" t="s">
        <v>416</v>
      </c>
      <c r="X1" s="104" t="s">
        <v>241</v>
      </c>
      <c r="Y1" s="104" t="s">
        <v>238</v>
      </c>
      <c r="Z1" s="105" t="s">
        <v>239</v>
      </c>
      <c r="AA1" s="104" t="s">
        <v>240</v>
      </c>
      <c r="AB1" s="328" t="s">
        <v>304</v>
      </c>
      <c r="AC1" s="329" t="s">
        <v>303</v>
      </c>
      <c r="AD1" s="25" t="s">
        <v>302</v>
      </c>
      <c r="AE1" s="25" t="s">
        <v>301</v>
      </c>
      <c r="AF1" s="25" t="s">
        <v>300</v>
      </c>
      <c r="AG1" s="25" t="s">
        <v>299</v>
      </c>
      <c r="AH1" s="113" t="s">
        <v>298</v>
      </c>
      <c r="AI1" s="132" t="s">
        <v>297</v>
      </c>
      <c r="AJ1" s="132" t="s">
        <v>296</v>
      </c>
      <c r="AK1" s="132" t="s">
        <v>295</v>
      </c>
      <c r="AL1" s="25" t="s">
        <v>463</v>
      </c>
      <c r="AM1" s="25" t="s">
        <v>464</v>
      </c>
      <c r="AN1" s="158" t="s">
        <v>598</v>
      </c>
      <c r="AO1" s="158" t="s">
        <v>601</v>
      </c>
      <c r="AP1" s="158" t="s">
        <v>602</v>
      </c>
      <c r="AQ1" s="158" t="s">
        <v>603</v>
      </c>
      <c r="AR1" s="158" t="s">
        <v>606</v>
      </c>
      <c r="AS1" s="158" t="s">
        <v>604</v>
      </c>
      <c r="AT1" s="26" t="s">
        <v>605</v>
      </c>
      <c r="AU1" s="26" t="s">
        <v>600</v>
      </c>
      <c r="AV1" s="26" t="s">
        <v>477</v>
      </c>
      <c r="AW1" s="26" t="s">
        <v>51</v>
      </c>
      <c r="AX1" s="26" t="s">
        <v>50</v>
      </c>
      <c r="AY1" s="131" t="s">
        <v>294</v>
      </c>
      <c r="AZ1" s="131" t="s">
        <v>293</v>
      </c>
      <c r="BA1" s="131" t="s">
        <v>292</v>
      </c>
      <c r="BB1" s="26" t="s">
        <v>49</v>
      </c>
      <c r="BC1" s="26" t="s">
        <v>498</v>
      </c>
      <c r="BD1" s="131" t="s">
        <v>182</v>
      </c>
      <c r="BE1" s="131" t="s">
        <v>291</v>
      </c>
      <c r="BF1" s="131" t="s">
        <v>111</v>
      </c>
      <c r="BG1" s="131" t="s">
        <v>290</v>
      </c>
      <c r="BH1" s="130" t="s">
        <v>245</v>
      </c>
      <c r="BI1" s="130" t="s">
        <v>246</v>
      </c>
      <c r="BJ1" s="22" t="s">
        <v>110</v>
      </c>
      <c r="BK1" s="50" t="s">
        <v>465</v>
      </c>
      <c r="BL1" s="50" t="s">
        <v>466</v>
      </c>
      <c r="BM1" s="95" t="s">
        <v>225</v>
      </c>
      <c r="BN1" s="95" t="s">
        <v>226</v>
      </c>
      <c r="BO1" s="95" t="s">
        <v>227</v>
      </c>
      <c r="BP1" s="95" t="s">
        <v>228</v>
      </c>
      <c r="BQ1" s="95" t="s">
        <v>229</v>
      </c>
      <c r="BR1" s="129" t="s">
        <v>82</v>
      </c>
      <c r="BS1" s="38" t="s">
        <v>170</v>
      </c>
      <c r="BT1" s="38" t="s">
        <v>289</v>
      </c>
      <c r="BU1" s="38" t="s">
        <v>288</v>
      </c>
      <c r="BV1" s="80" t="s">
        <v>287</v>
      </c>
      <c r="BW1" s="38" t="s">
        <v>286</v>
      </c>
      <c r="BX1" s="38" t="s">
        <v>315</v>
      </c>
      <c r="BY1" s="38" t="s">
        <v>285</v>
      </c>
      <c r="BZ1" s="38" t="s">
        <v>284</v>
      </c>
      <c r="CA1" s="80" t="s">
        <v>283</v>
      </c>
      <c r="CB1" s="321" t="s">
        <v>282</v>
      </c>
      <c r="CC1" s="321" t="s">
        <v>281</v>
      </c>
      <c r="CD1" s="321" t="s">
        <v>280</v>
      </c>
      <c r="CE1" s="217" t="s">
        <v>433</v>
      </c>
      <c r="CF1" s="217" t="s">
        <v>434</v>
      </c>
      <c r="CG1" s="217" t="s">
        <v>469</v>
      </c>
      <c r="CH1" s="48" t="s">
        <v>470</v>
      </c>
      <c r="CI1" s="48" t="s">
        <v>279</v>
      </c>
      <c r="CJ1" s="49" t="s">
        <v>453</v>
      </c>
      <c r="CK1" s="49" t="s">
        <v>454</v>
      </c>
      <c r="CL1" s="49" t="s">
        <v>455</v>
      </c>
      <c r="CM1" s="49" t="s">
        <v>148</v>
      </c>
      <c r="CN1" s="128" t="s">
        <v>456</v>
      </c>
      <c r="CO1" s="10" t="s">
        <v>147</v>
      </c>
      <c r="CP1" s="127" t="s">
        <v>278</v>
      </c>
      <c r="CQ1" s="127" t="s">
        <v>277</v>
      </c>
      <c r="CR1" s="127" t="s">
        <v>276</v>
      </c>
      <c r="CS1" s="127" t="s">
        <v>275</v>
      </c>
      <c r="CT1" s="378" t="s">
        <v>274</v>
      </c>
      <c r="CU1" s="379" t="s">
        <v>273</v>
      </c>
      <c r="CV1" s="378" t="s">
        <v>272</v>
      </c>
      <c r="CW1" s="378" t="s">
        <v>271</v>
      </c>
      <c r="CX1" s="378" t="s">
        <v>270</v>
      </c>
      <c r="CY1" s="126" t="s">
        <v>269</v>
      </c>
      <c r="CZ1" s="125" t="s">
        <v>268</v>
      </c>
      <c r="DA1" s="278" t="s">
        <v>69</v>
      </c>
      <c r="DB1" s="278" t="s">
        <v>267</v>
      </c>
      <c r="DC1" s="125" t="s">
        <v>266</v>
      </c>
      <c r="DD1" s="124" t="s">
        <v>265</v>
      </c>
      <c r="DE1" s="123" t="s">
        <v>264</v>
      </c>
      <c r="DF1" s="122" t="s">
        <v>263</v>
      </c>
      <c r="DG1" s="122" t="s">
        <v>262</v>
      </c>
      <c r="DH1" s="121" t="s">
        <v>261</v>
      </c>
      <c r="DI1" s="120" t="s">
        <v>142</v>
      </c>
      <c r="DJ1" s="119" t="s">
        <v>145</v>
      </c>
      <c r="DK1" s="119" t="s">
        <v>143</v>
      </c>
      <c r="DL1" s="119" t="s">
        <v>146</v>
      </c>
      <c r="DM1" s="214" t="s">
        <v>451</v>
      </c>
      <c r="DN1" s="214" t="s">
        <v>452</v>
      </c>
      <c r="DO1" s="48" t="s">
        <v>144</v>
      </c>
      <c r="DP1" s="47" t="s">
        <v>18</v>
      </c>
      <c r="DQ1" s="47" t="s">
        <v>81</v>
      </c>
      <c r="DR1" s="47" t="s">
        <v>260</v>
      </c>
      <c r="DS1" s="47" t="s">
        <v>92</v>
      </c>
      <c r="DT1" s="47" t="s">
        <v>171</v>
      </c>
      <c r="DU1" s="43" t="s">
        <v>414</v>
      </c>
      <c r="DV1" s="43" t="s">
        <v>415</v>
      </c>
      <c r="DW1" s="43" t="s">
        <v>567</v>
      </c>
      <c r="DX1" s="43" t="s">
        <v>180</v>
      </c>
      <c r="DY1" s="110" t="s">
        <v>25</v>
      </c>
      <c r="DZ1" s="293" t="s">
        <v>14</v>
      </c>
      <c r="EA1" s="294" t="s">
        <v>20</v>
      </c>
      <c r="EB1" s="294" t="s">
        <v>29</v>
      </c>
      <c r="EC1" s="294" t="s">
        <v>1</v>
      </c>
      <c r="ED1" s="294" t="s">
        <v>2</v>
      </c>
      <c r="EE1" s="294" t="s">
        <v>3</v>
      </c>
      <c r="EF1" s="294" t="s">
        <v>621</v>
      </c>
      <c r="EG1" s="294" t="s">
        <v>40</v>
      </c>
      <c r="EH1" s="294" t="s">
        <v>89</v>
      </c>
      <c r="EI1" s="294" t="s">
        <v>0</v>
      </c>
      <c r="EJ1" s="294" t="s">
        <v>622</v>
      </c>
      <c r="EK1" s="294" t="s">
        <v>683</v>
      </c>
      <c r="EL1" s="294" t="s">
        <v>30</v>
      </c>
      <c r="EM1" s="294" t="s">
        <v>624</v>
      </c>
      <c r="EN1" s="294" t="s">
        <v>684</v>
      </c>
      <c r="EO1" s="294" t="s">
        <v>685</v>
      </c>
      <c r="EP1" s="294" t="s">
        <v>63</v>
      </c>
      <c r="EQ1" s="294" t="s">
        <v>264</v>
      </c>
      <c r="ER1" s="294" t="s">
        <v>189</v>
      </c>
      <c r="ES1" s="294" t="s">
        <v>190</v>
      </c>
      <c r="ET1" s="294" t="s">
        <v>17</v>
      </c>
      <c r="EU1" s="294" t="s">
        <v>11</v>
      </c>
      <c r="EV1" s="294" t="s">
        <v>187</v>
      </c>
      <c r="EW1" s="294" t="s">
        <v>104</v>
      </c>
      <c r="EX1" s="294" t="s">
        <v>636</v>
      </c>
      <c r="EY1" s="294" t="s">
        <v>253</v>
      </c>
      <c r="EZ1" s="294" t="s">
        <v>236</v>
      </c>
      <c r="FA1" s="294" t="s">
        <v>165</v>
      </c>
      <c r="FB1" s="294" t="s">
        <v>48</v>
      </c>
      <c r="FC1" s="294" t="s">
        <v>41</v>
      </c>
      <c r="FD1" s="294" t="s">
        <v>646</v>
      </c>
      <c r="FE1" s="294" t="s">
        <v>49</v>
      </c>
      <c r="FF1" s="294" t="s">
        <v>18</v>
      </c>
      <c r="FG1" s="294" t="s">
        <v>167</v>
      </c>
      <c r="FH1" s="294" t="s">
        <v>10</v>
      </c>
      <c r="FI1" s="294" t="s">
        <v>648</v>
      </c>
      <c r="FJ1" s="294" t="s">
        <v>15</v>
      </c>
      <c r="FK1" s="294" t="s">
        <v>16</v>
      </c>
      <c r="FL1" s="294" t="s">
        <v>4</v>
      </c>
      <c r="FM1" s="294" t="s">
        <v>8</v>
      </c>
      <c r="FN1" s="294" t="s">
        <v>9</v>
      </c>
      <c r="FO1" s="294" t="s">
        <v>5</v>
      </c>
      <c r="FP1" s="294" t="s">
        <v>103</v>
      </c>
      <c r="FQ1" s="294" t="s">
        <v>599</v>
      </c>
      <c r="FR1" s="294" t="s">
        <v>166</v>
      </c>
      <c r="FS1" s="294" t="s">
        <v>649</v>
      </c>
      <c r="FT1" s="294" t="s">
        <v>686</v>
      </c>
      <c r="FU1" s="295" t="s">
        <v>643</v>
      </c>
      <c r="GB1" s="109"/>
    </row>
    <row r="2" spans="1:184" ht="24.95" customHeight="1" thickBot="1" x14ac:dyDescent="0.3">
      <c r="A2" s="29" t="str">
        <f t="shared" ref="A2:A11" si="0">ROW()-1 &amp; "º"</f>
        <v>1º</v>
      </c>
      <c r="B2" s="101" t="str">
        <f t="shared" ref="B2:B11" si="1">EA2</f>
        <v>Gustavo Henrique</v>
      </c>
      <c r="C2" s="86" t="str">
        <f t="shared" ref="C2:C11" si="2">EF2</f>
        <v>BRA</v>
      </c>
      <c r="D2" s="99" t="str">
        <f t="shared" ref="D2:D11" si="3">EG2</f>
        <v>Pé Direito</v>
      </c>
      <c r="E2" s="67" t="str">
        <f t="shared" ref="E2:E11" si="4">EI2</f>
        <v>Corinthians</v>
      </c>
      <c r="F2" s="168">
        <f t="shared" ref="F2:F11" si="5">IFERROR(SUBSTITUTE(EB2," cm","")/100,0)</f>
        <v>1.96</v>
      </c>
      <c r="G2" s="171">
        <f t="shared" ref="G2:G11" si="6">EC2</f>
        <v>33</v>
      </c>
      <c r="H2" s="68" t="str">
        <f t="shared" ref="H2:H11" si="7">ED2</f>
        <v>30m € - 500m €</v>
      </c>
      <c r="I2" s="201">
        <f t="shared" ref="I2:I11" si="8">IF(EH2="-", "Sem Data Final", EH2)</f>
        <v>46752</v>
      </c>
      <c r="J2" s="305" t="str">
        <f t="shared" ref="J2:J11" si="9">EE2</f>
        <v>159m € p/m</v>
      </c>
      <c r="K2" s="96">
        <f t="shared" ref="K2:K11" si="10">AVERAGE(L:L)</f>
        <v>34.717777777777776</v>
      </c>
      <c r="L2" s="147">
        <f t="shared" ref="L2:L11" si="11">IFERROR(EJ2/90,0)</f>
        <v>40.266666666666666</v>
      </c>
      <c r="M2" s="147">
        <f t="shared" ref="M2:M11" si="12">IFERROR(IF(ISERROR(FIND("(",EK2)), VALUE(EK2), VALUE(LEFT(EK2,FIND("(",EK2)-2)) + VALUE(MID(EK2,FIND("(",EK2)+1,FIND(")",EK2)-FIND("(",EK2)-1))),0)</f>
        <v>45</v>
      </c>
      <c r="N2" s="147">
        <f t="shared" ref="N2:N11" si="13">IFERROR(EJ2/M2,0)</f>
        <v>80.533333333333331</v>
      </c>
      <c r="O2" s="193">
        <f t="shared" ref="O2:O11" si="14">IFERROR(IF(ISERROR(FIND("(",EK2)), "100%", TEXT(VALUE(LEFT(EK2,FIND("(",EK2)-2)) / (VALUE(LEFT(EK2,FIND("(",EK2)-2)) + VALUE(MID(EK2,FIND("(",EK2)+1,FIND(")",EK2)-FIND("(",EK2)-1))),"0%")),0)*1</f>
        <v>0.93</v>
      </c>
      <c r="P2" s="55">
        <f t="shared" ref="P2:P11" si="15">EN2</f>
        <v>0</v>
      </c>
      <c r="Q2" s="55">
        <f t="shared" ref="Q2:Q11" si="16">EO2</f>
        <v>1</v>
      </c>
      <c r="R2" s="55">
        <f t="shared" ref="R2:R11" si="17">IFERROR(EN2+EO2,0)</f>
        <v>1</v>
      </c>
      <c r="S2" s="57">
        <f t="shared" ref="S2:S11" si="18">IFERROR((P2/L2),0)</f>
        <v>0</v>
      </c>
      <c r="T2" s="57">
        <f t="shared" ref="T2:T11" si="19">IFERROR(R2/L2,0)</f>
        <v>2.4834437086092717E-2</v>
      </c>
      <c r="U2" s="56">
        <f t="shared" ref="U2:U11" si="20">IFERROR(EL2,0)</f>
        <v>2</v>
      </c>
      <c r="V2" s="57">
        <f t="shared" ref="V2:V11" si="21">IFERROR((EJ2/EL2),5400)</f>
        <v>1812</v>
      </c>
      <c r="W2" s="63">
        <f t="shared" ref="W2:W11" si="22">IFERROR((U2*1)/L2,0)</f>
        <v>4.9668874172185434E-2</v>
      </c>
      <c r="X2" s="56">
        <f t="shared" ref="X2:X11" si="23">FO2</f>
        <v>0</v>
      </c>
      <c r="Y2" s="56">
        <f t="shared" ref="Y2:Y11" si="24">FP2</f>
        <v>0</v>
      </c>
      <c r="Z2" s="56">
        <f t="shared" ref="Z2:Z11" si="25">IFERROR(FO2-FP2,0)</f>
        <v>0</v>
      </c>
      <c r="AA2" s="60">
        <f t="shared" ref="AA2:AA11" si="26">IFERROR((Y2*1)/X2,0.0000001)</f>
        <v>9.9999999999999995E-8</v>
      </c>
      <c r="AB2" s="308">
        <f t="shared" ref="AB2:AB11" si="27">EM2</f>
        <v>0</v>
      </c>
      <c r="AC2" s="309">
        <f t="shared" ref="AC2:AC11" si="28">IFERROR(AB2/L2,0)</f>
        <v>0</v>
      </c>
      <c r="AD2" s="56">
        <f t="shared" ref="AD2:AD11" si="29">EU2</f>
        <v>233</v>
      </c>
      <c r="AE2" s="57">
        <f t="shared" ref="AE2:AE11" si="30">IFERROR(AD2/L2,0)</f>
        <v>5.7864238410596025</v>
      </c>
      <c r="AF2" s="56">
        <f t="shared" ref="AF2:AF11" si="31">IFERROR(ET2,0)</f>
        <v>181</v>
      </c>
      <c r="AG2" s="57">
        <f t="shared" ref="AG2:AG11" si="32">IFERROR(AF2/L2,0)</f>
        <v>4.4950331125827816</v>
      </c>
      <c r="AH2" s="60">
        <f t="shared" ref="AH2:AH11" si="33">IFERROR((AF2*1)/AD2,0)</f>
        <v>0.77682403433476399</v>
      </c>
      <c r="AI2" s="56">
        <f t="shared" ref="AI2:AI11" si="34">IFERROR(AD2-AF2,0)</f>
        <v>52</v>
      </c>
      <c r="AJ2" s="57">
        <f t="shared" ref="AJ2:AJ11" si="35">IFERROR(AI2/L2,0)</f>
        <v>1.2913907284768211</v>
      </c>
      <c r="AK2" s="60">
        <f t="shared" ref="AK2:AK11" si="36">IFERROR((AI2*1)/AD2,0)</f>
        <v>0.22317596566523606</v>
      </c>
      <c r="AL2" s="213">
        <f t="shared" ref="AL2:AL11" si="37">IFERROR((AM2*L2),0)</f>
        <v>84.56</v>
      </c>
      <c r="AM2" s="212">
        <f t="shared" ref="AM2:AM11" si="38">IFERROR(EV2,0)</f>
        <v>2.1</v>
      </c>
      <c r="AN2" s="63">
        <f t="shared" ref="AN2:AN11" si="39">FM2/EU2</f>
        <v>8.5836909871244635E-2</v>
      </c>
      <c r="AO2" s="213">
        <f t="shared" ref="AO2:AO11" si="40">IFERROR(FM2-FO2,0)</f>
        <v>20</v>
      </c>
      <c r="AP2" s="212">
        <f t="shared" ref="AP2:AP11" si="41">AO2/L2</f>
        <v>0.49668874172185434</v>
      </c>
      <c r="AQ2" s="213">
        <f t="shared" ref="AQ2:AQ11" si="42">IFERROR(FN2-FO2,0)</f>
        <v>6</v>
      </c>
      <c r="AR2" s="212">
        <f t="shared" ref="AR2:AR11" si="43">IFERROR(AQ2/L2,0)</f>
        <v>0.1490066225165563</v>
      </c>
      <c r="AS2" s="63">
        <f t="shared" ref="AS2:AS11" si="44">IFERROR(AQ2/AO2,0)</f>
        <v>0.3</v>
      </c>
      <c r="AT2" s="307">
        <f t="shared" ref="AT2:AT11" si="45">VALUE(SUBSTITUTE(FQ2,".",","))/FM2</f>
        <v>6.9999999999999993E-2</v>
      </c>
      <c r="AU2" s="306">
        <f t="shared" ref="AU2:AU11" si="46">SUBSTITUTE(FQ2,".",",")*1</f>
        <v>1.4</v>
      </c>
      <c r="AV2" s="310">
        <f t="shared" ref="AV2:AV11" si="47">(EN2-FP2)-VALUE(SUBSTITUTE(FQ2,".",","))</f>
        <v>-1.4</v>
      </c>
      <c r="AW2" s="56">
        <f t="shared" ref="AW2:AW11" si="48">IFERROR(FC2+EY2+EZ2,0)</f>
        <v>185</v>
      </c>
      <c r="AX2" s="57">
        <f t="shared" ref="AX2:AX11" si="49">IFERROR(AW2/L2,0)</f>
        <v>4.5943708609271523</v>
      </c>
      <c r="AY2" s="56">
        <f t="shared" ref="AY2:AY11" si="50">EZ2</f>
        <v>24</v>
      </c>
      <c r="AZ2" s="57">
        <f t="shared" ref="AZ2:AZ11" si="51">IFERROR(AY2/L2,0)</f>
        <v>0.59602649006622521</v>
      </c>
      <c r="BA2" s="57">
        <f t="shared" ref="BA2:BA11" si="52">IFERROR((EZ2+EY2+FC2+FB2)/L2,0)</f>
        <v>4.668874172185431</v>
      </c>
      <c r="BB2" s="225">
        <f t="shared" ref="BB2:BB11" si="53">FE2</f>
        <v>55</v>
      </c>
      <c r="BC2" s="223">
        <f t="shared" ref="BC2:BC11" si="54">IFERROR(BB2/L2,0)</f>
        <v>1.3658940397350994</v>
      </c>
      <c r="BD2" s="56">
        <f t="shared" ref="BD2:BD11" si="55">EW2+FD2</f>
        <v>31</v>
      </c>
      <c r="BE2" s="57">
        <f t="shared" ref="BE2:BE11" si="56">IFERROR(BD2/L2,0)</f>
        <v>0.76986754966887416</v>
      </c>
      <c r="BF2" s="58">
        <f t="shared" ref="BF2:BF11" si="57">EX2</f>
        <v>18</v>
      </c>
      <c r="BG2" s="57">
        <f t="shared" ref="BG2:BG11" si="58">IFERROR(BF2/L2,0)</f>
        <v>0.44701986754966888</v>
      </c>
      <c r="BH2" s="75">
        <f t="shared" ref="BH2:BH11" si="59">EW2-EX2</f>
        <v>1</v>
      </c>
      <c r="BI2" s="57">
        <f t="shared" ref="BI2:BI11" si="60">IFERROR(BH2/L2,0)</f>
        <v>2.4834437086092717E-2</v>
      </c>
      <c r="BJ2" s="114">
        <f t="shared" ref="BJ2:BJ11" si="61">IFERROR((BF2*1)/BD2,0)</f>
        <v>0.58064516129032262</v>
      </c>
      <c r="BK2" s="56">
        <f t="shared" ref="BK2:BK11" si="62">FB2</f>
        <v>3</v>
      </c>
      <c r="BL2" s="57">
        <f t="shared" ref="BL2:BL11" si="63">IFERROR(BK2/L2,0)</f>
        <v>7.4503311258278151E-2</v>
      </c>
      <c r="BM2" s="61">
        <f t="shared" ref="BM2:BM11" si="64">ER2</f>
        <v>84</v>
      </c>
      <c r="BN2" s="62">
        <f t="shared" ref="BN2:BN11" si="65">ER2/L2</f>
        <v>2.0860927152317883</v>
      </c>
      <c r="BO2" s="61">
        <f t="shared" ref="BO2:BO11" si="66">ES2</f>
        <v>21</v>
      </c>
      <c r="BP2" s="62">
        <f t="shared" ref="BP2:BP11" si="67">IFERROR(ES2/L2,0)</f>
        <v>0.52152317880794707</v>
      </c>
      <c r="BQ2" s="63">
        <f t="shared" ref="BQ2:BQ11" si="68">IFERROR((BP2*1)/BN2,0)</f>
        <v>0.25</v>
      </c>
      <c r="BR2" s="61">
        <f t="shared" ref="BR2:BR11" si="69">FJ2</f>
        <v>1909</v>
      </c>
      <c r="BS2" s="62">
        <f t="shared" ref="BS2:BS11" si="70">IFERROR(BR2/L2,0)</f>
        <v>47.408940397350996</v>
      </c>
      <c r="BT2" s="61">
        <f t="shared" ref="BT2:BT11" si="71">FK2</f>
        <v>1766</v>
      </c>
      <c r="BU2" s="62">
        <f t="shared" ref="BU2:BU11" si="72">IFERROR(BT2/L2,0)</f>
        <v>43.857615894039739</v>
      </c>
      <c r="BV2" s="63">
        <f t="shared" ref="BV2:BV11" si="73">IFERROR((BT2*1)/BR2,0)</f>
        <v>0.92509167103195389</v>
      </c>
      <c r="BW2" s="56">
        <f t="shared" ref="BW2:BW11" si="74">FJ2-FI2</f>
        <v>1751</v>
      </c>
      <c r="BX2" s="62">
        <f t="shared" ref="BX2:BX11" si="75">FK2/L2</f>
        <v>43.857615894039739</v>
      </c>
      <c r="BY2" s="61">
        <f t="shared" ref="BY2:BY11" si="76">FI2</f>
        <v>158</v>
      </c>
      <c r="BZ2" s="62">
        <f t="shared" ref="BZ2:BZ11" si="77">BY2/L2</f>
        <v>3.923841059602649</v>
      </c>
      <c r="CA2" s="320">
        <f t="shared" ref="CA2:CA11" si="78">(BY2*1)/BW2</f>
        <v>9.0234151913192465E-2</v>
      </c>
      <c r="CB2" s="61">
        <f t="shared" ref="CB2:CB11" si="79">FJ2-FK2</f>
        <v>143</v>
      </c>
      <c r="CC2" s="62">
        <f t="shared" ref="CC2:CC11" si="80">CB2/L2</f>
        <v>3.5513245033112582</v>
      </c>
      <c r="CD2" s="320">
        <f t="shared" ref="CD2:CD11" si="81">(CB2*1)/FJ2</f>
        <v>7.4908328968046098E-2</v>
      </c>
      <c r="CE2" s="213">
        <f t="shared" ref="CE2:CE11" si="82">FS2</f>
        <v>8</v>
      </c>
      <c r="CF2" s="212">
        <f t="shared" ref="CF2:CF11" si="83">IFERROR(CE2/L2,0)</f>
        <v>0.19867549668874174</v>
      </c>
      <c r="CG2" s="212">
        <f t="shared" ref="CG2:CG11" si="84">IFERROR(VALUE(SUBSTITUTE(FR2,".",","))/FS2,0)</f>
        <v>1.7500000000000002E-2</v>
      </c>
      <c r="CH2" s="213">
        <f t="shared" ref="CH2:CH11" si="85">IFERROR(FS2+FL2,0)</f>
        <v>9</v>
      </c>
      <c r="CI2" s="62">
        <f t="shared" ref="CI2:CI11" si="86">IFERROR(CH2/L2,0)</f>
        <v>0.22350993377483444</v>
      </c>
      <c r="CJ2" s="61">
        <f t="shared" ref="CJ2:CJ11" si="87">((EU2)+(EW2)+(ER2))</f>
        <v>336</v>
      </c>
      <c r="CK2" s="62">
        <f t="shared" ref="CK2:CK11" si="88">CJ2/L2</f>
        <v>8.3443708609271532</v>
      </c>
      <c r="CL2" s="61">
        <f t="shared" ref="CL2:CL11" si="89">((ET2)+(EX2)+(ES2))</f>
        <v>220</v>
      </c>
      <c r="CM2" s="62">
        <f t="shared" ref="CM2:CM11" si="90">CL2/L2</f>
        <v>5.4635761589403975</v>
      </c>
      <c r="CN2" s="61">
        <f t="shared" ref="CN2:CN11" si="91">((EU2-ET2)+(EW2-EX2)+(ER2-ES2))</f>
        <v>116</v>
      </c>
      <c r="CO2" s="63">
        <f t="shared" ref="CO2:CO11" si="92">IFERROR(CL2/CJ2,0)</f>
        <v>0.65476190476190477</v>
      </c>
      <c r="CP2" s="61">
        <f t="shared" ref="CP2:CP11" si="93">(EY2+EZ2+FC2+FE2+(FB2*0.5))</f>
        <v>241.5</v>
      </c>
      <c r="CQ2" s="62">
        <f t="shared" ref="CQ2:CQ11" si="94">CP2/L2</f>
        <v>5.9975165562913908</v>
      </c>
      <c r="CR2" s="61">
        <f t="shared" ref="CR2:CR11" si="95">(ES2+EX2)+(FB2*0.5)</f>
        <v>40.5</v>
      </c>
      <c r="CS2" s="62">
        <f t="shared" ref="CS2:CS11" si="96">CR2/L2</f>
        <v>1.005794701986755</v>
      </c>
      <c r="CT2" s="61">
        <f t="shared" ref="CT2:CT11" si="97">IFERROR(EU2+EW2+EY2+FD2,0)</f>
        <v>291</v>
      </c>
      <c r="CU2" s="62">
        <f t="shared" ref="CU2:CU11" si="98">CT2/L2</f>
        <v>7.2268211920529799</v>
      </c>
      <c r="CV2" s="61">
        <f t="shared" ref="CV2:CV11" si="99">IFERROR(ET2+EX2+EY2+FB2,0)</f>
        <v>229</v>
      </c>
      <c r="CW2" s="62">
        <f t="shared" ref="CW2:CW11" si="100">CV2/L2</f>
        <v>5.6870860927152318</v>
      </c>
      <c r="CX2" s="63">
        <f t="shared" ref="CX2:CX11" si="101">IFERROR((CV2*1)/CT2,0)</f>
        <v>0.78694158075601373</v>
      </c>
      <c r="CY2" s="61">
        <f t="shared" ref="CY2:CY11" si="102">IFERROR((EU2-ET2)+(EW2-EX2)+EY2,0)</f>
        <v>80</v>
      </c>
      <c r="CZ2" s="62">
        <f t="shared" ref="CZ2:CZ11" si="103">IFERROR(CY2/L2,0)</f>
        <v>1.9867549668874174</v>
      </c>
      <c r="DA2" s="61">
        <f t="shared" ref="DA2:DA11" si="104">FD2</f>
        <v>12</v>
      </c>
      <c r="DB2" s="62">
        <f t="shared" ref="DB2:DB11" si="105">DA2/L2</f>
        <v>0.29801324503311261</v>
      </c>
      <c r="DC2" s="63">
        <f t="shared" ref="DC2:DC11" si="106">(CY2*1)/CT2</f>
        <v>0.27491408934707906</v>
      </c>
      <c r="DD2" s="61">
        <f t="shared" ref="DD2:DD11" si="107">EP2</f>
        <v>1</v>
      </c>
      <c r="DE2" s="61">
        <f t="shared" ref="DE2:DE11" si="108">EQ2</f>
        <v>1</v>
      </c>
      <c r="DF2" s="61">
        <f t="shared" ref="DF2:DF11" si="109">DD2+DE2</f>
        <v>2</v>
      </c>
      <c r="DG2" s="62">
        <f t="shared" ref="DG2:DG11" si="110">(DD2+DE2)/L2</f>
        <v>4.9668874172185434E-2</v>
      </c>
      <c r="DH2" s="63">
        <f t="shared" ref="DH2:DH11" si="111">IFERROR(((DD2+DE2)*1)/FD2,0)</f>
        <v>0.16666666666666666</v>
      </c>
      <c r="DI2" s="61">
        <f t="shared" ref="DI2:DI11" si="112">IFERROR((EM2*3)+(EP2*1.33)+(EQ2*2)+EU2+EW2+FC2+FE2+EY2+EZ2+FD2,0)</f>
        <v>507.33000000000004</v>
      </c>
      <c r="DJ2" s="62">
        <f t="shared" ref="DJ2:DJ11" si="113">IFERROR(DI2/L2,0)</f>
        <v>12.599254966887418</v>
      </c>
      <c r="DK2" s="61">
        <f t="shared" ref="DK2:DK11" si="114">IFERROR(ET2+EX2+FC2+FE2+EY2+EZ2+FB2*1.5+(AL2*0.5),0)</f>
        <v>485.78</v>
      </c>
      <c r="DL2" s="62">
        <f t="shared" ref="DL2:DL11" si="115">IFERROR(DK2/L2,0)</f>
        <v>12.06407284768212</v>
      </c>
      <c r="DM2" s="61">
        <f t="shared" ref="DM2:DM11" si="116">(EM2*3)+(EP2*1.25)+(EQ2*2)+FD2+CB2</f>
        <v>158.25</v>
      </c>
      <c r="DN2" s="62">
        <f t="shared" ref="DN2:DN11" si="117">IFERROR(DM2/L2,0)</f>
        <v>3.9300496688741724</v>
      </c>
      <c r="DO2" s="63">
        <f t="shared" ref="DO2:DO11" si="118">IFERROR(DK2/DI2,0)</f>
        <v>0.95752271696923097</v>
      </c>
      <c r="DP2" s="62">
        <f t="shared" ref="DP2:DP11" si="119">VALUE(SUBSTITUTE(FF2, " km", ""))</f>
        <v>392.7</v>
      </c>
      <c r="DQ2" s="62">
        <f t="shared" ref="DQ2:DQ11" si="120">IFERROR(DP2/L2,0)</f>
        <v>9.7524834437086092</v>
      </c>
      <c r="DR2" s="62">
        <f t="shared" ref="DR2:DR11" si="121">FG2</f>
        <v>5.5</v>
      </c>
      <c r="DS2" s="61">
        <f t="shared" ref="DS2:DS11" si="122">FH2</f>
        <v>2</v>
      </c>
      <c r="DT2" s="62">
        <f t="shared" ref="DT2:DT11" si="123">IFERROR(DS2/L2,0)</f>
        <v>4.9668874172185434E-2</v>
      </c>
      <c r="DU2" s="61">
        <f t="shared" ref="DU2:DU11" si="124">IFERROR((EU2-ET2)+(FJ2-FK2)+(EW2-EX2)+(FD2),0)</f>
        <v>208</v>
      </c>
      <c r="DV2" s="62">
        <f t="shared" ref="DV2:DV11" si="125">IFERROR((DU2/L2),0)</f>
        <v>5.1655629139072845</v>
      </c>
      <c r="DW2" s="61">
        <f t="shared" ref="DW2:DW11" si="126">DX2*L2</f>
        <v>414.74666666666667</v>
      </c>
      <c r="DX2" s="62">
        <f t="shared" ref="DX2:DX11" si="127">FA2</f>
        <v>10.3</v>
      </c>
      <c r="DY2" s="62">
        <f t="shared" ref="DY2:DY11" si="128">IFERROR(VALUE(SUBSTITUTE(FU2, ".", ",")),0)</f>
        <v>6.85</v>
      </c>
      <c r="DZ2" s="300"/>
      <c r="EA2" s="296" t="s">
        <v>590</v>
      </c>
      <c r="EB2" s="296" t="s">
        <v>833</v>
      </c>
      <c r="EC2" s="296">
        <v>33</v>
      </c>
      <c r="ED2" s="296" t="s">
        <v>1045</v>
      </c>
      <c r="EE2" s="296" t="s">
        <v>1013</v>
      </c>
      <c r="EF2" s="296" t="s">
        <v>13</v>
      </c>
      <c r="EG2" s="296" t="s">
        <v>644</v>
      </c>
      <c r="EH2" s="297">
        <v>46752</v>
      </c>
      <c r="EI2" s="296" t="s">
        <v>1017</v>
      </c>
      <c r="EJ2" s="296">
        <v>3624</v>
      </c>
      <c r="EK2" s="296" t="s">
        <v>699</v>
      </c>
      <c r="EL2" s="296">
        <v>2</v>
      </c>
      <c r="EM2" s="296">
        <v>0</v>
      </c>
      <c r="EN2" s="296">
        <v>0</v>
      </c>
      <c r="EO2" s="296">
        <v>1</v>
      </c>
      <c r="EP2" s="296">
        <v>1</v>
      </c>
      <c r="EQ2" s="296">
        <v>1</v>
      </c>
      <c r="ER2" s="296">
        <v>84</v>
      </c>
      <c r="ES2" s="296">
        <v>21</v>
      </c>
      <c r="ET2" s="296">
        <v>181</v>
      </c>
      <c r="EU2" s="296">
        <v>233</v>
      </c>
      <c r="EV2" s="296">
        <v>2.1</v>
      </c>
      <c r="EW2" s="296">
        <v>19</v>
      </c>
      <c r="EX2" s="296">
        <v>18</v>
      </c>
      <c r="EY2" s="296">
        <v>27</v>
      </c>
      <c r="EZ2" s="296">
        <v>24</v>
      </c>
      <c r="FA2" s="296">
        <v>10.3</v>
      </c>
      <c r="FB2" s="296">
        <v>3</v>
      </c>
      <c r="FC2" s="296">
        <v>134</v>
      </c>
      <c r="FD2" s="296">
        <v>12</v>
      </c>
      <c r="FE2" s="296">
        <v>55</v>
      </c>
      <c r="FF2" s="296" t="s">
        <v>1046</v>
      </c>
      <c r="FG2" s="296">
        <v>5.5</v>
      </c>
      <c r="FH2" s="296">
        <v>2</v>
      </c>
      <c r="FI2" s="296">
        <v>158</v>
      </c>
      <c r="FJ2" s="296">
        <v>1909</v>
      </c>
      <c r="FK2" s="296">
        <v>1766</v>
      </c>
      <c r="FL2" s="296">
        <v>1</v>
      </c>
      <c r="FM2" s="296">
        <v>20</v>
      </c>
      <c r="FN2" s="296">
        <v>6</v>
      </c>
      <c r="FO2" s="296">
        <v>0</v>
      </c>
      <c r="FP2" s="296">
        <v>0</v>
      </c>
      <c r="FQ2" s="296" t="s">
        <v>807</v>
      </c>
      <c r="FR2" s="296" t="s">
        <v>837</v>
      </c>
      <c r="FS2" s="296">
        <v>8</v>
      </c>
      <c r="FT2" s="296">
        <v>0</v>
      </c>
      <c r="FU2" s="301">
        <v>6.85</v>
      </c>
    </row>
    <row r="3" spans="1:184" ht="24.95" customHeight="1" thickBot="1" x14ac:dyDescent="0.3">
      <c r="A3" s="29" t="str">
        <f t="shared" si="0"/>
        <v>2º</v>
      </c>
      <c r="B3" s="101" t="str">
        <f t="shared" si="1"/>
        <v>Gustavo Martins</v>
      </c>
      <c r="C3" s="86" t="str">
        <f t="shared" si="2"/>
        <v>BRA</v>
      </c>
      <c r="D3" s="99" t="str">
        <f t="shared" si="3"/>
        <v>Pé Direito</v>
      </c>
      <c r="E3" s="67" t="str">
        <f t="shared" si="4"/>
        <v>Grêmio</v>
      </c>
      <c r="F3" s="168">
        <f t="shared" si="5"/>
        <v>1.91</v>
      </c>
      <c r="G3" s="171">
        <f t="shared" si="6"/>
        <v>24</v>
      </c>
      <c r="H3" s="68" t="str">
        <f t="shared" si="7"/>
        <v>6,4M € - 7,6M €</v>
      </c>
      <c r="I3" s="201">
        <f t="shared" si="8"/>
        <v>47483</v>
      </c>
      <c r="J3" s="305" t="str">
        <f t="shared" si="9"/>
        <v>16,5m € p/m</v>
      </c>
      <c r="K3" s="96">
        <f t="shared" si="10"/>
        <v>34.717777777777776</v>
      </c>
      <c r="L3" s="147">
        <f t="shared" si="11"/>
        <v>40.888888888888886</v>
      </c>
      <c r="M3" s="147">
        <f t="shared" si="12"/>
        <v>43</v>
      </c>
      <c r="N3" s="147">
        <f t="shared" si="13"/>
        <v>85.581395348837205</v>
      </c>
      <c r="O3" s="193">
        <f t="shared" si="14"/>
        <v>0.93</v>
      </c>
      <c r="P3" s="55">
        <f t="shared" si="15"/>
        <v>0</v>
      </c>
      <c r="Q3" s="55">
        <f t="shared" si="16"/>
        <v>0</v>
      </c>
      <c r="R3" s="55">
        <f t="shared" si="17"/>
        <v>0</v>
      </c>
      <c r="S3" s="57">
        <f t="shared" si="18"/>
        <v>0</v>
      </c>
      <c r="T3" s="57">
        <f t="shared" si="19"/>
        <v>0</v>
      </c>
      <c r="U3" s="56">
        <f t="shared" si="20"/>
        <v>0</v>
      </c>
      <c r="V3" s="57">
        <f t="shared" si="21"/>
        <v>5400</v>
      </c>
      <c r="W3" s="63">
        <f t="shared" si="22"/>
        <v>0</v>
      </c>
      <c r="X3" s="56">
        <f t="shared" si="23"/>
        <v>0</v>
      </c>
      <c r="Y3" s="56">
        <f t="shared" si="24"/>
        <v>0</v>
      </c>
      <c r="Z3" s="56">
        <f t="shared" si="25"/>
        <v>0</v>
      </c>
      <c r="AA3" s="60">
        <f t="shared" si="26"/>
        <v>9.9999999999999995E-8</v>
      </c>
      <c r="AB3" s="308">
        <f t="shared" si="27"/>
        <v>1</v>
      </c>
      <c r="AC3" s="309">
        <f t="shared" si="28"/>
        <v>2.4456521739130436E-2</v>
      </c>
      <c r="AD3" s="56">
        <f t="shared" si="29"/>
        <v>268</v>
      </c>
      <c r="AE3" s="57">
        <f t="shared" si="30"/>
        <v>6.554347826086957</v>
      </c>
      <c r="AF3" s="56">
        <f t="shared" si="31"/>
        <v>207</v>
      </c>
      <c r="AG3" s="57">
        <f t="shared" si="32"/>
        <v>5.0625</v>
      </c>
      <c r="AH3" s="60">
        <f t="shared" si="33"/>
        <v>0.77238805970149249</v>
      </c>
      <c r="AI3" s="56">
        <f t="shared" si="34"/>
        <v>61</v>
      </c>
      <c r="AJ3" s="57">
        <f t="shared" si="35"/>
        <v>1.4918478260869565</v>
      </c>
      <c r="AK3" s="60">
        <f t="shared" si="36"/>
        <v>0.22761194029850745</v>
      </c>
      <c r="AL3" s="213">
        <f t="shared" si="37"/>
        <v>57.244444444444433</v>
      </c>
      <c r="AM3" s="212">
        <f t="shared" si="38"/>
        <v>1.4</v>
      </c>
      <c r="AN3" s="63">
        <f t="shared" si="39"/>
        <v>0.11194029850746269</v>
      </c>
      <c r="AO3" s="213">
        <f t="shared" si="40"/>
        <v>30</v>
      </c>
      <c r="AP3" s="212">
        <f t="shared" si="41"/>
        <v>0.73369565217391308</v>
      </c>
      <c r="AQ3" s="213">
        <f t="shared" si="42"/>
        <v>7</v>
      </c>
      <c r="AR3" s="212">
        <f t="shared" si="43"/>
        <v>0.17119565217391305</v>
      </c>
      <c r="AS3" s="63">
        <f t="shared" si="44"/>
        <v>0.23333333333333334</v>
      </c>
      <c r="AT3" s="307">
        <f t="shared" si="45"/>
        <v>9.0666666666666673E-2</v>
      </c>
      <c r="AU3" s="306">
        <f t="shared" si="46"/>
        <v>2.72</v>
      </c>
      <c r="AV3" s="310">
        <f t="shared" si="47"/>
        <v>-2.72</v>
      </c>
      <c r="AW3" s="56">
        <f t="shared" si="48"/>
        <v>217</v>
      </c>
      <c r="AX3" s="57">
        <f t="shared" si="49"/>
        <v>5.3070652173913047</v>
      </c>
      <c r="AY3" s="56">
        <f t="shared" si="50"/>
        <v>36</v>
      </c>
      <c r="AZ3" s="57">
        <f t="shared" si="51"/>
        <v>0.88043478260869568</v>
      </c>
      <c r="BA3" s="57">
        <f t="shared" si="52"/>
        <v>5.5027173913043486</v>
      </c>
      <c r="BB3" s="225">
        <f t="shared" si="53"/>
        <v>40</v>
      </c>
      <c r="BC3" s="223">
        <f t="shared" si="54"/>
        <v>0.97826086956521752</v>
      </c>
      <c r="BD3" s="56">
        <f t="shared" si="55"/>
        <v>55</v>
      </c>
      <c r="BE3" s="57">
        <f t="shared" si="56"/>
        <v>1.3451086956521741</v>
      </c>
      <c r="BF3" s="58">
        <f t="shared" si="57"/>
        <v>31</v>
      </c>
      <c r="BG3" s="57">
        <f t="shared" si="58"/>
        <v>0.75815217391304357</v>
      </c>
      <c r="BH3" s="75">
        <f t="shared" si="59"/>
        <v>6</v>
      </c>
      <c r="BI3" s="57">
        <f t="shared" si="60"/>
        <v>0.14673913043478262</v>
      </c>
      <c r="BJ3" s="114">
        <f t="shared" si="61"/>
        <v>0.5636363636363636</v>
      </c>
      <c r="BK3" s="56">
        <f t="shared" si="62"/>
        <v>8</v>
      </c>
      <c r="BL3" s="57">
        <f t="shared" si="63"/>
        <v>0.19565217391304349</v>
      </c>
      <c r="BM3" s="61">
        <f t="shared" si="64"/>
        <v>83</v>
      </c>
      <c r="BN3" s="62">
        <f t="shared" si="65"/>
        <v>2.0298913043478262</v>
      </c>
      <c r="BO3" s="61">
        <f t="shared" si="66"/>
        <v>26</v>
      </c>
      <c r="BP3" s="62">
        <f t="shared" si="67"/>
        <v>0.63586956521739135</v>
      </c>
      <c r="BQ3" s="63">
        <f t="shared" si="68"/>
        <v>0.31325301204819278</v>
      </c>
      <c r="BR3" s="61">
        <f t="shared" si="69"/>
        <v>2138</v>
      </c>
      <c r="BS3" s="62">
        <f t="shared" si="70"/>
        <v>52.288043478260875</v>
      </c>
      <c r="BT3" s="61">
        <f t="shared" si="71"/>
        <v>1996</v>
      </c>
      <c r="BU3" s="62">
        <f t="shared" si="72"/>
        <v>48.815217391304351</v>
      </c>
      <c r="BV3" s="63">
        <f t="shared" si="73"/>
        <v>0.93358278765201119</v>
      </c>
      <c r="BW3" s="56">
        <f t="shared" si="74"/>
        <v>1972</v>
      </c>
      <c r="BX3" s="62">
        <f t="shared" si="75"/>
        <v>48.815217391304351</v>
      </c>
      <c r="BY3" s="61">
        <f t="shared" si="76"/>
        <v>166</v>
      </c>
      <c r="BZ3" s="62">
        <f t="shared" si="77"/>
        <v>4.0597826086956523</v>
      </c>
      <c r="CA3" s="320">
        <f t="shared" si="78"/>
        <v>8.4178498985801223E-2</v>
      </c>
      <c r="CB3" s="61">
        <f t="shared" si="79"/>
        <v>142</v>
      </c>
      <c r="CC3" s="62">
        <f t="shared" si="80"/>
        <v>3.472826086956522</v>
      </c>
      <c r="CD3" s="320">
        <f t="shared" si="81"/>
        <v>6.641721234798878E-2</v>
      </c>
      <c r="CE3" s="213">
        <f t="shared" si="82"/>
        <v>12</v>
      </c>
      <c r="CF3" s="212">
        <f t="shared" si="83"/>
        <v>0.29347826086956524</v>
      </c>
      <c r="CG3" s="212">
        <f t="shared" si="84"/>
        <v>0.15916666666666665</v>
      </c>
      <c r="CH3" s="213">
        <f t="shared" si="85"/>
        <v>14</v>
      </c>
      <c r="CI3" s="62">
        <f t="shared" si="86"/>
        <v>0.34239130434782611</v>
      </c>
      <c r="CJ3" s="61">
        <f t="shared" si="87"/>
        <v>388</v>
      </c>
      <c r="CK3" s="62">
        <f t="shared" si="88"/>
        <v>9.4891304347826093</v>
      </c>
      <c r="CL3" s="61">
        <f t="shared" si="89"/>
        <v>264</v>
      </c>
      <c r="CM3" s="62">
        <f t="shared" si="90"/>
        <v>6.4565217391304355</v>
      </c>
      <c r="CN3" s="61">
        <f t="shared" si="91"/>
        <v>124</v>
      </c>
      <c r="CO3" s="63">
        <f t="shared" si="92"/>
        <v>0.68041237113402064</v>
      </c>
      <c r="CP3" s="61">
        <f t="shared" si="93"/>
        <v>261</v>
      </c>
      <c r="CQ3" s="62">
        <f t="shared" si="94"/>
        <v>6.3831521739130439</v>
      </c>
      <c r="CR3" s="61">
        <f t="shared" si="95"/>
        <v>61</v>
      </c>
      <c r="CS3" s="62">
        <f t="shared" si="96"/>
        <v>1.4918478260869565</v>
      </c>
      <c r="CT3" s="61">
        <f t="shared" si="97"/>
        <v>360</v>
      </c>
      <c r="CU3" s="62">
        <f t="shared" si="98"/>
        <v>8.804347826086957</v>
      </c>
      <c r="CV3" s="61">
        <f t="shared" si="99"/>
        <v>283</v>
      </c>
      <c r="CW3" s="62">
        <f t="shared" si="100"/>
        <v>6.921195652173914</v>
      </c>
      <c r="CX3" s="63">
        <f t="shared" si="101"/>
        <v>0.78611111111111109</v>
      </c>
      <c r="CY3" s="61">
        <f t="shared" si="102"/>
        <v>104</v>
      </c>
      <c r="CZ3" s="62">
        <f t="shared" si="103"/>
        <v>2.5434782608695654</v>
      </c>
      <c r="DA3" s="61">
        <f t="shared" si="104"/>
        <v>18</v>
      </c>
      <c r="DB3" s="62">
        <f t="shared" si="105"/>
        <v>0.44021739130434784</v>
      </c>
      <c r="DC3" s="63">
        <f t="shared" si="106"/>
        <v>0.28888888888888886</v>
      </c>
      <c r="DD3" s="61">
        <f t="shared" si="107"/>
        <v>5</v>
      </c>
      <c r="DE3" s="61">
        <f t="shared" si="108"/>
        <v>0</v>
      </c>
      <c r="DF3" s="61">
        <f t="shared" si="109"/>
        <v>5</v>
      </c>
      <c r="DG3" s="62">
        <f t="shared" si="110"/>
        <v>0.12228260869565219</v>
      </c>
      <c r="DH3" s="63">
        <f t="shared" si="111"/>
        <v>0.27777777777777779</v>
      </c>
      <c r="DI3" s="61">
        <f t="shared" si="112"/>
        <v>589.65</v>
      </c>
      <c r="DJ3" s="62">
        <f t="shared" si="113"/>
        <v>14.420788043478261</v>
      </c>
      <c r="DK3" s="61">
        <f t="shared" si="114"/>
        <v>535.62222222222226</v>
      </c>
      <c r="DL3" s="62">
        <f t="shared" si="115"/>
        <v>13.099456521739132</v>
      </c>
      <c r="DM3" s="61">
        <f t="shared" si="116"/>
        <v>169.25</v>
      </c>
      <c r="DN3" s="62">
        <f t="shared" si="117"/>
        <v>4.1392663043478262</v>
      </c>
      <c r="DO3" s="63">
        <f t="shared" si="118"/>
        <v>0.90837314037517558</v>
      </c>
      <c r="DP3" s="62">
        <f t="shared" si="119"/>
        <v>406.7</v>
      </c>
      <c r="DQ3" s="62">
        <f t="shared" si="120"/>
        <v>9.9464673913043491</v>
      </c>
      <c r="DR3" s="62">
        <f t="shared" si="121"/>
        <v>5.6</v>
      </c>
      <c r="DS3" s="61">
        <f t="shared" si="122"/>
        <v>1</v>
      </c>
      <c r="DT3" s="62">
        <f t="shared" si="123"/>
        <v>2.4456521739130436E-2</v>
      </c>
      <c r="DU3" s="61">
        <f t="shared" si="124"/>
        <v>227</v>
      </c>
      <c r="DV3" s="62">
        <f t="shared" si="125"/>
        <v>5.5516304347826093</v>
      </c>
      <c r="DW3" s="61">
        <f t="shared" si="126"/>
        <v>457.95555555555546</v>
      </c>
      <c r="DX3" s="62">
        <f t="shared" si="127"/>
        <v>11.2</v>
      </c>
      <c r="DY3" s="62">
        <f t="shared" si="128"/>
        <v>6.93</v>
      </c>
      <c r="DZ3" s="302"/>
      <c r="EA3" s="298" t="s">
        <v>690</v>
      </c>
      <c r="EB3" s="298" t="s">
        <v>595</v>
      </c>
      <c r="EC3" s="298">
        <v>24</v>
      </c>
      <c r="ED3" s="298" t="s">
        <v>691</v>
      </c>
      <c r="EE3" s="298" t="s">
        <v>692</v>
      </c>
      <c r="EF3" s="298" t="s">
        <v>13</v>
      </c>
      <c r="EG3" s="298" t="s">
        <v>644</v>
      </c>
      <c r="EH3" s="299">
        <v>47483</v>
      </c>
      <c r="EI3" s="298" t="s">
        <v>554</v>
      </c>
      <c r="EJ3" s="298">
        <v>3680</v>
      </c>
      <c r="EK3" s="298" t="s">
        <v>973</v>
      </c>
      <c r="EL3" s="298">
        <v>0</v>
      </c>
      <c r="EM3" s="298">
        <v>1</v>
      </c>
      <c r="EN3" s="298">
        <v>0</v>
      </c>
      <c r="EO3" s="298">
        <v>0</v>
      </c>
      <c r="EP3" s="298">
        <v>5</v>
      </c>
      <c r="EQ3" s="298">
        <v>0</v>
      </c>
      <c r="ER3" s="298">
        <v>83</v>
      </c>
      <c r="ES3" s="298">
        <v>26</v>
      </c>
      <c r="ET3" s="298">
        <v>207</v>
      </c>
      <c r="EU3" s="298">
        <v>268</v>
      </c>
      <c r="EV3" s="298">
        <v>1.4</v>
      </c>
      <c r="EW3" s="298">
        <v>37</v>
      </c>
      <c r="EX3" s="298">
        <v>31</v>
      </c>
      <c r="EY3" s="298">
        <v>37</v>
      </c>
      <c r="EZ3" s="298">
        <v>36</v>
      </c>
      <c r="FA3" s="298">
        <v>11.2</v>
      </c>
      <c r="FB3" s="298">
        <v>8</v>
      </c>
      <c r="FC3" s="298">
        <v>144</v>
      </c>
      <c r="FD3" s="298">
        <v>18</v>
      </c>
      <c r="FE3" s="298">
        <v>40</v>
      </c>
      <c r="FF3" s="298" t="s">
        <v>1041</v>
      </c>
      <c r="FG3" s="298">
        <v>5.6</v>
      </c>
      <c r="FH3" s="298">
        <v>1</v>
      </c>
      <c r="FI3" s="298">
        <v>166</v>
      </c>
      <c r="FJ3" s="298">
        <v>2138</v>
      </c>
      <c r="FK3" s="298">
        <v>1996</v>
      </c>
      <c r="FL3" s="298">
        <v>2</v>
      </c>
      <c r="FM3" s="298">
        <v>30</v>
      </c>
      <c r="FN3" s="298">
        <v>7</v>
      </c>
      <c r="FO3" s="298">
        <v>0</v>
      </c>
      <c r="FP3" s="298">
        <v>0</v>
      </c>
      <c r="FQ3" s="298" t="s">
        <v>961</v>
      </c>
      <c r="FR3" s="298" t="s">
        <v>939</v>
      </c>
      <c r="FS3" s="298">
        <v>12</v>
      </c>
      <c r="FT3" s="298">
        <v>0</v>
      </c>
      <c r="FU3" s="303">
        <v>6.93</v>
      </c>
    </row>
    <row r="4" spans="1:184" ht="24.95" customHeight="1" thickBot="1" x14ac:dyDescent="0.3">
      <c r="A4" s="29" t="str">
        <f t="shared" si="0"/>
        <v>3º</v>
      </c>
      <c r="B4" s="101" t="str">
        <f t="shared" si="1"/>
        <v>Guzmán Rodríguez</v>
      </c>
      <c r="C4" s="86" t="str">
        <f t="shared" si="2"/>
        <v>URU</v>
      </c>
      <c r="D4" s="99" t="str">
        <f t="shared" si="3"/>
        <v>Pé Direito</v>
      </c>
      <c r="E4" s="67" t="str">
        <f t="shared" si="4"/>
        <v>Bragantino</v>
      </c>
      <c r="F4" s="168">
        <f t="shared" si="5"/>
        <v>1.85</v>
      </c>
      <c r="G4" s="171">
        <f t="shared" si="6"/>
        <v>26</v>
      </c>
      <c r="H4" s="68" t="str">
        <f t="shared" si="7"/>
        <v>2M € - 4,1M €</v>
      </c>
      <c r="I4" s="201">
        <f t="shared" si="8"/>
        <v>46726</v>
      </c>
      <c r="J4" s="305" t="str">
        <f t="shared" si="9"/>
        <v>4,7m € p/m</v>
      </c>
      <c r="K4" s="96">
        <f t="shared" si="10"/>
        <v>34.717777777777776</v>
      </c>
      <c r="L4" s="147">
        <f t="shared" si="11"/>
        <v>22.088888888888889</v>
      </c>
      <c r="M4" s="147">
        <f t="shared" si="12"/>
        <v>24</v>
      </c>
      <c r="N4" s="147">
        <f t="shared" si="13"/>
        <v>82.833333333333329</v>
      </c>
      <c r="O4" s="193">
        <f t="shared" si="14"/>
        <v>0.92</v>
      </c>
      <c r="P4" s="55">
        <f t="shared" si="15"/>
        <v>2</v>
      </c>
      <c r="Q4" s="55">
        <f t="shared" si="16"/>
        <v>0</v>
      </c>
      <c r="R4" s="55">
        <f t="shared" si="17"/>
        <v>2</v>
      </c>
      <c r="S4" s="57">
        <f t="shared" si="18"/>
        <v>9.0543259557344061E-2</v>
      </c>
      <c r="T4" s="57">
        <f t="shared" si="19"/>
        <v>9.0543259557344061E-2</v>
      </c>
      <c r="U4" s="56">
        <f t="shared" si="20"/>
        <v>3</v>
      </c>
      <c r="V4" s="57">
        <f t="shared" si="21"/>
        <v>662.66666666666663</v>
      </c>
      <c r="W4" s="63">
        <f t="shared" si="22"/>
        <v>0.1358148893360161</v>
      </c>
      <c r="X4" s="56">
        <f t="shared" si="23"/>
        <v>0</v>
      </c>
      <c r="Y4" s="56">
        <f t="shared" si="24"/>
        <v>0</v>
      </c>
      <c r="Z4" s="56">
        <f t="shared" si="25"/>
        <v>0</v>
      </c>
      <c r="AA4" s="60">
        <f t="shared" si="26"/>
        <v>9.9999999999999995E-8</v>
      </c>
      <c r="AB4" s="308">
        <f t="shared" si="27"/>
        <v>0</v>
      </c>
      <c r="AC4" s="309">
        <f t="shared" si="28"/>
        <v>0</v>
      </c>
      <c r="AD4" s="56">
        <f t="shared" si="29"/>
        <v>116</v>
      </c>
      <c r="AE4" s="57">
        <f t="shared" si="30"/>
        <v>5.2515090543259557</v>
      </c>
      <c r="AF4" s="56">
        <f t="shared" si="31"/>
        <v>89</v>
      </c>
      <c r="AG4" s="57">
        <f t="shared" si="32"/>
        <v>4.0291750503018111</v>
      </c>
      <c r="AH4" s="60">
        <f t="shared" si="33"/>
        <v>0.76724137931034486</v>
      </c>
      <c r="AI4" s="56">
        <f t="shared" si="34"/>
        <v>27</v>
      </c>
      <c r="AJ4" s="57">
        <f t="shared" si="35"/>
        <v>1.2223340040241448</v>
      </c>
      <c r="AK4" s="60">
        <f t="shared" si="36"/>
        <v>0.23275862068965517</v>
      </c>
      <c r="AL4" s="213">
        <f t="shared" si="37"/>
        <v>22.088888888888889</v>
      </c>
      <c r="AM4" s="212">
        <f t="shared" si="38"/>
        <v>1</v>
      </c>
      <c r="AN4" s="63">
        <f t="shared" si="39"/>
        <v>7.7586206896551727E-2</v>
      </c>
      <c r="AO4" s="213">
        <f t="shared" si="40"/>
        <v>9</v>
      </c>
      <c r="AP4" s="212">
        <f t="shared" si="41"/>
        <v>0.40744466800804829</v>
      </c>
      <c r="AQ4" s="213">
        <f t="shared" si="42"/>
        <v>6</v>
      </c>
      <c r="AR4" s="212">
        <f t="shared" si="43"/>
        <v>0.2716297786720322</v>
      </c>
      <c r="AS4" s="63">
        <f t="shared" si="44"/>
        <v>0.66666666666666663</v>
      </c>
      <c r="AT4" s="307">
        <f t="shared" si="45"/>
        <v>5.5555555555555552E-2</v>
      </c>
      <c r="AU4" s="306">
        <f t="shared" si="46"/>
        <v>0.5</v>
      </c>
      <c r="AV4" s="310">
        <f t="shared" si="47"/>
        <v>1.5</v>
      </c>
      <c r="AW4" s="56">
        <f t="shared" si="48"/>
        <v>110</v>
      </c>
      <c r="AX4" s="57">
        <f t="shared" si="49"/>
        <v>4.9798792756539232</v>
      </c>
      <c r="AY4" s="56">
        <f t="shared" si="50"/>
        <v>23</v>
      </c>
      <c r="AZ4" s="57">
        <f t="shared" si="51"/>
        <v>1.0412474849094568</v>
      </c>
      <c r="BA4" s="57">
        <f t="shared" si="52"/>
        <v>5.070422535211268</v>
      </c>
      <c r="BB4" s="225">
        <f t="shared" si="53"/>
        <v>22</v>
      </c>
      <c r="BC4" s="223">
        <f t="shared" si="54"/>
        <v>0.99597585513078468</v>
      </c>
      <c r="BD4" s="56">
        <f t="shared" si="55"/>
        <v>23</v>
      </c>
      <c r="BE4" s="57">
        <f t="shared" si="56"/>
        <v>1.0412474849094568</v>
      </c>
      <c r="BF4" s="58">
        <f t="shared" si="57"/>
        <v>11</v>
      </c>
      <c r="BG4" s="57">
        <f t="shared" si="58"/>
        <v>0.49798792756539234</v>
      </c>
      <c r="BH4" s="75">
        <f t="shared" si="59"/>
        <v>0</v>
      </c>
      <c r="BI4" s="57">
        <f t="shared" si="60"/>
        <v>0</v>
      </c>
      <c r="BJ4" s="114">
        <f t="shared" si="61"/>
        <v>0.47826086956521741</v>
      </c>
      <c r="BK4" s="56">
        <f t="shared" si="62"/>
        <v>2</v>
      </c>
      <c r="BL4" s="57">
        <f t="shared" si="63"/>
        <v>9.0543259557344061E-2</v>
      </c>
      <c r="BM4" s="61">
        <f t="shared" si="64"/>
        <v>52</v>
      </c>
      <c r="BN4" s="62">
        <f t="shared" si="65"/>
        <v>2.3541247484909458</v>
      </c>
      <c r="BO4" s="61">
        <f t="shared" si="66"/>
        <v>13</v>
      </c>
      <c r="BP4" s="62">
        <f t="shared" si="67"/>
        <v>0.58853118712273644</v>
      </c>
      <c r="BQ4" s="63">
        <f t="shared" si="68"/>
        <v>0.25</v>
      </c>
      <c r="BR4" s="61">
        <f t="shared" si="69"/>
        <v>1218</v>
      </c>
      <c r="BS4" s="62">
        <f t="shared" si="70"/>
        <v>55.140845070422536</v>
      </c>
      <c r="BT4" s="61">
        <f t="shared" si="71"/>
        <v>1144</v>
      </c>
      <c r="BU4" s="62">
        <f t="shared" si="72"/>
        <v>51.790744466800803</v>
      </c>
      <c r="BV4" s="63">
        <f t="shared" si="73"/>
        <v>0.93924466338259438</v>
      </c>
      <c r="BW4" s="56">
        <f t="shared" si="74"/>
        <v>1119</v>
      </c>
      <c r="BX4" s="62">
        <f t="shared" si="75"/>
        <v>51.790744466800803</v>
      </c>
      <c r="BY4" s="61">
        <f t="shared" si="76"/>
        <v>99</v>
      </c>
      <c r="BZ4" s="62">
        <f t="shared" si="77"/>
        <v>4.4818913480885314</v>
      </c>
      <c r="CA4" s="320">
        <f t="shared" si="78"/>
        <v>8.8471849865951746E-2</v>
      </c>
      <c r="CB4" s="61">
        <f t="shared" si="79"/>
        <v>74</v>
      </c>
      <c r="CC4" s="62">
        <f t="shared" si="80"/>
        <v>3.3501006036217302</v>
      </c>
      <c r="CD4" s="320">
        <f t="shared" si="81"/>
        <v>6.0755336617405585E-2</v>
      </c>
      <c r="CE4" s="213">
        <f t="shared" si="82"/>
        <v>6</v>
      </c>
      <c r="CF4" s="212">
        <f t="shared" si="83"/>
        <v>0.2716297786720322</v>
      </c>
      <c r="CG4" s="212">
        <f t="shared" si="84"/>
        <v>4.1666666666666664E-2</v>
      </c>
      <c r="CH4" s="213">
        <f t="shared" si="85"/>
        <v>6</v>
      </c>
      <c r="CI4" s="62">
        <f t="shared" si="86"/>
        <v>0.2716297786720322</v>
      </c>
      <c r="CJ4" s="61">
        <f t="shared" si="87"/>
        <v>179</v>
      </c>
      <c r="CK4" s="62">
        <f t="shared" si="88"/>
        <v>8.1036217303822937</v>
      </c>
      <c r="CL4" s="61">
        <f t="shared" si="89"/>
        <v>113</v>
      </c>
      <c r="CM4" s="62">
        <f t="shared" si="90"/>
        <v>5.1156941649899395</v>
      </c>
      <c r="CN4" s="61">
        <f t="shared" si="91"/>
        <v>66</v>
      </c>
      <c r="CO4" s="63">
        <f t="shared" si="92"/>
        <v>0.63128491620111726</v>
      </c>
      <c r="CP4" s="61">
        <f t="shared" si="93"/>
        <v>133</v>
      </c>
      <c r="CQ4" s="62">
        <f t="shared" si="94"/>
        <v>6.02112676056338</v>
      </c>
      <c r="CR4" s="61">
        <f t="shared" si="95"/>
        <v>25</v>
      </c>
      <c r="CS4" s="62">
        <f t="shared" si="96"/>
        <v>1.1317907444668007</v>
      </c>
      <c r="CT4" s="61">
        <f t="shared" si="97"/>
        <v>159</v>
      </c>
      <c r="CU4" s="62">
        <f t="shared" si="98"/>
        <v>7.1981891348088531</v>
      </c>
      <c r="CV4" s="61">
        <f t="shared" si="99"/>
        <v>122</v>
      </c>
      <c r="CW4" s="62">
        <f t="shared" si="100"/>
        <v>5.5231388329979882</v>
      </c>
      <c r="CX4" s="63">
        <f t="shared" si="101"/>
        <v>0.76729559748427678</v>
      </c>
      <c r="CY4" s="61">
        <f t="shared" si="102"/>
        <v>47</v>
      </c>
      <c r="CZ4" s="62">
        <f t="shared" si="103"/>
        <v>2.1277665995975856</v>
      </c>
      <c r="DA4" s="61">
        <f t="shared" si="104"/>
        <v>12</v>
      </c>
      <c r="DB4" s="62">
        <f t="shared" si="105"/>
        <v>0.54325955734406439</v>
      </c>
      <c r="DC4" s="63">
        <f t="shared" si="106"/>
        <v>0.29559748427672955</v>
      </c>
      <c r="DD4" s="61">
        <f t="shared" si="107"/>
        <v>2</v>
      </c>
      <c r="DE4" s="61">
        <f t="shared" si="108"/>
        <v>0</v>
      </c>
      <c r="DF4" s="61">
        <f t="shared" si="109"/>
        <v>2</v>
      </c>
      <c r="DG4" s="62">
        <f t="shared" si="110"/>
        <v>9.0543259557344061E-2</v>
      </c>
      <c r="DH4" s="63">
        <f t="shared" si="111"/>
        <v>0.16666666666666666</v>
      </c>
      <c r="DI4" s="61">
        <f t="shared" si="112"/>
        <v>273.65999999999997</v>
      </c>
      <c r="DJ4" s="62">
        <f t="shared" si="113"/>
        <v>12.389034205231386</v>
      </c>
      <c r="DK4" s="61">
        <f t="shared" si="114"/>
        <v>246.04444444444445</v>
      </c>
      <c r="DL4" s="62">
        <f t="shared" si="115"/>
        <v>11.138832997987928</v>
      </c>
      <c r="DM4" s="61">
        <f t="shared" si="116"/>
        <v>88.5</v>
      </c>
      <c r="DN4" s="62">
        <f t="shared" si="117"/>
        <v>4.0065392354124745</v>
      </c>
      <c r="DO4" s="63">
        <f t="shared" si="118"/>
        <v>0.89908808172346888</v>
      </c>
      <c r="DP4" s="62">
        <f t="shared" si="119"/>
        <v>220.3</v>
      </c>
      <c r="DQ4" s="62">
        <f t="shared" si="120"/>
        <v>9.9733400402414496</v>
      </c>
      <c r="DR4" s="62">
        <f t="shared" si="121"/>
        <v>5.3</v>
      </c>
      <c r="DS4" s="61">
        <f t="shared" si="122"/>
        <v>2</v>
      </c>
      <c r="DT4" s="62">
        <f t="shared" si="123"/>
        <v>9.0543259557344061E-2</v>
      </c>
      <c r="DU4" s="61">
        <f t="shared" si="124"/>
        <v>113</v>
      </c>
      <c r="DV4" s="62">
        <f t="shared" si="125"/>
        <v>5.1156941649899395</v>
      </c>
      <c r="DW4" s="61">
        <f t="shared" si="126"/>
        <v>212.05333333333331</v>
      </c>
      <c r="DX4" s="62">
        <f t="shared" si="127"/>
        <v>9.6</v>
      </c>
      <c r="DY4" s="62">
        <f t="shared" si="128"/>
        <v>7</v>
      </c>
      <c r="DZ4" s="302" t="s">
        <v>654</v>
      </c>
      <c r="EA4" s="298" t="s">
        <v>1000</v>
      </c>
      <c r="EB4" s="298" t="s">
        <v>587</v>
      </c>
      <c r="EC4" s="298">
        <v>26</v>
      </c>
      <c r="ED4" s="298" t="s">
        <v>1038</v>
      </c>
      <c r="EE4" s="298" t="s">
        <v>666</v>
      </c>
      <c r="EF4" s="298" t="s">
        <v>594</v>
      </c>
      <c r="EG4" s="298" t="s">
        <v>644</v>
      </c>
      <c r="EH4" s="299">
        <v>46726</v>
      </c>
      <c r="EI4" s="298" t="s">
        <v>555</v>
      </c>
      <c r="EJ4" s="298">
        <v>1988</v>
      </c>
      <c r="EK4" s="298" t="s">
        <v>1039</v>
      </c>
      <c r="EL4" s="298">
        <v>3</v>
      </c>
      <c r="EM4" s="298">
        <v>0</v>
      </c>
      <c r="EN4" s="298">
        <v>2</v>
      </c>
      <c r="EO4" s="298">
        <v>0</v>
      </c>
      <c r="EP4" s="298">
        <v>2</v>
      </c>
      <c r="EQ4" s="298">
        <v>0</v>
      </c>
      <c r="ER4" s="298">
        <v>52</v>
      </c>
      <c r="ES4" s="298">
        <v>13</v>
      </c>
      <c r="ET4" s="298">
        <v>89</v>
      </c>
      <c r="EU4" s="298">
        <v>116</v>
      </c>
      <c r="EV4" s="298">
        <v>1</v>
      </c>
      <c r="EW4" s="298">
        <v>11</v>
      </c>
      <c r="EX4" s="298">
        <v>11</v>
      </c>
      <c r="EY4" s="298">
        <v>20</v>
      </c>
      <c r="EZ4" s="298">
        <v>23</v>
      </c>
      <c r="FA4" s="298">
        <v>9.6</v>
      </c>
      <c r="FB4" s="298">
        <v>2</v>
      </c>
      <c r="FC4" s="298">
        <v>67</v>
      </c>
      <c r="FD4" s="298">
        <v>12</v>
      </c>
      <c r="FE4" s="298">
        <v>22</v>
      </c>
      <c r="FF4" s="298" t="s">
        <v>1040</v>
      </c>
      <c r="FG4" s="298">
        <v>5.3</v>
      </c>
      <c r="FH4" s="298">
        <v>2</v>
      </c>
      <c r="FI4" s="298">
        <v>99</v>
      </c>
      <c r="FJ4" s="298">
        <v>1218</v>
      </c>
      <c r="FK4" s="298">
        <v>1144</v>
      </c>
      <c r="FL4" s="298">
        <v>0</v>
      </c>
      <c r="FM4" s="298">
        <v>9</v>
      </c>
      <c r="FN4" s="298">
        <v>6</v>
      </c>
      <c r="FO4" s="298">
        <v>0</v>
      </c>
      <c r="FP4" s="298">
        <v>0</v>
      </c>
      <c r="FQ4" s="298" t="s">
        <v>1008</v>
      </c>
      <c r="FR4" s="298" t="s">
        <v>954</v>
      </c>
      <c r="FS4" s="298">
        <v>6</v>
      </c>
      <c r="FT4" s="298">
        <v>2</v>
      </c>
      <c r="FU4" s="303">
        <v>7</v>
      </c>
    </row>
    <row r="5" spans="1:184" ht="24.95" customHeight="1" thickBot="1" x14ac:dyDescent="0.3">
      <c r="A5" s="29" t="str">
        <f t="shared" si="0"/>
        <v>4º</v>
      </c>
      <c r="B5" s="101" t="str">
        <f t="shared" si="1"/>
        <v>Ignacio</v>
      </c>
      <c r="C5" s="86" t="str">
        <f t="shared" si="2"/>
        <v>BRA</v>
      </c>
      <c r="D5" s="99" t="str">
        <f t="shared" si="3"/>
        <v>Pé Direito</v>
      </c>
      <c r="E5" s="67" t="str">
        <f t="shared" si="4"/>
        <v>Fluminense</v>
      </c>
      <c r="F5" s="168">
        <f t="shared" si="5"/>
        <v>1.9</v>
      </c>
      <c r="G5" s="171">
        <f t="shared" si="6"/>
        <v>29</v>
      </c>
      <c r="H5" s="68" t="str">
        <f t="shared" si="7"/>
        <v>210m € - 2,1M €</v>
      </c>
      <c r="I5" s="201">
        <f t="shared" si="8"/>
        <v>46934</v>
      </c>
      <c r="J5" s="305" t="str">
        <f t="shared" si="9"/>
        <v>6,5m € p/m</v>
      </c>
      <c r="K5" s="96">
        <f t="shared" si="10"/>
        <v>34.717777777777776</v>
      </c>
      <c r="L5" s="147">
        <f t="shared" si="11"/>
        <v>40.733333333333334</v>
      </c>
      <c r="M5" s="147">
        <f t="shared" si="12"/>
        <v>13</v>
      </c>
      <c r="N5" s="147">
        <f t="shared" si="13"/>
        <v>282</v>
      </c>
      <c r="O5" s="193">
        <f t="shared" si="14"/>
        <v>0.92</v>
      </c>
      <c r="P5" s="55">
        <f t="shared" si="15"/>
        <v>1</v>
      </c>
      <c r="Q5" s="55">
        <f t="shared" si="16"/>
        <v>1</v>
      </c>
      <c r="R5" s="55">
        <f t="shared" si="17"/>
        <v>2</v>
      </c>
      <c r="S5" s="57">
        <f t="shared" si="18"/>
        <v>2.4549918166939442E-2</v>
      </c>
      <c r="T5" s="57">
        <f t="shared" si="19"/>
        <v>4.9099836333878884E-2</v>
      </c>
      <c r="U5" s="56">
        <f t="shared" si="20"/>
        <v>0</v>
      </c>
      <c r="V5" s="57">
        <f t="shared" si="21"/>
        <v>5400</v>
      </c>
      <c r="W5" s="63">
        <f t="shared" si="22"/>
        <v>0</v>
      </c>
      <c r="X5" s="56">
        <f t="shared" si="23"/>
        <v>0</v>
      </c>
      <c r="Y5" s="56">
        <f t="shared" si="24"/>
        <v>0</v>
      </c>
      <c r="Z5" s="56">
        <f t="shared" si="25"/>
        <v>0</v>
      </c>
      <c r="AA5" s="60">
        <f t="shared" si="26"/>
        <v>9.9999999999999995E-8</v>
      </c>
      <c r="AB5" s="308">
        <f t="shared" si="27"/>
        <v>2</v>
      </c>
      <c r="AC5" s="309">
        <f t="shared" si="28"/>
        <v>4.9099836333878884E-2</v>
      </c>
      <c r="AD5" s="56">
        <f t="shared" si="29"/>
        <v>272</v>
      </c>
      <c r="AE5" s="57">
        <f t="shared" si="30"/>
        <v>6.6775777414075286</v>
      </c>
      <c r="AF5" s="56">
        <f t="shared" si="31"/>
        <v>204</v>
      </c>
      <c r="AG5" s="57">
        <f t="shared" si="32"/>
        <v>5.0081833060556464</v>
      </c>
      <c r="AH5" s="60">
        <f t="shared" si="33"/>
        <v>0.75</v>
      </c>
      <c r="AI5" s="56">
        <f t="shared" si="34"/>
        <v>68</v>
      </c>
      <c r="AJ5" s="57">
        <f t="shared" si="35"/>
        <v>1.6693944353518821</v>
      </c>
      <c r="AK5" s="60">
        <f t="shared" si="36"/>
        <v>0.25</v>
      </c>
      <c r="AL5" s="213">
        <f t="shared" si="37"/>
        <v>65.173333333333332</v>
      </c>
      <c r="AM5" s="212">
        <f t="shared" si="38"/>
        <v>1.6</v>
      </c>
      <c r="AN5" s="63">
        <f t="shared" si="39"/>
        <v>9.1911764705882359E-2</v>
      </c>
      <c r="AO5" s="213">
        <f t="shared" si="40"/>
        <v>25</v>
      </c>
      <c r="AP5" s="212">
        <f t="shared" si="41"/>
        <v>0.61374795417348604</v>
      </c>
      <c r="AQ5" s="213">
        <f t="shared" si="42"/>
        <v>10</v>
      </c>
      <c r="AR5" s="212">
        <f t="shared" si="43"/>
        <v>0.24549918166939444</v>
      </c>
      <c r="AS5" s="63">
        <f t="shared" si="44"/>
        <v>0.4</v>
      </c>
      <c r="AT5" s="307">
        <f t="shared" si="45"/>
        <v>0.1036</v>
      </c>
      <c r="AU5" s="306">
        <f t="shared" si="46"/>
        <v>2.59</v>
      </c>
      <c r="AV5" s="310">
        <f t="shared" si="47"/>
        <v>-1.5899999999999999</v>
      </c>
      <c r="AW5" s="56">
        <f t="shared" si="48"/>
        <v>196</v>
      </c>
      <c r="AX5" s="57">
        <f t="shared" si="49"/>
        <v>4.8117839607201311</v>
      </c>
      <c r="AY5" s="56">
        <f t="shared" si="50"/>
        <v>28</v>
      </c>
      <c r="AZ5" s="57">
        <f t="shared" si="51"/>
        <v>0.68739770867430439</v>
      </c>
      <c r="BA5" s="57">
        <f t="shared" si="52"/>
        <v>4.9590834697217678</v>
      </c>
      <c r="BB5" s="225">
        <f t="shared" si="53"/>
        <v>41</v>
      </c>
      <c r="BC5" s="223">
        <f t="shared" si="54"/>
        <v>1.0065466448445171</v>
      </c>
      <c r="BD5" s="56">
        <f t="shared" si="55"/>
        <v>52</v>
      </c>
      <c r="BE5" s="57">
        <f t="shared" si="56"/>
        <v>1.2765957446808511</v>
      </c>
      <c r="BF5" s="58">
        <f t="shared" si="57"/>
        <v>30</v>
      </c>
      <c r="BG5" s="57">
        <f t="shared" si="58"/>
        <v>0.73649754500818332</v>
      </c>
      <c r="BH5" s="75">
        <f t="shared" si="59"/>
        <v>8</v>
      </c>
      <c r="BI5" s="57">
        <f t="shared" si="60"/>
        <v>0.19639934533551553</v>
      </c>
      <c r="BJ5" s="114">
        <f t="shared" si="61"/>
        <v>0.57692307692307687</v>
      </c>
      <c r="BK5" s="56">
        <f t="shared" si="62"/>
        <v>6</v>
      </c>
      <c r="BL5" s="57">
        <f t="shared" si="63"/>
        <v>0.14729950900163666</v>
      </c>
      <c r="BM5" s="61">
        <f t="shared" si="64"/>
        <v>120</v>
      </c>
      <c r="BN5" s="62">
        <f t="shared" si="65"/>
        <v>2.9459901800327333</v>
      </c>
      <c r="BO5" s="61">
        <f t="shared" si="66"/>
        <v>35</v>
      </c>
      <c r="BP5" s="62">
        <f t="shared" si="67"/>
        <v>0.85924713584288048</v>
      </c>
      <c r="BQ5" s="63">
        <f t="shared" si="68"/>
        <v>0.29166666666666663</v>
      </c>
      <c r="BR5" s="61">
        <f t="shared" si="69"/>
        <v>1764</v>
      </c>
      <c r="BS5" s="62">
        <f t="shared" si="70"/>
        <v>43.306055646481177</v>
      </c>
      <c r="BT5" s="61">
        <f t="shared" si="71"/>
        <v>1581</v>
      </c>
      <c r="BU5" s="62">
        <f t="shared" si="72"/>
        <v>38.813420621931257</v>
      </c>
      <c r="BV5" s="63">
        <f t="shared" si="73"/>
        <v>0.8962585034013606</v>
      </c>
      <c r="BW5" s="56">
        <f t="shared" si="74"/>
        <v>1651</v>
      </c>
      <c r="BX5" s="62">
        <f t="shared" si="75"/>
        <v>38.813420621931257</v>
      </c>
      <c r="BY5" s="61">
        <f t="shared" si="76"/>
        <v>113</v>
      </c>
      <c r="BZ5" s="62">
        <f t="shared" si="77"/>
        <v>2.7741407528641568</v>
      </c>
      <c r="CA5" s="320">
        <f t="shared" si="78"/>
        <v>6.8443367655966078E-2</v>
      </c>
      <c r="CB5" s="61">
        <f t="shared" si="79"/>
        <v>183</v>
      </c>
      <c r="CC5" s="62">
        <f t="shared" si="80"/>
        <v>4.4926350245499185</v>
      </c>
      <c r="CD5" s="320">
        <f t="shared" si="81"/>
        <v>0.10374149659863946</v>
      </c>
      <c r="CE5" s="213">
        <f t="shared" si="82"/>
        <v>13</v>
      </c>
      <c r="CF5" s="212">
        <f t="shared" si="83"/>
        <v>0.31914893617021278</v>
      </c>
      <c r="CG5" s="212">
        <f t="shared" si="84"/>
        <v>4.3076923076923082E-2</v>
      </c>
      <c r="CH5" s="213">
        <f t="shared" si="85"/>
        <v>14</v>
      </c>
      <c r="CI5" s="62">
        <f t="shared" si="86"/>
        <v>0.34369885433715219</v>
      </c>
      <c r="CJ5" s="61">
        <f t="shared" si="87"/>
        <v>430</v>
      </c>
      <c r="CK5" s="62">
        <f t="shared" si="88"/>
        <v>10.556464811783961</v>
      </c>
      <c r="CL5" s="61">
        <f t="shared" si="89"/>
        <v>269</v>
      </c>
      <c r="CM5" s="62">
        <f t="shared" si="90"/>
        <v>6.6039279869067098</v>
      </c>
      <c r="CN5" s="61">
        <f t="shared" si="91"/>
        <v>161</v>
      </c>
      <c r="CO5" s="63">
        <f t="shared" si="92"/>
        <v>0.62558139534883717</v>
      </c>
      <c r="CP5" s="61">
        <f t="shared" si="93"/>
        <v>240</v>
      </c>
      <c r="CQ5" s="62">
        <f t="shared" si="94"/>
        <v>5.8919803600654665</v>
      </c>
      <c r="CR5" s="61">
        <f t="shared" si="95"/>
        <v>68</v>
      </c>
      <c r="CS5" s="62">
        <f t="shared" si="96"/>
        <v>1.6693944353518821</v>
      </c>
      <c r="CT5" s="61">
        <f t="shared" si="97"/>
        <v>361</v>
      </c>
      <c r="CU5" s="62">
        <f t="shared" si="98"/>
        <v>8.8625204582651396</v>
      </c>
      <c r="CV5" s="61">
        <f t="shared" si="99"/>
        <v>277</v>
      </c>
      <c r="CW5" s="62">
        <f t="shared" si="100"/>
        <v>6.800327332242226</v>
      </c>
      <c r="CX5" s="63">
        <f t="shared" si="101"/>
        <v>0.76731301939058172</v>
      </c>
      <c r="CY5" s="61">
        <f t="shared" si="102"/>
        <v>113</v>
      </c>
      <c r="CZ5" s="62">
        <f t="shared" si="103"/>
        <v>2.7741407528641568</v>
      </c>
      <c r="DA5" s="61">
        <f t="shared" si="104"/>
        <v>14</v>
      </c>
      <c r="DB5" s="62">
        <f t="shared" si="105"/>
        <v>0.34369885433715219</v>
      </c>
      <c r="DC5" s="63">
        <f t="shared" si="106"/>
        <v>0.31301939058171746</v>
      </c>
      <c r="DD5" s="61">
        <f t="shared" si="107"/>
        <v>2</v>
      </c>
      <c r="DE5" s="61">
        <f t="shared" si="108"/>
        <v>0</v>
      </c>
      <c r="DF5" s="61">
        <f t="shared" si="109"/>
        <v>2</v>
      </c>
      <c r="DG5" s="62">
        <f t="shared" si="110"/>
        <v>4.9099836333878884E-2</v>
      </c>
      <c r="DH5" s="63">
        <f t="shared" si="111"/>
        <v>0.14285714285714285</v>
      </c>
      <c r="DI5" s="61">
        <f t="shared" si="112"/>
        <v>569.66000000000008</v>
      </c>
      <c r="DJ5" s="62">
        <f t="shared" si="113"/>
        <v>13.985106382978724</v>
      </c>
      <c r="DK5" s="61">
        <f t="shared" si="114"/>
        <v>512.5866666666667</v>
      </c>
      <c r="DL5" s="62">
        <f t="shared" si="115"/>
        <v>12.583960720130934</v>
      </c>
      <c r="DM5" s="61">
        <f t="shared" si="116"/>
        <v>205.5</v>
      </c>
      <c r="DN5" s="62">
        <f t="shared" si="117"/>
        <v>5.0450081833060558</v>
      </c>
      <c r="DO5" s="63">
        <f t="shared" si="118"/>
        <v>0.89981158351765378</v>
      </c>
      <c r="DP5" s="62">
        <f t="shared" si="119"/>
        <v>414.1</v>
      </c>
      <c r="DQ5" s="62">
        <f t="shared" si="120"/>
        <v>10.166121112929623</v>
      </c>
      <c r="DR5" s="62">
        <f t="shared" si="121"/>
        <v>5.6</v>
      </c>
      <c r="DS5" s="61">
        <f t="shared" si="122"/>
        <v>0</v>
      </c>
      <c r="DT5" s="62">
        <f t="shared" si="123"/>
        <v>0</v>
      </c>
      <c r="DU5" s="61">
        <f t="shared" si="124"/>
        <v>273</v>
      </c>
      <c r="DV5" s="62">
        <f t="shared" si="125"/>
        <v>6.7021276595744679</v>
      </c>
      <c r="DW5" s="61">
        <f t="shared" si="126"/>
        <v>501.02000000000004</v>
      </c>
      <c r="DX5" s="62">
        <f t="shared" si="127"/>
        <v>12.3</v>
      </c>
      <c r="DY5" s="62">
        <f t="shared" si="128"/>
        <v>6.96</v>
      </c>
      <c r="DZ5" s="302"/>
      <c r="EA5" s="298" t="s">
        <v>991</v>
      </c>
      <c r="EB5" s="298" t="s">
        <v>682</v>
      </c>
      <c r="EC5" s="298">
        <v>29</v>
      </c>
      <c r="ED5" s="298" t="s">
        <v>688</v>
      </c>
      <c r="EE5" s="298" t="s">
        <v>843</v>
      </c>
      <c r="EF5" s="298" t="s">
        <v>13</v>
      </c>
      <c r="EG5" s="298" t="s">
        <v>644</v>
      </c>
      <c r="EH5" s="299">
        <v>46934</v>
      </c>
      <c r="EI5" s="298" t="s">
        <v>582</v>
      </c>
      <c r="EJ5" s="298">
        <v>3666</v>
      </c>
      <c r="EK5" s="298" t="s">
        <v>933</v>
      </c>
      <c r="EL5" s="298">
        <v>0</v>
      </c>
      <c r="EM5" s="298">
        <v>2</v>
      </c>
      <c r="EN5" s="298">
        <v>1</v>
      </c>
      <c r="EO5" s="298">
        <v>1</v>
      </c>
      <c r="EP5" s="298">
        <v>2</v>
      </c>
      <c r="EQ5" s="298">
        <v>0</v>
      </c>
      <c r="ER5" s="298">
        <v>120</v>
      </c>
      <c r="ES5" s="298">
        <v>35</v>
      </c>
      <c r="ET5" s="298">
        <v>204</v>
      </c>
      <c r="EU5" s="298">
        <v>272</v>
      </c>
      <c r="EV5" s="298">
        <v>1.6</v>
      </c>
      <c r="EW5" s="298">
        <v>38</v>
      </c>
      <c r="EX5" s="298">
        <v>30</v>
      </c>
      <c r="EY5" s="298">
        <v>37</v>
      </c>
      <c r="EZ5" s="298">
        <v>28</v>
      </c>
      <c r="FA5" s="298">
        <v>12.3</v>
      </c>
      <c r="FB5" s="298">
        <v>6</v>
      </c>
      <c r="FC5" s="298">
        <v>131</v>
      </c>
      <c r="FD5" s="298">
        <v>14</v>
      </c>
      <c r="FE5" s="298">
        <v>41</v>
      </c>
      <c r="FF5" s="298" t="s">
        <v>1036</v>
      </c>
      <c r="FG5" s="298">
        <v>5.6</v>
      </c>
      <c r="FH5" s="298">
        <v>0</v>
      </c>
      <c r="FI5" s="298">
        <v>113</v>
      </c>
      <c r="FJ5" s="298">
        <v>1764</v>
      </c>
      <c r="FK5" s="298">
        <v>1581</v>
      </c>
      <c r="FL5" s="298">
        <v>1</v>
      </c>
      <c r="FM5" s="298">
        <v>25</v>
      </c>
      <c r="FN5" s="298">
        <v>10</v>
      </c>
      <c r="FO5" s="298">
        <v>0</v>
      </c>
      <c r="FP5" s="298">
        <v>0</v>
      </c>
      <c r="FQ5" s="298" t="s">
        <v>959</v>
      </c>
      <c r="FR5" s="298" t="s">
        <v>1006</v>
      </c>
      <c r="FS5" s="298">
        <v>13</v>
      </c>
      <c r="FT5" s="298">
        <v>0</v>
      </c>
      <c r="FU5" s="303">
        <v>6.96</v>
      </c>
    </row>
    <row r="6" spans="1:184" ht="24.95" customHeight="1" thickBot="1" x14ac:dyDescent="0.3">
      <c r="A6" s="29" t="str">
        <f t="shared" si="0"/>
        <v>5º</v>
      </c>
      <c r="B6" s="101" t="str">
        <f t="shared" si="1"/>
        <v>Juan Pablo Freytes</v>
      </c>
      <c r="C6" s="86" t="str">
        <f t="shared" si="2"/>
        <v>ARG</v>
      </c>
      <c r="D6" s="99" t="str">
        <f t="shared" si="3"/>
        <v>Pé Esquerdo</v>
      </c>
      <c r="E6" s="67" t="str">
        <f t="shared" si="4"/>
        <v>Fluminense</v>
      </c>
      <c r="F6" s="168">
        <f t="shared" si="5"/>
        <v>1.86</v>
      </c>
      <c r="G6" s="171">
        <f t="shared" si="6"/>
        <v>26</v>
      </c>
      <c r="H6" s="68" t="str">
        <f t="shared" si="7"/>
        <v>2,1M € - 4,7M €</v>
      </c>
      <c r="I6" s="201">
        <f t="shared" si="8"/>
        <v>47118</v>
      </c>
      <c r="J6" s="305" t="str">
        <f t="shared" si="9"/>
        <v>3,4m € p/m</v>
      </c>
      <c r="K6" s="96">
        <f t="shared" si="10"/>
        <v>34.717777777777776</v>
      </c>
      <c r="L6" s="147">
        <f t="shared" si="11"/>
        <v>41.444444444444443</v>
      </c>
      <c r="M6" s="147">
        <f t="shared" si="12"/>
        <v>44</v>
      </c>
      <c r="N6" s="147">
        <f t="shared" si="13"/>
        <v>84.772727272727266</v>
      </c>
      <c r="O6" s="193">
        <f t="shared" si="14"/>
        <v>0.98</v>
      </c>
      <c r="P6" s="55">
        <f t="shared" si="15"/>
        <v>0</v>
      </c>
      <c r="Q6" s="55">
        <f t="shared" si="16"/>
        <v>2</v>
      </c>
      <c r="R6" s="55">
        <f t="shared" si="17"/>
        <v>2</v>
      </c>
      <c r="S6" s="57">
        <f t="shared" si="18"/>
        <v>0</v>
      </c>
      <c r="T6" s="57">
        <f t="shared" si="19"/>
        <v>4.82573726541555E-2</v>
      </c>
      <c r="U6" s="56">
        <f t="shared" si="20"/>
        <v>1</v>
      </c>
      <c r="V6" s="57">
        <f t="shared" si="21"/>
        <v>3730</v>
      </c>
      <c r="W6" s="63">
        <f t="shared" si="22"/>
        <v>2.412868632707775E-2</v>
      </c>
      <c r="X6" s="56">
        <f t="shared" si="23"/>
        <v>0</v>
      </c>
      <c r="Y6" s="56">
        <f t="shared" si="24"/>
        <v>0</v>
      </c>
      <c r="Z6" s="56">
        <f t="shared" si="25"/>
        <v>0</v>
      </c>
      <c r="AA6" s="60">
        <f t="shared" si="26"/>
        <v>9.9999999999999995E-8</v>
      </c>
      <c r="AB6" s="308">
        <f t="shared" si="27"/>
        <v>0</v>
      </c>
      <c r="AC6" s="309">
        <f t="shared" si="28"/>
        <v>0</v>
      </c>
      <c r="AD6" s="56">
        <f t="shared" si="29"/>
        <v>217</v>
      </c>
      <c r="AE6" s="57">
        <f t="shared" si="30"/>
        <v>5.2359249329758715</v>
      </c>
      <c r="AF6" s="56">
        <f t="shared" si="31"/>
        <v>151</v>
      </c>
      <c r="AG6" s="57">
        <f t="shared" si="32"/>
        <v>3.6434316353887399</v>
      </c>
      <c r="AH6" s="60">
        <f t="shared" si="33"/>
        <v>0.69585253456221197</v>
      </c>
      <c r="AI6" s="56">
        <f t="shared" si="34"/>
        <v>66</v>
      </c>
      <c r="AJ6" s="57">
        <f t="shared" si="35"/>
        <v>1.5924932975871313</v>
      </c>
      <c r="AK6" s="60">
        <f t="shared" si="36"/>
        <v>0.30414746543778803</v>
      </c>
      <c r="AL6" s="213">
        <f t="shared" si="37"/>
        <v>41.444444444444443</v>
      </c>
      <c r="AM6" s="212">
        <f t="shared" si="38"/>
        <v>1</v>
      </c>
      <c r="AN6" s="63">
        <f t="shared" si="39"/>
        <v>5.5299539170506916E-2</v>
      </c>
      <c r="AO6" s="213">
        <f t="shared" si="40"/>
        <v>12</v>
      </c>
      <c r="AP6" s="212">
        <f t="shared" si="41"/>
        <v>0.289544235924933</v>
      </c>
      <c r="AQ6" s="213">
        <f t="shared" si="42"/>
        <v>4</v>
      </c>
      <c r="AR6" s="212">
        <f t="shared" si="43"/>
        <v>9.6514745308311001E-2</v>
      </c>
      <c r="AS6" s="63">
        <f t="shared" si="44"/>
        <v>0.33333333333333331</v>
      </c>
      <c r="AT6" s="307">
        <f t="shared" si="45"/>
        <v>9.0000000000000011E-2</v>
      </c>
      <c r="AU6" s="306">
        <f t="shared" si="46"/>
        <v>1.08</v>
      </c>
      <c r="AV6" s="310">
        <f t="shared" si="47"/>
        <v>-1.08</v>
      </c>
      <c r="AW6" s="56">
        <f t="shared" si="48"/>
        <v>193</v>
      </c>
      <c r="AX6" s="57">
        <f t="shared" si="49"/>
        <v>4.6568364611260051</v>
      </c>
      <c r="AY6" s="56">
        <f t="shared" si="50"/>
        <v>33</v>
      </c>
      <c r="AZ6" s="57">
        <f t="shared" si="51"/>
        <v>0.79624664879356566</v>
      </c>
      <c r="BA6" s="57">
        <f t="shared" si="52"/>
        <v>4.8498659517426272</v>
      </c>
      <c r="BB6" s="225">
        <f t="shared" si="53"/>
        <v>38</v>
      </c>
      <c r="BC6" s="223">
        <f t="shared" si="54"/>
        <v>0.91689008042895448</v>
      </c>
      <c r="BD6" s="56">
        <f t="shared" si="55"/>
        <v>45</v>
      </c>
      <c r="BE6" s="57">
        <f t="shared" si="56"/>
        <v>1.0857908847184987</v>
      </c>
      <c r="BF6" s="58">
        <f t="shared" si="57"/>
        <v>21</v>
      </c>
      <c r="BG6" s="57">
        <f t="shared" si="58"/>
        <v>0.50670241286863271</v>
      </c>
      <c r="BH6" s="75">
        <f t="shared" si="59"/>
        <v>6</v>
      </c>
      <c r="BI6" s="57">
        <f t="shared" si="60"/>
        <v>0.1447721179624665</v>
      </c>
      <c r="BJ6" s="114">
        <f t="shared" si="61"/>
        <v>0.46666666666666667</v>
      </c>
      <c r="BK6" s="56">
        <f t="shared" si="62"/>
        <v>8</v>
      </c>
      <c r="BL6" s="57">
        <f t="shared" si="63"/>
        <v>0.193029490616622</v>
      </c>
      <c r="BM6" s="61">
        <f t="shared" si="64"/>
        <v>109</v>
      </c>
      <c r="BN6" s="62">
        <f t="shared" si="65"/>
        <v>2.6300268096514747</v>
      </c>
      <c r="BO6" s="61">
        <f t="shared" si="66"/>
        <v>39</v>
      </c>
      <c r="BP6" s="62">
        <f t="shared" si="67"/>
        <v>0.94101876675603224</v>
      </c>
      <c r="BQ6" s="63">
        <f t="shared" si="68"/>
        <v>0.3577981651376147</v>
      </c>
      <c r="BR6" s="61">
        <f t="shared" si="69"/>
        <v>1949</v>
      </c>
      <c r="BS6" s="62">
        <f t="shared" si="70"/>
        <v>47.02680965147453</v>
      </c>
      <c r="BT6" s="61">
        <f t="shared" si="71"/>
        <v>1813</v>
      </c>
      <c r="BU6" s="62">
        <f t="shared" si="72"/>
        <v>43.745308310991959</v>
      </c>
      <c r="BV6" s="63">
        <f t="shared" si="73"/>
        <v>0.93022062596203181</v>
      </c>
      <c r="BW6" s="56">
        <f t="shared" si="74"/>
        <v>1800</v>
      </c>
      <c r="BX6" s="62">
        <f t="shared" si="75"/>
        <v>43.745308310991959</v>
      </c>
      <c r="BY6" s="61">
        <f t="shared" si="76"/>
        <v>149</v>
      </c>
      <c r="BZ6" s="62">
        <f t="shared" si="77"/>
        <v>3.5951742627345844</v>
      </c>
      <c r="CA6" s="320">
        <f t="shared" si="78"/>
        <v>8.2777777777777783E-2</v>
      </c>
      <c r="CB6" s="61">
        <f t="shared" si="79"/>
        <v>136</v>
      </c>
      <c r="CC6" s="62">
        <f t="shared" si="80"/>
        <v>3.2815013404825737</v>
      </c>
      <c r="CD6" s="320">
        <f t="shared" si="81"/>
        <v>6.9779374037968189E-2</v>
      </c>
      <c r="CE6" s="213">
        <f t="shared" si="82"/>
        <v>22</v>
      </c>
      <c r="CF6" s="212">
        <f t="shared" si="83"/>
        <v>0.53083109919571048</v>
      </c>
      <c r="CG6" s="212">
        <f t="shared" si="84"/>
        <v>8.7272727272727266E-2</v>
      </c>
      <c r="CH6" s="213">
        <f t="shared" si="85"/>
        <v>26</v>
      </c>
      <c r="CI6" s="62">
        <f t="shared" si="86"/>
        <v>0.62734584450402142</v>
      </c>
      <c r="CJ6" s="61">
        <f t="shared" si="87"/>
        <v>353</v>
      </c>
      <c r="CK6" s="62">
        <f t="shared" si="88"/>
        <v>8.5174262734584456</v>
      </c>
      <c r="CL6" s="61">
        <f t="shared" si="89"/>
        <v>211</v>
      </c>
      <c r="CM6" s="62">
        <f t="shared" si="90"/>
        <v>5.0911528150134053</v>
      </c>
      <c r="CN6" s="61">
        <f t="shared" si="91"/>
        <v>142</v>
      </c>
      <c r="CO6" s="63">
        <f t="shared" si="92"/>
        <v>0.59773371104815864</v>
      </c>
      <c r="CP6" s="61">
        <f t="shared" si="93"/>
        <v>235</v>
      </c>
      <c r="CQ6" s="62">
        <f t="shared" si="94"/>
        <v>5.6702412868632708</v>
      </c>
      <c r="CR6" s="61">
        <f t="shared" si="95"/>
        <v>64</v>
      </c>
      <c r="CS6" s="62">
        <f t="shared" si="96"/>
        <v>1.544235924932976</v>
      </c>
      <c r="CT6" s="61">
        <f t="shared" si="97"/>
        <v>299</v>
      </c>
      <c r="CU6" s="62">
        <f t="shared" si="98"/>
        <v>7.2144772117962468</v>
      </c>
      <c r="CV6" s="61">
        <f t="shared" si="99"/>
        <v>217</v>
      </c>
      <c r="CW6" s="62">
        <f t="shared" si="100"/>
        <v>5.2359249329758715</v>
      </c>
      <c r="CX6" s="63">
        <f t="shared" si="101"/>
        <v>0.72575250836120397</v>
      </c>
      <c r="CY6" s="61">
        <f t="shared" si="102"/>
        <v>109</v>
      </c>
      <c r="CZ6" s="62">
        <f t="shared" si="103"/>
        <v>2.6300268096514747</v>
      </c>
      <c r="DA6" s="61">
        <f t="shared" si="104"/>
        <v>18</v>
      </c>
      <c r="DB6" s="62">
        <f t="shared" si="105"/>
        <v>0.43431635388739948</v>
      </c>
      <c r="DC6" s="63">
        <f t="shared" si="106"/>
        <v>0.36454849498327757</v>
      </c>
      <c r="DD6" s="61">
        <f t="shared" si="107"/>
        <v>4</v>
      </c>
      <c r="DE6" s="61">
        <f t="shared" si="108"/>
        <v>0</v>
      </c>
      <c r="DF6" s="61">
        <f t="shared" si="109"/>
        <v>4</v>
      </c>
      <c r="DG6" s="62">
        <f t="shared" si="110"/>
        <v>9.6514745308311001E-2</v>
      </c>
      <c r="DH6" s="63">
        <f t="shared" si="111"/>
        <v>0.22222222222222221</v>
      </c>
      <c r="DI6" s="61">
        <f t="shared" si="112"/>
        <v>498.32</v>
      </c>
      <c r="DJ6" s="62">
        <f t="shared" si="113"/>
        <v>12.023806970509384</v>
      </c>
      <c r="DK6" s="61">
        <f t="shared" si="114"/>
        <v>435.72222222222223</v>
      </c>
      <c r="DL6" s="62">
        <f t="shared" si="115"/>
        <v>10.513404825737267</v>
      </c>
      <c r="DM6" s="61">
        <f t="shared" si="116"/>
        <v>159</v>
      </c>
      <c r="DN6" s="62">
        <f t="shared" si="117"/>
        <v>3.836461126005362</v>
      </c>
      <c r="DO6" s="63">
        <f t="shared" si="118"/>
        <v>0.87438236920497314</v>
      </c>
      <c r="DP6" s="62">
        <f t="shared" si="119"/>
        <v>428.2</v>
      </c>
      <c r="DQ6" s="62">
        <f t="shared" si="120"/>
        <v>10.331903485254692</v>
      </c>
      <c r="DR6" s="62">
        <f t="shared" si="121"/>
        <v>7</v>
      </c>
      <c r="DS6" s="61">
        <f t="shared" si="122"/>
        <v>1</v>
      </c>
      <c r="DT6" s="62">
        <f t="shared" si="123"/>
        <v>2.412868632707775E-2</v>
      </c>
      <c r="DU6" s="61">
        <f t="shared" si="124"/>
        <v>226</v>
      </c>
      <c r="DV6" s="62">
        <f t="shared" si="125"/>
        <v>5.4530831099195716</v>
      </c>
      <c r="DW6" s="61">
        <f t="shared" si="126"/>
        <v>451.74444444444447</v>
      </c>
      <c r="DX6" s="62">
        <f t="shared" si="127"/>
        <v>10.9</v>
      </c>
      <c r="DY6" s="62">
        <f t="shared" si="128"/>
        <v>6.91</v>
      </c>
      <c r="DZ6" s="300"/>
      <c r="EA6" s="296" t="s">
        <v>995</v>
      </c>
      <c r="EB6" s="296" t="s">
        <v>575</v>
      </c>
      <c r="EC6" s="296">
        <v>26</v>
      </c>
      <c r="ED6" s="296" t="s">
        <v>729</v>
      </c>
      <c r="EE6" s="296" t="s">
        <v>907</v>
      </c>
      <c r="EF6" s="296" t="s">
        <v>478</v>
      </c>
      <c r="EG6" s="296" t="s">
        <v>652</v>
      </c>
      <c r="EH6" s="297">
        <v>47118</v>
      </c>
      <c r="EI6" s="296" t="s">
        <v>582</v>
      </c>
      <c r="EJ6" s="296">
        <v>3730</v>
      </c>
      <c r="EK6" s="296" t="s">
        <v>977</v>
      </c>
      <c r="EL6" s="296">
        <v>1</v>
      </c>
      <c r="EM6" s="296">
        <v>0</v>
      </c>
      <c r="EN6" s="296">
        <v>0</v>
      </c>
      <c r="EO6" s="296">
        <v>2</v>
      </c>
      <c r="EP6" s="296">
        <v>4</v>
      </c>
      <c r="EQ6" s="296">
        <v>0</v>
      </c>
      <c r="ER6" s="296">
        <v>109</v>
      </c>
      <c r="ES6" s="296">
        <v>39</v>
      </c>
      <c r="ET6" s="296">
        <v>151</v>
      </c>
      <c r="EU6" s="296">
        <v>217</v>
      </c>
      <c r="EV6" s="296">
        <v>1</v>
      </c>
      <c r="EW6" s="296">
        <v>27</v>
      </c>
      <c r="EX6" s="296">
        <v>21</v>
      </c>
      <c r="EY6" s="296">
        <v>37</v>
      </c>
      <c r="EZ6" s="296">
        <v>33</v>
      </c>
      <c r="FA6" s="296">
        <v>10.9</v>
      </c>
      <c r="FB6" s="296">
        <v>8</v>
      </c>
      <c r="FC6" s="296">
        <v>123</v>
      </c>
      <c r="FD6" s="296">
        <v>18</v>
      </c>
      <c r="FE6" s="296">
        <v>38</v>
      </c>
      <c r="FF6" s="296" t="s">
        <v>1032</v>
      </c>
      <c r="FG6" s="296">
        <v>7</v>
      </c>
      <c r="FH6" s="296">
        <v>1</v>
      </c>
      <c r="FI6" s="296">
        <v>149</v>
      </c>
      <c r="FJ6" s="296">
        <v>1949</v>
      </c>
      <c r="FK6" s="296">
        <v>1813</v>
      </c>
      <c r="FL6" s="296">
        <v>4</v>
      </c>
      <c r="FM6" s="296">
        <v>12</v>
      </c>
      <c r="FN6" s="296">
        <v>4</v>
      </c>
      <c r="FO6" s="296">
        <v>0</v>
      </c>
      <c r="FP6" s="296">
        <v>0</v>
      </c>
      <c r="FQ6" s="296" t="s">
        <v>970</v>
      </c>
      <c r="FR6" s="296" t="s">
        <v>926</v>
      </c>
      <c r="FS6" s="296">
        <v>22</v>
      </c>
      <c r="FT6" s="296">
        <v>1</v>
      </c>
      <c r="FU6" s="301">
        <v>6.91</v>
      </c>
    </row>
    <row r="7" spans="1:184" ht="24.95" customHeight="1" thickBot="1" x14ac:dyDescent="0.3">
      <c r="A7" s="29" t="str">
        <f t="shared" si="0"/>
        <v>6º</v>
      </c>
      <c r="B7" s="101" t="str">
        <f t="shared" si="1"/>
        <v>Lucas Oliveira</v>
      </c>
      <c r="C7" s="86" t="str">
        <f t="shared" si="2"/>
        <v>BRA</v>
      </c>
      <c r="D7" s="99" t="str">
        <f t="shared" si="3"/>
        <v>Pé Direito</v>
      </c>
      <c r="E7" s="67" t="str">
        <f t="shared" si="4"/>
        <v>Mirassol</v>
      </c>
      <c r="F7" s="168">
        <f t="shared" si="5"/>
        <v>1.87</v>
      </c>
      <c r="G7" s="171">
        <f t="shared" si="6"/>
        <v>30</v>
      </c>
      <c r="H7" s="68" t="str">
        <f t="shared" si="7"/>
        <v>55m € - 550m €</v>
      </c>
      <c r="I7" s="201">
        <f t="shared" si="8"/>
        <v>47118</v>
      </c>
      <c r="J7" s="305" t="str">
        <f t="shared" si="9"/>
        <v>61,5m € p/m</v>
      </c>
      <c r="K7" s="96">
        <f t="shared" si="10"/>
        <v>34.717777777777776</v>
      </c>
      <c r="L7" s="147">
        <f t="shared" si="11"/>
        <v>33</v>
      </c>
      <c r="M7" s="147">
        <f t="shared" si="12"/>
        <v>34</v>
      </c>
      <c r="N7" s="147">
        <f t="shared" si="13"/>
        <v>87.352941176470594</v>
      </c>
      <c r="O7" s="193">
        <f t="shared" si="14"/>
        <v>0.97</v>
      </c>
      <c r="P7" s="55">
        <f t="shared" si="15"/>
        <v>2</v>
      </c>
      <c r="Q7" s="55">
        <f t="shared" si="16"/>
        <v>3</v>
      </c>
      <c r="R7" s="55">
        <f t="shared" si="17"/>
        <v>5</v>
      </c>
      <c r="S7" s="57">
        <f t="shared" si="18"/>
        <v>6.0606060606060608E-2</v>
      </c>
      <c r="T7" s="57">
        <f t="shared" si="19"/>
        <v>0.15151515151515152</v>
      </c>
      <c r="U7" s="56">
        <f t="shared" si="20"/>
        <v>2</v>
      </c>
      <c r="V7" s="57">
        <f t="shared" si="21"/>
        <v>1485</v>
      </c>
      <c r="W7" s="63">
        <f t="shared" si="22"/>
        <v>6.0606060606060608E-2</v>
      </c>
      <c r="X7" s="56">
        <f t="shared" si="23"/>
        <v>0</v>
      </c>
      <c r="Y7" s="56">
        <f t="shared" si="24"/>
        <v>0</v>
      </c>
      <c r="Z7" s="56">
        <f t="shared" si="25"/>
        <v>0</v>
      </c>
      <c r="AA7" s="60">
        <f t="shared" si="26"/>
        <v>9.9999999999999995E-8</v>
      </c>
      <c r="AB7" s="308">
        <f t="shared" si="27"/>
        <v>0</v>
      </c>
      <c r="AC7" s="309">
        <f t="shared" si="28"/>
        <v>0</v>
      </c>
      <c r="AD7" s="56">
        <f t="shared" si="29"/>
        <v>206</v>
      </c>
      <c r="AE7" s="57">
        <f t="shared" si="30"/>
        <v>6.2424242424242422</v>
      </c>
      <c r="AF7" s="56">
        <f t="shared" si="31"/>
        <v>142</v>
      </c>
      <c r="AG7" s="57">
        <f t="shared" si="32"/>
        <v>4.3030303030303028</v>
      </c>
      <c r="AH7" s="60">
        <f t="shared" si="33"/>
        <v>0.68932038834951459</v>
      </c>
      <c r="AI7" s="56">
        <f t="shared" si="34"/>
        <v>64</v>
      </c>
      <c r="AJ7" s="57">
        <f t="shared" si="35"/>
        <v>1.9393939393939394</v>
      </c>
      <c r="AK7" s="60">
        <f t="shared" si="36"/>
        <v>0.31067961165048541</v>
      </c>
      <c r="AL7" s="213">
        <f t="shared" si="37"/>
        <v>52.800000000000004</v>
      </c>
      <c r="AM7" s="212">
        <f t="shared" si="38"/>
        <v>1.6</v>
      </c>
      <c r="AN7" s="63">
        <f t="shared" si="39"/>
        <v>7.281553398058252E-2</v>
      </c>
      <c r="AO7" s="213">
        <f t="shared" si="40"/>
        <v>15</v>
      </c>
      <c r="AP7" s="212">
        <f t="shared" si="41"/>
        <v>0.45454545454545453</v>
      </c>
      <c r="AQ7" s="213">
        <f t="shared" si="42"/>
        <v>9</v>
      </c>
      <c r="AR7" s="212">
        <f t="shared" si="43"/>
        <v>0.27272727272727271</v>
      </c>
      <c r="AS7" s="63">
        <f t="shared" si="44"/>
        <v>0.6</v>
      </c>
      <c r="AT7" s="307">
        <f t="shared" si="45"/>
        <v>0.11533333333333333</v>
      </c>
      <c r="AU7" s="306">
        <f t="shared" si="46"/>
        <v>1.73</v>
      </c>
      <c r="AV7" s="310">
        <f t="shared" si="47"/>
        <v>0.27</v>
      </c>
      <c r="AW7" s="56">
        <f t="shared" si="48"/>
        <v>123</v>
      </c>
      <c r="AX7" s="57">
        <f t="shared" si="49"/>
        <v>3.7272727272727271</v>
      </c>
      <c r="AY7" s="56">
        <f t="shared" si="50"/>
        <v>19</v>
      </c>
      <c r="AZ7" s="57">
        <f t="shared" si="51"/>
        <v>0.5757575757575758</v>
      </c>
      <c r="BA7" s="57">
        <f t="shared" si="52"/>
        <v>3.9696969696969697</v>
      </c>
      <c r="BB7" s="225">
        <f t="shared" si="53"/>
        <v>40</v>
      </c>
      <c r="BC7" s="223">
        <f t="shared" si="54"/>
        <v>1.2121212121212122</v>
      </c>
      <c r="BD7" s="56">
        <f t="shared" si="55"/>
        <v>38</v>
      </c>
      <c r="BE7" s="57">
        <f t="shared" si="56"/>
        <v>1.1515151515151516</v>
      </c>
      <c r="BF7" s="58">
        <f t="shared" si="57"/>
        <v>21</v>
      </c>
      <c r="BG7" s="57">
        <f t="shared" si="58"/>
        <v>0.63636363636363635</v>
      </c>
      <c r="BH7" s="75">
        <f t="shared" si="59"/>
        <v>6</v>
      </c>
      <c r="BI7" s="57">
        <f t="shared" si="60"/>
        <v>0.18181818181818182</v>
      </c>
      <c r="BJ7" s="114">
        <f t="shared" si="61"/>
        <v>0.55263157894736847</v>
      </c>
      <c r="BK7" s="56">
        <f t="shared" si="62"/>
        <v>8</v>
      </c>
      <c r="BL7" s="57">
        <f t="shared" si="63"/>
        <v>0.24242424242424243</v>
      </c>
      <c r="BM7" s="61">
        <f t="shared" si="64"/>
        <v>74</v>
      </c>
      <c r="BN7" s="62">
        <f t="shared" si="65"/>
        <v>2.2424242424242422</v>
      </c>
      <c r="BO7" s="61">
        <f t="shared" si="66"/>
        <v>19</v>
      </c>
      <c r="BP7" s="62">
        <f t="shared" si="67"/>
        <v>0.5757575757575758</v>
      </c>
      <c r="BQ7" s="63">
        <f t="shared" si="68"/>
        <v>0.2567567567567568</v>
      </c>
      <c r="BR7" s="61">
        <f t="shared" si="69"/>
        <v>1341</v>
      </c>
      <c r="BS7" s="62">
        <f t="shared" si="70"/>
        <v>40.636363636363633</v>
      </c>
      <c r="BT7" s="61">
        <f t="shared" si="71"/>
        <v>1215</v>
      </c>
      <c r="BU7" s="62">
        <f t="shared" si="72"/>
        <v>36.81818181818182</v>
      </c>
      <c r="BV7" s="63">
        <f t="shared" si="73"/>
        <v>0.90604026845637586</v>
      </c>
      <c r="BW7" s="56">
        <f t="shared" si="74"/>
        <v>1258</v>
      </c>
      <c r="BX7" s="62">
        <f t="shared" si="75"/>
        <v>36.81818181818182</v>
      </c>
      <c r="BY7" s="61">
        <f t="shared" si="76"/>
        <v>83</v>
      </c>
      <c r="BZ7" s="62">
        <f t="shared" si="77"/>
        <v>2.5151515151515151</v>
      </c>
      <c r="CA7" s="320">
        <f t="shared" si="78"/>
        <v>6.5977742448330684E-2</v>
      </c>
      <c r="CB7" s="61">
        <f t="shared" si="79"/>
        <v>126</v>
      </c>
      <c r="CC7" s="62">
        <f t="shared" si="80"/>
        <v>3.8181818181818183</v>
      </c>
      <c r="CD7" s="320">
        <f t="shared" si="81"/>
        <v>9.3959731543624164E-2</v>
      </c>
      <c r="CE7" s="213">
        <f t="shared" si="82"/>
        <v>7</v>
      </c>
      <c r="CF7" s="212">
        <f t="shared" si="83"/>
        <v>0.21212121212121213</v>
      </c>
      <c r="CG7" s="212">
        <f t="shared" si="84"/>
        <v>0.1657142857142857</v>
      </c>
      <c r="CH7" s="213">
        <f t="shared" si="85"/>
        <v>9</v>
      </c>
      <c r="CI7" s="62">
        <f t="shared" si="86"/>
        <v>0.27272727272727271</v>
      </c>
      <c r="CJ7" s="61">
        <f t="shared" si="87"/>
        <v>307</v>
      </c>
      <c r="CK7" s="62">
        <f t="shared" si="88"/>
        <v>9.3030303030303028</v>
      </c>
      <c r="CL7" s="61">
        <f t="shared" si="89"/>
        <v>182</v>
      </c>
      <c r="CM7" s="62">
        <f t="shared" si="90"/>
        <v>5.5151515151515156</v>
      </c>
      <c r="CN7" s="61">
        <f t="shared" si="91"/>
        <v>125</v>
      </c>
      <c r="CO7" s="63">
        <f t="shared" si="92"/>
        <v>0.59283387622149841</v>
      </c>
      <c r="CP7" s="61">
        <f t="shared" si="93"/>
        <v>167</v>
      </c>
      <c r="CQ7" s="62">
        <f t="shared" si="94"/>
        <v>5.0606060606060606</v>
      </c>
      <c r="CR7" s="61">
        <f t="shared" si="95"/>
        <v>44</v>
      </c>
      <c r="CS7" s="62">
        <f t="shared" si="96"/>
        <v>1.3333333333333333</v>
      </c>
      <c r="CT7" s="61">
        <f t="shared" si="97"/>
        <v>265</v>
      </c>
      <c r="CU7" s="62">
        <f t="shared" si="98"/>
        <v>8.0303030303030312</v>
      </c>
      <c r="CV7" s="61">
        <f t="shared" si="99"/>
        <v>192</v>
      </c>
      <c r="CW7" s="62">
        <f t="shared" si="100"/>
        <v>5.8181818181818183</v>
      </c>
      <c r="CX7" s="63">
        <f t="shared" si="101"/>
        <v>0.7245283018867924</v>
      </c>
      <c r="CY7" s="61">
        <f t="shared" si="102"/>
        <v>91</v>
      </c>
      <c r="CZ7" s="62">
        <f t="shared" si="103"/>
        <v>2.7575757575757578</v>
      </c>
      <c r="DA7" s="61">
        <f t="shared" si="104"/>
        <v>11</v>
      </c>
      <c r="DB7" s="62">
        <f t="shared" si="105"/>
        <v>0.33333333333333331</v>
      </c>
      <c r="DC7" s="63">
        <f t="shared" si="106"/>
        <v>0.34339622641509432</v>
      </c>
      <c r="DD7" s="61">
        <f t="shared" si="107"/>
        <v>1</v>
      </c>
      <c r="DE7" s="61">
        <f t="shared" si="108"/>
        <v>0</v>
      </c>
      <c r="DF7" s="61">
        <f t="shared" si="109"/>
        <v>1</v>
      </c>
      <c r="DG7" s="62">
        <f t="shared" si="110"/>
        <v>3.0303030303030304E-2</v>
      </c>
      <c r="DH7" s="63">
        <f t="shared" si="111"/>
        <v>9.0909090909090912E-2</v>
      </c>
      <c r="DI7" s="61">
        <f t="shared" si="112"/>
        <v>408.33000000000004</v>
      </c>
      <c r="DJ7" s="62">
        <f t="shared" si="113"/>
        <v>12.373636363636365</v>
      </c>
      <c r="DK7" s="61">
        <f t="shared" si="114"/>
        <v>364.4</v>
      </c>
      <c r="DL7" s="62">
        <f t="shared" si="115"/>
        <v>11.042424242424241</v>
      </c>
      <c r="DM7" s="61">
        <f t="shared" si="116"/>
        <v>138.25</v>
      </c>
      <c r="DN7" s="62">
        <f t="shared" si="117"/>
        <v>4.1893939393939394</v>
      </c>
      <c r="DO7" s="63">
        <f t="shared" si="118"/>
        <v>0.89241544828937369</v>
      </c>
      <c r="DP7" s="62">
        <f t="shared" si="119"/>
        <v>315.3</v>
      </c>
      <c r="DQ7" s="62">
        <f t="shared" si="120"/>
        <v>9.5545454545454547</v>
      </c>
      <c r="DR7" s="62">
        <f t="shared" si="121"/>
        <v>4.2</v>
      </c>
      <c r="DS7" s="61">
        <f t="shared" si="122"/>
        <v>1</v>
      </c>
      <c r="DT7" s="62">
        <f t="shared" si="123"/>
        <v>3.0303030303030304E-2</v>
      </c>
      <c r="DU7" s="61">
        <f t="shared" si="124"/>
        <v>207</v>
      </c>
      <c r="DV7" s="62">
        <f t="shared" si="125"/>
        <v>6.2727272727272725</v>
      </c>
      <c r="DW7" s="61">
        <f t="shared" si="126"/>
        <v>323.40000000000003</v>
      </c>
      <c r="DX7" s="62">
        <f t="shared" si="127"/>
        <v>9.8000000000000007</v>
      </c>
      <c r="DY7" s="62">
        <f t="shared" si="128"/>
        <v>6.85</v>
      </c>
      <c r="DZ7" s="300" t="s">
        <v>640</v>
      </c>
      <c r="EA7" s="296" t="s">
        <v>996</v>
      </c>
      <c r="EB7" s="296" t="s">
        <v>911</v>
      </c>
      <c r="EC7" s="296">
        <v>30</v>
      </c>
      <c r="ED7" s="296" t="s">
        <v>886</v>
      </c>
      <c r="EE7" s="296" t="s">
        <v>997</v>
      </c>
      <c r="EF7" s="296" t="s">
        <v>13</v>
      </c>
      <c r="EG7" s="296" t="s">
        <v>644</v>
      </c>
      <c r="EH7" s="297">
        <v>47118</v>
      </c>
      <c r="EI7" s="296" t="s">
        <v>661</v>
      </c>
      <c r="EJ7" s="296">
        <v>2970</v>
      </c>
      <c r="EK7" s="296" t="s">
        <v>957</v>
      </c>
      <c r="EL7" s="296">
        <v>2</v>
      </c>
      <c r="EM7" s="296">
        <v>0</v>
      </c>
      <c r="EN7" s="296">
        <v>2</v>
      </c>
      <c r="EO7" s="296">
        <v>3</v>
      </c>
      <c r="EP7" s="296">
        <v>1</v>
      </c>
      <c r="EQ7" s="296">
        <v>0</v>
      </c>
      <c r="ER7" s="296">
        <v>74</v>
      </c>
      <c r="ES7" s="296">
        <v>19</v>
      </c>
      <c r="ET7" s="296">
        <v>142</v>
      </c>
      <c r="EU7" s="296">
        <v>206</v>
      </c>
      <c r="EV7" s="296">
        <v>1.6</v>
      </c>
      <c r="EW7" s="296">
        <v>27</v>
      </c>
      <c r="EX7" s="296">
        <v>21</v>
      </c>
      <c r="EY7" s="296">
        <v>21</v>
      </c>
      <c r="EZ7" s="296">
        <v>19</v>
      </c>
      <c r="FA7" s="296">
        <v>9.8000000000000007</v>
      </c>
      <c r="FB7" s="296">
        <v>8</v>
      </c>
      <c r="FC7" s="296">
        <v>83</v>
      </c>
      <c r="FD7" s="296">
        <v>11</v>
      </c>
      <c r="FE7" s="296">
        <v>40</v>
      </c>
      <c r="FF7" s="296" t="s">
        <v>960</v>
      </c>
      <c r="FG7" s="296">
        <v>4.2</v>
      </c>
      <c r="FH7" s="296">
        <v>1</v>
      </c>
      <c r="FI7" s="296">
        <v>83</v>
      </c>
      <c r="FJ7" s="296">
        <v>1341</v>
      </c>
      <c r="FK7" s="296">
        <v>1215</v>
      </c>
      <c r="FL7" s="296">
        <v>2</v>
      </c>
      <c r="FM7" s="296">
        <v>15</v>
      </c>
      <c r="FN7" s="296">
        <v>9</v>
      </c>
      <c r="FO7" s="296">
        <v>0</v>
      </c>
      <c r="FP7" s="296">
        <v>0</v>
      </c>
      <c r="FQ7" s="296" t="s">
        <v>919</v>
      </c>
      <c r="FR7" s="296" t="s">
        <v>992</v>
      </c>
      <c r="FS7" s="296">
        <v>7</v>
      </c>
      <c r="FT7" s="296">
        <v>0</v>
      </c>
      <c r="FU7" s="301">
        <v>6.85</v>
      </c>
    </row>
    <row r="8" spans="1:184" ht="24.95" customHeight="1" thickBot="1" x14ac:dyDescent="0.3">
      <c r="A8" s="29" t="str">
        <f t="shared" si="0"/>
        <v>7º</v>
      </c>
      <c r="B8" s="101" t="str">
        <f t="shared" si="1"/>
        <v>Maicon</v>
      </c>
      <c r="C8" s="86" t="str">
        <f t="shared" si="2"/>
        <v>BRA</v>
      </c>
      <c r="D8" s="99" t="str">
        <f t="shared" si="3"/>
        <v>Pé Direito</v>
      </c>
      <c r="E8" s="67" t="str">
        <f t="shared" si="4"/>
        <v>Coritiba</v>
      </c>
      <c r="F8" s="168">
        <f t="shared" si="5"/>
        <v>1.9</v>
      </c>
      <c r="G8" s="171">
        <f t="shared" si="6"/>
        <v>37</v>
      </c>
      <c r="H8" s="68" t="str">
        <f t="shared" si="7"/>
        <v>20m € - 200m €</v>
      </c>
      <c r="I8" s="201">
        <f t="shared" si="8"/>
        <v>46387</v>
      </c>
      <c r="J8" s="305" t="str">
        <f t="shared" si="9"/>
        <v>19m € p/m</v>
      </c>
      <c r="K8" s="96">
        <f t="shared" si="10"/>
        <v>34.717777777777776</v>
      </c>
      <c r="L8" s="147">
        <f t="shared" si="11"/>
        <v>38.444444444444443</v>
      </c>
      <c r="M8" s="147">
        <f t="shared" si="12"/>
        <v>40</v>
      </c>
      <c r="N8" s="147">
        <f t="shared" si="13"/>
        <v>86.5</v>
      </c>
      <c r="O8" s="193">
        <f t="shared" si="14"/>
        <v>1</v>
      </c>
      <c r="P8" s="55">
        <f t="shared" si="15"/>
        <v>2</v>
      </c>
      <c r="Q8" s="55">
        <f t="shared" si="16"/>
        <v>0</v>
      </c>
      <c r="R8" s="55">
        <f t="shared" si="17"/>
        <v>2</v>
      </c>
      <c r="S8" s="57">
        <f t="shared" si="18"/>
        <v>5.2023121387283239E-2</v>
      </c>
      <c r="T8" s="57">
        <f t="shared" si="19"/>
        <v>5.2023121387283239E-2</v>
      </c>
      <c r="U8" s="56">
        <f t="shared" si="20"/>
        <v>2</v>
      </c>
      <c r="V8" s="57">
        <f t="shared" si="21"/>
        <v>1730</v>
      </c>
      <c r="W8" s="63">
        <f t="shared" si="22"/>
        <v>5.2023121387283239E-2</v>
      </c>
      <c r="X8" s="56">
        <f t="shared" si="23"/>
        <v>2</v>
      </c>
      <c r="Y8" s="56">
        <f t="shared" si="24"/>
        <v>2</v>
      </c>
      <c r="Z8" s="56">
        <f t="shared" si="25"/>
        <v>0</v>
      </c>
      <c r="AA8" s="60">
        <f t="shared" si="26"/>
        <v>1</v>
      </c>
      <c r="AB8" s="308">
        <f t="shared" si="27"/>
        <v>1</v>
      </c>
      <c r="AC8" s="309">
        <f t="shared" si="28"/>
        <v>2.6011560693641619E-2</v>
      </c>
      <c r="AD8" s="56">
        <f t="shared" si="29"/>
        <v>209</v>
      </c>
      <c r="AE8" s="57">
        <f t="shared" si="30"/>
        <v>5.4364161849710984</v>
      </c>
      <c r="AF8" s="56">
        <f t="shared" si="31"/>
        <v>159</v>
      </c>
      <c r="AG8" s="57">
        <f t="shared" si="32"/>
        <v>4.1358381502890174</v>
      </c>
      <c r="AH8" s="60">
        <f t="shared" si="33"/>
        <v>0.76076555023923442</v>
      </c>
      <c r="AI8" s="56">
        <f t="shared" si="34"/>
        <v>50</v>
      </c>
      <c r="AJ8" s="57">
        <f t="shared" si="35"/>
        <v>1.300578034682081</v>
      </c>
      <c r="AK8" s="60">
        <f t="shared" si="36"/>
        <v>0.23923444976076555</v>
      </c>
      <c r="AL8" s="213">
        <f t="shared" si="37"/>
        <v>69.2</v>
      </c>
      <c r="AM8" s="212">
        <f t="shared" si="38"/>
        <v>1.8</v>
      </c>
      <c r="AN8" s="63">
        <f t="shared" si="39"/>
        <v>6.2200956937799042E-2</v>
      </c>
      <c r="AO8" s="213">
        <f t="shared" si="40"/>
        <v>11</v>
      </c>
      <c r="AP8" s="212">
        <f t="shared" si="41"/>
        <v>0.2861271676300578</v>
      </c>
      <c r="AQ8" s="213">
        <f t="shared" si="42"/>
        <v>5</v>
      </c>
      <c r="AR8" s="212">
        <f t="shared" si="43"/>
        <v>0.13005780346820811</v>
      </c>
      <c r="AS8" s="63">
        <f t="shared" si="44"/>
        <v>0.45454545454545453</v>
      </c>
      <c r="AT8" s="307">
        <f t="shared" si="45"/>
        <v>6.0000000000000005E-2</v>
      </c>
      <c r="AU8" s="306">
        <f t="shared" si="46"/>
        <v>0.78</v>
      </c>
      <c r="AV8" s="310">
        <f t="shared" si="47"/>
        <v>-0.78</v>
      </c>
      <c r="AW8" s="56">
        <f t="shared" si="48"/>
        <v>151</v>
      </c>
      <c r="AX8" s="57">
        <f t="shared" si="49"/>
        <v>3.9277456647398847</v>
      </c>
      <c r="AY8" s="56">
        <f t="shared" si="50"/>
        <v>23</v>
      </c>
      <c r="AZ8" s="57">
        <f t="shared" si="51"/>
        <v>0.59826589595375723</v>
      </c>
      <c r="BA8" s="57">
        <f t="shared" si="52"/>
        <v>4.1098265895953761</v>
      </c>
      <c r="BB8" s="225">
        <f t="shared" si="53"/>
        <v>32</v>
      </c>
      <c r="BC8" s="223">
        <f t="shared" si="54"/>
        <v>0.83236994219653182</v>
      </c>
      <c r="BD8" s="56">
        <f t="shared" si="55"/>
        <v>44</v>
      </c>
      <c r="BE8" s="57">
        <f t="shared" si="56"/>
        <v>1.1445086705202312</v>
      </c>
      <c r="BF8" s="58">
        <f t="shared" si="57"/>
        <v>18</v>
      </c>
      <c r="BG8" s="57">
        <f t="shared" si="58"/>
        <v>0.46820809248554918</v>
      </c>
      <c r="BH8" s="75">
        <f t="shared" si="59"/>
        <v>13</v>
      </c>
      <c r="BI8" s="57">
        <f t="shared" si="60"/>
        <v>0.33815028901734107</v>
      </c>
      <c r="BJ8" s="114">
        <f t="shared" si="61"/>
        <v>0.40909090909090912</v>
      </c>
      <c r="BK8" s="56">
        <f t="shared" si="62"/>
        <v>7</v>
      </c>
      <c r="BL8" s="57">
        <f t="shared" si="63"/>
        <v>0.18208092485549135</v>
      </c>
      <c r="BM8" s="61">
        <f t="shared" si="64"/>
        <v>86</v>
      </c>
      <c r="BN8" s="62">
        <f t="shared" si="65"/>
        <v>2.2369942196531793</v>
      </c>
      <c r="BO8" s="61">
        <f t="shared" si="66"/>
        <v>26</v>
      </c>
      <c r="BP8" s="62">
        <f t="shared" si="67"/>
        <v>0.67630057803468213</v>
      </c>
      <c r="BQ8" s="63">
        <f t="shared" si="68"/>
        <v>0.30232558139534882</v>
      </c>
      <c r="BR8" s="61">
        <f t="shared" si="69"/>
        <v>1606</v>
      </c>
      <c r="BS8" s="62">
        <f t="shared" si="70"/>
        <v>41.774566473988443</v>
      </c>
      <c r="BT8" s="61">
        <f t="shared" si="71"/>
        <v>1491</v>
      </c>
      <c r="BU8" s="62">
        <f t="shared" si="72"/>
        <v>38.783236994219656</v>
      </c>
      <c r="BV8" s="63">
        <f t="shared" si="73"/>
        <v>0.92839352428393529</v>
      </c>
      <c r="BW8" s="56">
        <f t="shared" si="74"/>
        <v>1507</v>
      </c>
      <c r="BX8" s="62">
        <f t="shared" si="75"/>
        <v>38.783236994219656</v>
      </c>
      <c r="BY8" s="61">
        <f t="shared" si="76"/>
        <v>99</v>
      </c>
      <c r="BZ8" s="62">
        <f t="shared" si="77"/>
        <v>2.5751445086705202</v>
      </c>
      <c r="CA8" s="320">
        <f t="shared" si="78"/>
        <v>6.569343065693431E-2</v>
      </c>
      <c r="CB8" s="61">
        <f t="shared" si="79"/>
        <v>115</v>
      </c>
      <c r="CC8" s="62">
        <f t="shared" si="80"/>
        <v>2.9913294797687864</v>
      </c>
      <c r="CD8" s="320">
        <f t="shared" si="81"/>
        <v>7.1606475716064752E-2</v>
      </c>
      <c r="CE8" s="213">
        <f t="shared" si="82"/>
        <v>10</v>
      </c>
      <c r="CF8" s="212">
        <f t="shared" si="83"/>
        <v>0.26011560693641622</v>
      </c>
      <c r="CG8" s="212">
        <f t="shared" si="84"/>
        <v>0.13</v>
      </c>
      <c r="CH8" s="213">
        <f t="shared" si="85"/>
        <v>12</v>
      </c>
      <c r="CI8" s="62">
        <f t="shared" si="86"/>
        <v>0.31213872832369943</v>
      </c>
      <c r="CJ8" s="61">
        <f t="shared" si="87"/>
        <v>326</v>
      </c>
      <c r="CK8" s="62">
        <f t="shared" si="88"/>
        <v>8.4797687861271687</v>
      </c>
      <c r="CL8" s="61">
        <f t="shared" si="89"/>
        <v>203</v>
      </c>
      <c r="CM8" s="62">
        <f t="shared" si="90"/>
        <v>5.2803468208092488</v>
      </c>
      <c r="CN8" s="61">
        <f t="shared" si="91"/>
        <v>123</v>
      </c>
      <c r="CO8" s="63">
        <f t="shared" si="92"/>
        <v>0.62269938650306744</v>
      </c>
      <c r="CP8" s="61">
        <f t="shared" si="93"/>
        <v>186.5</v>
      </c>
      <c r="CQ8" s="62">
        <f t="shared" si="94"/>
        <v>4.851156069364162</v>
      </c>
      <c r="CR8" s="61">
        <f t="shared" si="95"/>
        <v>47.5</v>
      </c>
      <c r="CS8" s="62">
        <f t="shared" si="96"/>
        <v>1.2355491329479769</v>
      </c>
      <c r="CT8" s="61">
        <f t="shared" si="97"/>
        <v>282</v>
      </c>
      <c r="CU8" s="62">
        <f t="shared" si="98"/>
        <v>7.3352601156069364</v>
      </c>
      <c r="CV8" s="61">
        <f t="shared" si="99"/>
        <v>213</v>
      </c>
      <c r="CW8" s="62">
        <f t="shared" si="100"/>
        <v>5.5404624277456653</v>
      </c>
      <c r="CX8" s="63">
        <f t="shared" si="101"/>
        <v>0.75531914893617025</v>
      </c>
      <c r="CY8" s="61">
        <f t="shared" si="102"/>
        <v>92</v>
      </c>
      <c r="CZ8" s="62">
        <f t="shared" si="103"/>
        <v>2.3930635838150289</v>
      </c>
      <c r="DA8" s="61">
        <f t="shared" si="104"/>
        <v>13</v>
      </c>
      <c r="DB8" s="62">
        <f t="shared" si="105"/>
        <v>0.33815028901734107</v>
      </c>
      <c r="DC8" s="63">
        <f t="shared" si="106"/>
        <v>0.32624113475177308</v>
      </c>
      <c r="DD8" s="61">
        <f t="shared" si="107"/>
        <v>1</v>
      </c>
      <c r="DE8" s="61">
        <f t="shared" si="108"/>
        <v>0</v>
      </c>
      <c r="DF8" s="61">
        <f t="shared" si="109"/>
        <v>1</v>
      </c>
      <c r="DG8" s="62">
        <f t="shared" si="110"/>
        <v>2.6011560693641619E-2</v>
      </c>
      <c r="DH8" s="63">
        <f t="shared" si="111"/>
        <v>7.6923076923076927E-2</v>
      </c>
      <c r="DI8" s="61">
        <f t="shared" si="112"/>
        <v>440.33000000000004</v>
      </c>
      <c r="DJ8" s="62">
        <f t="shared" si="113"/>
        <v>11.453670520231215</v>
      </c>
      <c r="DK8" s="61">
        <f t="shared" si="114"/>
        <v>405.1</v>
      </c>
      <c r="DL8" s="62">
        <f t="shared" si="115"/>
        <v>10.53728323699422</v>
      </c>
      <c r="DM8" s="61">
        <f t="shared" si="116"/>
        <v>132.25</v>
      </c>
      <c r="DN8" s="62">
        <f t="shared" si="117"/>
        <v>3.4400289017341041</v>
      </c>
      <c r="DO8" s="63">
        <f t="shared" si="118"/>
        <v>0.91999182431358295</v>
      </c>
      <c r="DP8" s="62">
        <f t="shared" si="119"/>
        <v>366.3</v>
      </c>
      <c r="DQ8" s="62">
        <f t="shared" si="120"/>
        <v>9.528034682080925</v>
      </c>
      <c r="DR8" s="62">
        <f t="shared" si="121"/>
        <v>4.3</v>
      </c>
      <c r="DS8" s="61">
        <f t="shared" si="122"/>
        <v>1</v>
      </c>
      <c r="DT8" s="62">
        <f t="shared" si="123"/>
        <v>2.6011560693641619E-2</v>
      </c>
      <c r="DU8" s="61">
        <f t="shared" si="124"/>
        <v>191</v>
      </c>
      <c r="DV8" s="62">
        <f t="shared" si="125"/>
        <v>4.9682080924855496</v>
      </c>
      <c r="DW8" s="61">
        <f t="shared" si="126"/>
        <v>434.42222222222222</v>
      </c>
      <c r="DX8" s="62">
        <f t="shared" si="127"/>
        <v>11.3</v>
      </c>
      <c r="DY8" s="62">
        <f t="shared" si="128"/>
        <v>6.84</v>
      </c>
      <c r="DZ8" s="302"/>
      <c r="EA8" s="298" t="s">
        <v>687</v>
      </c>
      <c r="EB8" s="298" t="s">
        <v>682</v>
      </c>
      <c r="EC8" s="298">
        <v>37</v>
      </c>
      <c r="ED8" s="298" t="s">
        <v>779</v>
      </c>
      <c r="EE8" s="298" t="s">
        <v>669</v>
      </c>
      <c r="EF8" s="298" t="s">
        <v>13</v>
      </c>
      <c r="EG8" s="298" t="s">
        <v>644</v>
      </c>
      <c r="EH8" s="299">
        <v>46387</v>
      </c>
      <c r="EI8" s="298" t="s">
        <v>659</v>
      </c>
      <c r="EJ8" s="298">
        <v>3460</v>
      </c>
      <c r="EK8" s="298">
        <v>40</v>
      </c>
      <c r="EL8" s="298">
        <v>2</v>
      </c>
      <c r="EM8" s="298">
        <v>1</v>
      </c>
      <c r="EN8" s="298">
        <v>2</v>
      </c>
      <c r="EO8" s="298">
        <v>0</v>
      </c>
      <c r="EP8" s="298">
        <v>1</v>
      </c>
      <c r="EQ8" s="298">
        <v>0</v>
      </c>
      <c r="ER8" s="298">
        <v>86</v>
      </c>
      <c r="ES8" s="298">
        <v>26</v>
      </c>
      <c r="ET8" s="298">
        <v>159</v>
      </c>
      <c r="EU8" s="298">
        <v>209</v>
      </c>
      <c r="EV8" s="298">
        <v>1.8</v>
      </c>
      <c r="EW8" s="298">
        <v>31</v>
      </c>
      <c r="EX8" s="298">
        <v>18</v>
      </c>
      <c r="EY8" s="298">
        <v>29</v>
      </c>
      <c r="EZ8" s="298">
        <v>23</v>
      </c>
      <c r="FA8" s="298">
        <v>11.3</v>
      </c>
      <c r="FB8" s="298">
        <v>7</v>
      </c>
      <c r="FC8" s="298">
        <v>99</v>
      </c>
      <c r="FD8" s="298">
        <v>13</v>
      </c>
      <c r="FE8" s="298">
        <v>32</v>
      </c>
      <c r="FF8" s="298" t="s">
        <v>1047</v>
      </c>
      <c r="FG8" s="298">
        <v>4.3</v>
      </c>
      <c r="FH8" s="298">
        <v>1</v>
      </c>
      <c r="FI8" s="298">
        <v>99</v>
      </c>
      <c r="FJ8" s="298">
        <v>1606</v>
      </c>
      <c r="FK8" s="298">
        <v>1491</v>
      </c>
      <c r="FL8" s="298">
        <v>2</v>
      </c>
      <c r="FM8" s="298">
        <v>13</v>
      </c>
      <c r="FN8" s="298">
        <v>7</v>
      </c>
      <c r="FO8" s="298">
        <v>2</v>
      </c>
      <c r="FP8" s="298">
        <v>2</v>
      </c>
      <c r="FQ8" s="298" t="s">
        <v>963</v>
      </c>
      <c r="FR8" s="298" t="s">
        <v>943</v>
      </c>
      <c r="FS8" s="298">
        <v>10</v>
      </c>
      <c r="FT8" s="298">
        <v>2</v>
      </c>
      <c r="FU8" s="303">
        <v>6.84</v>
      </c>
    </row>
    <row r="9" spans="1:184" ht="24.95" customHeight="1" thickBot="1" x14ac:dyDescent="0.3">
      <c r="A9" s="29" t="str">
        <f t="shared" si="0"/>
        <v>8º</v>
      </c>
      <c r="B9" s="101" t="str">
        <f t="shared" si="1"/>
        <v>Marcos Victor</v>
      </c>
      <c r="C9" s="86" t="str">
        <f t="shared" si="2"/>
        <v>BRA</v>
      </c>
      <c r="D9" s="99" t="str">
        <f t="shared" si="3"/>
        <v>Somente Pé Direito</v>
      </c>
      <c r="E9" s="67" t="str">
        <f t="shared" si="4"/>
        <v>Bahia</v>
      </c>
      <c r="F9" s="168">
        <f t="shared" si="5"/>
        <v>1.84</v>
      </c>
      <c r="G9" s="171">
        <f t="shared" si="6"/>
        <v>24</v>
      </c>
      <c r="H9" s="68" t="str">
        <f t="shared" si="7"/>
        <v>400m € - 4,1M €</v>
      </c>
      <c r="I9" s="201">
        <f t="shared" si="8"/>
        <v>47118</v>
      </c>
      <c r="J9" s="305" t="str">
        <f t="shared" si="9"/>
        <v>5,5m € p/m</v>
      </c>
      <c r="K9" s="96">
        <f t="shared" si="10"/>
        <v>34.717777777777776</v>
      </c>
      <c r="L9" s="147">
        <f t="shared" si="11"/>
        <v>18.366666666666667</v>
      </c>
      <c r="M9" s="147">
        <f t="shared" si="12"/>
        <v>21</v>
      </c>
      <c r="N9" s="147">
        <f t="shared" si="13"/>
        <v>78.714285714285708</v>
      </c>
      <c r="O9" s="193">
        <f t="shared" si="14"/>
        <v>0.81</v>
      </c>
      <c r="P9" s="55">
        <f t="shared" si="15"/>
        <v>1</v>
      </c>
      <c r="Q9" s="55">
        <f t="shared" si="16"/>
        <v>1</v>
      </c>
      <c r="R9" s="55">
        <f t="shared" si="17"/>
        <v>2</v>
      </c>
      <c r="S9" s="57">
        <f t="shared" si="18"/>
        <v>5.4446460980036297E-2</v>
      </c>
      <c r="T9" s="57">
        <f t="shared" si="19"/>
        <v>0.10889292196007259</v>
      </c>
      <c r="U9" s="56">
        <f t="shared" si="20"/>
        <v>0</v>
      </c>
      <c r="V9" s="57">
        <f t="shared" si="21"/>
        <v>5400</v>
      </c>
      <c r="W9" s="63">
        <f t="shared" si="22"/>
        <v>0</v>
      </c>
      <c r="X9" s="56">
        <f t="shared" si="23"/>
        <v>0</v>
      </c>
      <c r="Y9" s="56">
        <f t="shared" si="24"/>
        <v>0</v>
      </c>
      <c r="Z9" s="56">
        <f t="shared" si="25"/>
        <v>0</v>
      </c>
      <c r="AA9" s="60">
        <f t="shared" si="26"/>
        <v>9.9999999999999995E-8</v>
      </c>
      <c r="AB9" s="308">
        <f t="shared" si="27"/>
        <v>0</v>
      </c>
      <c r="AC9" s="309">
        <f t="shared" si="28"/>
        <v>0</v>
      </c>
      <c r="AD9" s="56">
        <f t="shared" si="29"/>
        <v>115</v>
      </c>
      <c r="AE9" s="57">
        <f t="shared" si="30"/>
        <v>6.2613430127041738</v>
      </c>
      <c r="AF9" s="56">
        <f t="shared" si="31"/>
        <v>84</v>
      </c>
      <c r="AG9" s="57">
        <f t="shared" si="32"/>
        <v>4.5735027223230489</v>
      </c>
      <c r="AH9" s="60">
        <f t="shared" si="33"/>
        <v>0.73043478260869565</v>
      </c>
      <c r="AI9" s="56">
        <f t="shared" si="34"/>
        <v>31</v>
      </c>
      <c r="AJ9" s="57">
        <f t="shared" si="35"/>
        <v>1.6878402903811252</v>
      </c>
      <c r="AK9" s="60">
        <f t="shared" si="36"/>
        <v>0.26956521739130435</v>
      </c>
      <c r="AL9" s="213">
        <f t="shared" si="37"/>
        <v>34.896666666666668</v>
      </c>
      <c r="AM9" s="212">
        <f t="shared" si="38"/>
        <v>1.9</v>
      </c>
      <c r="AN9" s="63">
        <f t="shared" si="39"/>
        <v>9.5652173913043481E-2</v>
      </c>
      <c r="AO9" s="213">
        <f t="shared" si="40"/>
        <v>11</v>
      </c>
      <c r="AP9" s="212">
        <f t="shared" si="41"/>
        <v>0.59891107078039929</v>
      </c>
      <c r="AQ9" s="213">
        <f t="shared" si="42"/>
        <v>6</v>
      </c>
      <c r="AR9" s="212">
        <f t="shared" si="43"/>
        <v>0.32667876588021777</v>
      </c>
      <c r="AS9" s="63">
        <f t="shared" si="44"/>
        <v>0.54545454545454541</v>
      </c>
      <c r="AT9" s="307">
        <f t="shared" si="45"/>
        <v>7.0000000000000007E-2</v>
      </c>
      <c r="AU9" s="306">
        <f t="shared" si="46"/>
        <v>0.77</v>
      </c>
      <c r="AV9" s="310">
        <f t="shared" si="47"/>
        <v>0.22999999999999998</v>
      </c>
      <c r="AW9" s="56">
        <f t="shared" si="48"/>
        <v>97</v>
      </c>
      <c r="AX9" s="57">
        <f t="shared" si="49"/>
        <v>5.2813067150635211</v>
      </c>
      <c r="AY9" s="56">
        <f t="shared" si="50"/>
        <v>18</v>
      </c>
      <c r="AZ9" s="57">
        <f t="shared" si="51"/>
        <v>0.98003629764065336</v>
      </c>
      <c r="BA9" s="57">
        <f t="shared" si="52"/>
        <v>5.4446460980036298</v>
      </c>
      <c r="BB9" s="225">
        <f t="shared" si="53"/>
        <v>21</v>
      </c>
      <c r="BC9" s="223">
        <f t="shared" si="54"/>
        <v>1.1433756805807622</v>
      </c>
      <c r="BD9" s="56">
        <f t="shared" si="55"/>
        <v>21</v>
      </c>
      <c r="BE9" s="57">
        <f t="shared" si="56"/>
        <v>1.1433756805807622</v>
      </c>
      <c r="BF9" s="58">
        <f t="shared" si="57"/>
        <v>10</v>
      </c>
      <c r="BG9" s="57">
        <f t="shared" si="58"/>
        <v>0.54446460980036293</v>
      </c>
      <c r="BH9" s="75">
        <f t="shared" si="59"/>
        <v>5</v>
      </c>
      <c r="BI9" s="57">
        <f t="shared" si="60"/>
        <v>0.27223230490018147</v>
      </c>
      <c r="BJ9" s="114">
        <f t="shared" si="61"/>
        <v>0.47619047619047616</v>
      </c>
      <c r="BK9" s="56">
        <f t="shared" si="62"/>
        <v>3</v>
      </c>
      <c r="BL9" s="57">
        <f t="shared" si="63"/>
        <v>0.16333938294010888</v>
      </c>
      <c r="BM9" s="61">
        <f t="shared" si="64"/>
        <v>53</v>
      </c>
      <c r="BN9" s="62">
        <f t="shared" si="65"/>
        <v>2.8856624319419235</v>
      </c>
      <c r="BO9" s="61">
        <f t="shared" si="66"/>
        <v>15</v>
      </c>
      <c r="BP9" s="62">
        <f t="shared" si="67"/>
        <v>0.8166969147005444</v>
      </c>
      <c r="BQ9" s="63">
        <f t="shared" si="68"/>
        <v>0.28301886792452829</v>
      </c>
      <c r="BR9" s="61">
        <f t="shared" si="69"/>
        <v>863</v>
      </c>
      <c r="BS9" s="62">
        <f t="shared" si="70"/>
        <v>46.987295825771326</v>
      </c>
      <c r="BT9" s="61">
        <f t="shared" si="71"/>
        <v>785</v>
      </c>
      <c r="BU9" s="62">
        <f t="shared" si="72"/>
        <v>42.740471869328495</v>
      </c>
      <c r="BV9" s="63">
        <f t="shared" si="73"/>
        <v>0.90961761297798382</v>
      </c>
      <c r="BW9" s="56">
        <f t="shared" si="74"/>
        <v>805</v>
      </c>
      <c r="BX9" s="62">
        <f t="shared" si="75"/>
        <v>42.740471869328495</v>
      </c>
      <c r="BY9" s="61">
        <f t="shared" si="76"/>
        <v>58</v>
      </c>
      <c r="BZ9" s="62">
        <f t="shared" si="77"/>
        <v>3.1578947368421053</v>
      </c>
      <c r="CA9" s="320">
        <f t="shared" si="78"/>
        <v>7.2049689440993783E-2</v>
      </c>
      <c r="CB9" s="61">
        <f t="shared" si="79"/>
        <v>78</v>
      </c>
      <c r="CC9" s="62">
        <f t="shared" si="80"/>
        <v>4.2468239564428307</v>
      </c>
      <c r="CD9" s="320">
        <f t="shared" si="81"/>
        <v>9.0382387022016217E-2</v>
      </c>
      <c r="CE9" s="213">
        <f t="shared" si="82"/>
        <v>4</v>
      </c>
      <c r="CF9" s="212">
        <f t="shared" si="83"/>
        <v>0.21778584392014519</v>
      </c>
      <c r="CG9" s="212">
        <f t="shared" si="84"/>
        <v>0.16250000000000001</v>
      </c>
      <c r="CH9" s="213">
        <f t="shared" si="85"/>
        <v>5</v>
      </c>
      <c r="CI9" s="62">
        <f t="shared" si="86"/>
        <v>0.27223230490018147</v>
      </c>
      <c r="CJ9" s="61">
        <f t="shared" si="87"/>
        <v>183</v>
      </c>
      <c r="CK9" s="62">
        <f t="shared" si="88"/>
        <v>9.9637023593466427</v>
      </c>
      <c r="CL9" s="61">
        <f t="shared" si="89"/>
        <v>109</v>
      </c>
      <c r="CM9" s="62">
        <f t="shared" si="90"/>
        <v>5.9346642468239565</v>
      </c>
      <c r="CN9" s="61">
        <f t="shared" si="91"/>
        <v>74</v>
      </c>
      <c r="CO9" s="63">
        <f t="shared" si="92"/>
        <v>0.59562841530054644</v>
      </c>
      <c r="CP9" s="61">
        <f t="shared" si="93"/>
        <v>119.5</v>
      </c>
      <c r="CQ9" s="62">
        <f t="shared" si="94"/>
        <v>6.5063520871143377</v>
      </c>
      <c r="CR9" s="61">
        <f t="shared" si="95"/>
        <v>26.5</v>
      </c>
      <c r="CS9" s="62">
        <f t="shared" si="96"/>
        <v>1.4428312159709618</v>
      </c>
      <c r="CT9" s="61">
        <f t="shared" si="97"/>
        <v>155</v>
      </c>
      <c r="CU9" s="62">
        <f t="shared" si="98"/>
        <v>8.4392014519056264</v>
      </c>
      <c r="CV9" s="61">
        <f t="shared" si="99"/>
        <v>116</v>
      </c>
      <c r="CW9" s="62">
        <f t="shared" si="100"/>
        <v>6.3157894736842106</v>
      </c>
      <c r="CX9" s="63">
        <f t="shared" si="101"/>
        <v>0.74838709677419357</v>
      </c>
      <c r="CY9" s="61">
        <f t="shared" si="102"/>
        <v>55</v>
      </c>
      <c r="CZ9" s="62">
        <f t="shared" si="103"/>
        <v>2.9945553539019962</v>
      </c>
      <c r="DA9" s="61">
        <f t="shared" si="104"/>
        <v>6</v>
      </c>
      <c r="DB9" s="62">
        <f t="shared" si="105"/>
        <v>0.32667876588021777</v>
      </c>
      <c r="DC9" s="63">
        <f t="shared" si="106"/>
        <v>0.35483870967741937</v>
      </c>
      <c r="DD9" s="61">
        <f t="shared" si="107"/>
        <v>1</v>
      </c>
      <c r="DE9" s="61">
        <f t="shared" si="108"/>
        <v>0</v>
      </c>
      <c r="DF9" s="61">
        <f t="shared" si="109"/>
        <v>1</v>
      </c>
      <c r="DG9" s="62">
        <f t="shared" si="110"/>
        <v>5.4446460980036297E-2</v>
      </c>
      <c r="DH9" s="63">
        <f t="shared" si="111"/>
        <v>0.16666666666666666</v>
      </c>
      <c r="DI9" s="61">
        <f t="shared" si="112"/>
        <v>255.32999999999998</v>
      </c>
      <c r="DJ9" s="62">
        <f t="shared" si="113"/>
        <v>13.901814882032667</v>
      </c>
      <c r="DK9" s="61">
        <f t="shared" si="114"/>
        <v>233.94833333333332</v>
      </c>
      <c r="DL9" s="62">
        <f t="shared" si="115"/>
        <v>12.737658802177858</v>
      </c>
      <c r="DM9" s="61">
        <f t="shared" si="116"/>
        <v>85.25</v>
      </c>
      <c r="DN9" s="62">
        <f t="shared" si="117"/>
        <v>4.6415607985480944</v>
      </c>
      <c r="DO9" s="63">
        <f t="shared" si="118"/>
        <v>0.91625869789422842</v>
      </c>
      <c r="DP9" s="62">
        <f t="shared" si="119"/>
        <v>187.3</v>
      </c>
      <c r="DQ9" s="62">
        <f t="shared" si="120"/>
        <v>10.197822141560799</v>
      </c>
      <c r="DR9" s="62">
        <f t="shared" si="121"/>
        <v>4.4000000000000004</v>
      </c>
      <c r="DS9" s="61">
        <f t="shared" si="122"/>
        <v>0</v>
      </c>
      <c r="DT9" s="62">
        <f t="shared" si="123"/>
        <v>0</v>
      </c>
      <c r="DU9" s="61">
        <f t="shared" si="124"/>
        <v>120</v>
      </c>
      <c r="DV9" s="62">
        <f t="shared" si="125"/>
        <v>6.5335753176043552</v>
      </c>
      <c r="DW9" s="61">
        <f t="shared" si="126"/>
        <v>176.32</v>
      </c>
      <c r="DX9" s="62">
        <f t="shared" si="127"/>
        <v>9.6</v>
      </c>
      <c r="DY9" s="62">
        <f t="shared" si="128"/>
        <v>7.01</v>
      </c>
      <c r="DZ9" s="300" t="s">
        <v>640</v>
      </c>
      <c r="EA9" s="296" t="s">
        <v>1001</v>
      </c>
      <c r="EB9" s="296" t="s">
        <v>574</v>
      </c>
      <c r="EC9" s="296">
        <v>24</v>
      </c>
      <c r="ED9" s="296" t="s">
        <v>949</v>
      </c>
      <c r="EE9" s="296" t="s">
        <v>771</v>
      </c>
      <c r="EF9" s="296" t="s">
        <v>13</v>
      </c>
      <c r="EG9" s="296" t="s">
        <v>645</v>
      </c>
      <c r="EH9" s="297">
        <v>47118</v>
      </c>
      <c r="EI9" s="296" t="s">
        <v>580</v>
      </c>
      <c r="EJ9" s="296">
        <v>1653</v>
      </c>
      <c r="EK9" s="296" t="s">
        <v>979</v>
      </c>
      <c r="EL9" s="296">
        <v>0</v>
      </c>
      <c r="EM9" s="296">
        <v>0</v>
      </c>
      <c r="EN9" s="296">
        <v>1</v>
      </c>
      <c r="EO9" s="296">
        <v>1</v>
      </c>
      <c r="EP9" s="296">
        <v>1</v>
      </c>
      <c r="EQ9" s="296">
        <v>0</v>
      </c>
      <c r="ER9" s="296">
        <v>53</v>
      </c>
      <c r="ES9" s="296">
        <v>15</v>
      </c>
      <c r="ET9" s="296">
        <v>84</v>
      </c>
      <c r="EU9" s="296">
        <v>115</v>
      </c>
      <c r="EV9" s="296">
        <v>1.9</v>
      </c>
      <c r="EW9" s="296">
        <v>15</v>
      </c>
      <c r="EX9" s="296">
        <v>10</v>
      </c>
      <c r="EY9" s="296">
        <v>19</v>
      </c>
      <c r="EZ9" s="296">
        <v>18</v>
      </c>
      <c r="FA9" s="296">
        <v>9.6</v>
      </c>
      <c r="FB9" s="296">
        <v>3</v>
      </c>
      <c r="FC9" s="296">
        <v>60</v>
      </c>
      <c r="FD9" s="296">
        <v>6</v>
      </c>
      <c r="FE9" s="296">
        <v>21</v>
      </c>
      <c r="FF9" s="296" t="s">
        <v>971</v>
      </c>
      <c r="FG9" s="296">
        <v>4.4000000000000004</v>
      </c>
      <c r="FH9" s="296">
        <v>0</v>
      </c>
      <c r="FI9" s="296">
        <v>58</v>
      </c>
      <c r="FJ9" s="296">
        <v>863</v>
      </c>
      <c r="FK9" s="296">
        <v>785</v>
      </c>
      <c r="FL9" s="296">
        <v>1</v>
      </c>
      <c r="FM9" s="296">
        <v>11</v>
      </c>
      <c r="FN9" s="296">
        <v>6</v>
      </c>
      <c r="FO9" s="296">
        <v>0</v>
      </c>
      <c r="FP9" s="296">
        <v>0</v>
      </c>
      <c r="FQ9" s="296" t="s">
        <v>998</v>
      </c>
      <c r="FR9" s="296" t="s">
        <v>1002</v>
      </c>
      <c r="FS9" s="296">
        <v>4</v>
      </c>
      <c r="FT9" s="296">
        <v>0</v>
      </c>
      <c r="FU9" s="301">
        <v>7.01</v>
      </c>
    </row>
    <row r="10" spans="1:184" ht="24.95" customHeight="1" thickBot="1" x14ac:dyDescent="0.3">
      <c r="A10" s="29" t="str">
        <f t="shared" si="0"/>
        <v>9º</v>
      </c>
      <c r="B10" s="101" t="str">
        <f t="shared" si="1"/>
        <v>Pedro Henrique</v>
      </c>
      <c r="C10" s="86" t="str">
        <f t="shared" si="2"/>
        <v>BRA</v>
      </c>
      <c r="D10" s="99" t="str">
        <f t="shared" si="3"/>
        <v>Pé Direito</v>
      </c>
      <c r="E10" s="67" t="str">
        <f t="shared" si="4"/>
        <v>Bragantino</v>
      </c>
      <c r="F10" s="168">
        <f t="shared" si="5"/>
        <v>1.88</v>
      </c>
      <c r="G10" s="171">
        <f t="shared" si="6"/>
        <v>30</v>
      </c>
      <c r="H10" s="68" t="str">
        <f t="shared" si="7"/>
        <v>3,8M € - 7,4M €</v>
      </c>
      <c r="I10" s="201">
        <f t="shared" si="8"/>
        <v>46752</v>
      </c>
      <c r="J10" s="305" t="str">
        <f t="shared" si="9"/>
        <v>35m € p/m</v>
      </c>
      <c r="K10" s="96">
        <f t="shared" si="10"/>
        <v>34.717777777777776</v>
      </c>
      <c r="L10" s="147">
        <f t="shared" si="11"/>
        <v>44.477777777777774</v>
      </c>
      <c r="M10" s="147">
        <f t="shared" si="12"/>
        <v>46</v>
      </c>
      <c r="N10" s="147">
        <f t="shared" si="13"/>
        <v>87.021739130434781</v>
      </c>
      <c r="O10" s="193">
        <f t="shared" si="14"/>
        <v>0.98</v>
      </c>
      <c r="P10" s="55">
        <f t="shared" si="15"/>
        <v>4</v>
      </c>
      <c r="Q10" s="55">
        <f t="shared" si="16"/>
        <v>2</v>
      </c>
      <c r="R10" s="55">
        <f t="shared" si="17"/>
        <v>6</v>
      </c>
      <c r="S10" s="57">
        <f t="shared" si="18"/>
        <v>8.9932550587059706E-2</v>
      </c>
      <c r="T10" s="57">
        <f t="shared" si="19"/>
        <v>0.13489882588058957</v>
      </c>
      <c r="U10" s="56">
        <f t="shared" si="20"/>
        <v>3</v>
      </c>
      <c r="V10" s="57">
        <f t="shared" si="21"/>
        <v>1334.3333333333333</v>
      </c>
      <c r="W10" s="63">
        <f t="shared" si="22"/>
        <v>6.7449412940294787E-2</v>
      </c>
      <c r="X10" s="56">
        <f t="shared" si="23"/>
        <v>0</v>
      </c>
      <c r="Y10" s="56">
        <f t="shared" si="24"/>
        <v>0</v>
      </c>
      <c r="Z10" s="56">
        <f t="shared" si="25"/>
        <v>0</v>
      </c>
      <c r="AA10" s="60">
        <f t="shared" si="26"/>
        <v>9.9999999999999995E-8</v>
      </c>
      <c r="AB10" s="308">
        <f t="shared" si="27"/>
        <v>0</v>
      </c>
      <c r="AC10" s="309">
        <f t="shared" si="28"/>
        <v>0</v>
      </c>
      <c r="AD10" s="56">
        <f t="shared" si="29"/>
        <v>258</v>
      </c>
      <c r="AE10" s="57">
        <f t="shared" si="30"/>
        <v>5.800649512865351</v>
      </c>
      <c r="AF10" s="56">
        <f t="shared" si="31"/>
        <v>198</v>
      </c>
      <c r="AG10" s="57">
        <f t="shared" si="32"/>
        <v>4.4516612540594558</v>
      </c>
      <c r="AH10" s="60">
        <f t="shared" si="33"/>
        <v>0.76744186046511631</v>
      </c>
      <c r="AI10" s="56">
        <f t="shared" si="34"/>
        <v>60</v>
      </c>
      <c r="AJ10" s="57">
        <f t="shared" si="35"/>
        <v>1.3489882588058957</v>
      </c>
      <c r="AK10" s="60">
        <f t="shared" si="36"/>
        <v>0.23255813953488372</v>
      </c>
      <c r="AL10" s="213">
        <f t="shared" si="37"/>
        <v>62.268888888888881</v>
      </c>
      <c r="AM10" s="212">
        <f t="shared" si="38"/>
        <v>1.4</v>
      </c>
      <c r="AN10" s="63">
        <f t="shared" si="39"/>
        <v>0.13178294573643412</v>
      </c>
      <c r="AO10" s="213">
        <f t="shared" si="40"/>
        <v>34</v>
      </c>
      <c r="AP10" s="212">
        <f t="shared" si="41"/>
        <v>0.76442667999000757</v>
      </c>
      <c r="AQ10" s="213">
        <f t="shared" si="42"/>
        <v>11</v>
      </c>
      <c r="AR10" s="212">
        <f t="shared" si="43"/>
        <v>0.24731451411441421</v>
      </c>
      <c r="AS10" s="63">
        <f t="shared" si="44"/>
        <v>0.3235294117647059</v>
      </c>
      <c r="AT10" s="307">
        <f t="shared" si="45"/>
        <v>8.2647058823529407E-2</v>
      </c>
      <c r="AU10" s="306">
        <f t="shared" si="46"/>
        <v>2.81</v>
      </c>
      <c r="AV10" s="310">
        <f t="shared" si="47"/>
        <v>1.19</v>
      </c>
      <c r="AW10" s="56">
        <f t="shared" si="48"/>
        <v>163</v>
      </c>
      <c r="AX10" s="57">
        <f t="shared" si="49"/>
        <v>3.6647514364226832</v>
      </c>
      <c r="AY10" s="56">
        <f t="shared" si="50"/>
        <v>26</v>
      </c>
      <c r="AZ10" s="57">
        <f t="shared" si="51"/>
        <v>0.58456157881588811</v>
      </c>
      <c r="BA10" s="57">
        <f t="shared" si="52"/>
        <v>3.8895828128903327</v>
      </c>
      <c r="BB10" s="225">
        <f t="shared" si="53"/>
        <v>46</v>
      </c>
      <c r="BC10" s="223">
        <f t="shared" si="54"/>
        <v>1.0342243317511868</v>
      </c>
      <c r="BD10" s="56">
        <f t="shared" si="55"/>
        <v>57</v>
      </c>
      <c r="BE10" s="57">
        <f t="shared" si="56"/>
        <v>1.281538845865601</v>
      </c>
      <c r="BF10" s="58">
        <f t="shared" si="57"/>
        <v>40</v>
      </c>
      <c r="BG10" s="57">
        <f t="shared" si="58"/>
        <v>0.89932550587059712</v>
      </c>
      <c r="BH10" s="75">
        <f t="shared" si="59"/>
        <v>2</v>
      </c>
      <c r="BI10" s="57">
        <f t="shared" si="60"/>
        <v>4.4966275293529853E-2</v>
      </c>
      <c r="BJ10" s="114">
        <f t="shared" si="61"/>
        <v>0.70175438596491224</v>
      </c>
      <c r="BK10" s="56">
        <f t="shared" si="62"/>
        <v>10</v>
      </c>
      <c r="BL10" s="57">
        <f t="shared" si="63"/>
        <v>0.22483137646764928</v>
      </c>
      <c r="BM10" s="61">
        <f t="shared" si="64"/>
        <v>93</v>
      </c>
      <c r="BN10" s="62">
        <f t="shared" si="65"/>
        <v>2.0909318011491385</v>
      </c>
      <c r="BO10" s="61">
        <f t="shared" si="66"/>
        <v>35</v>
      </c>
      <c r="BP10" s="62">
        <f t="shared" si="67"/>
        <v>0.78690981763677248</v>
      </c>
      <c r="BQ10" s="63">
        <f t="shared" si="68"/>
        <v>0.37634408602150538</v>
      </c>
      <c r="BR10" s="61">
        <f t="shared" si="69"/>
        <v>2160</v>
      </c>
      <c r="BS10" s="62">
        <f t="shared" si="70"/>
        <v>48.563577317012246</v>
      </c>
      <c r="BT10" s="61">
        <f t="shared" si="71"/>
        <v>1989</v>
      </c>
      <c r="BU10" s="62">
        <f t="shared" si="72"/>
        <v>44.71896077941544</v>
      </c>
      <c r="BV10" s="63">
        <f t="shared" si="73"/>
        <v>0.92083333333333328</v>
      </c>
      <c r="BW10" s="56">
        <f t="shared" si="74"/>
        <v>2013</v>
      </c>
      <c r="BX10" s="62">
        <f t="shared" si="75"/>
        <v>44.71896077941544</v>
      </c>
      <c r="BY10" s="61">
        <f t="shared" si="76"/>
        <v>147</v>
      </c>
      <c r="BZ10" s="62">
        <f t="shared" si="77"/>
        <v>3.3050212340744443</v>
      </c>
      <c r="CA10" s="320">
        <f t="shared" si="78"/>
        <v>7.3025335320417287E-2</v>
      </c>
      <c r="CB10" s="61">
        <f t="shared" si="79"/>
        <v>171</v>
      </c>
      <c r="CC10" s="62">
        <f t="shared" si="80"/>
        <v>3.8446165375968029</v>
      </c>
      <c r="CD10" s="320">
        <f t="shared" si="81"/>
        <v>7.9166666666666663E-2</v>
      </c>
      <c r="CE10" s="213">
        <f t="shared" si="82"/>
        <v>9</v>
      </c>
      <c r="CF10" s="212">
        <f t="shared" si="83"/>
        <v>0.20234823882088435</v>
      </c>
      <c r="CG10" s="212">
        <f t="shared" si="84"/>
        <v>0.18000000000000002</v>
      </c>
      <c r="CH10" s="213">
        <f t="shared" si="85"/>
        <v>16</v>
      </c>
      <c r="CI10" s="62">
        <f t="shared" si="86"/>
        <v>0.35973020234823883</v>
      </c>
      <c r="CJ10" s="61">
        <f t="shared" si="87"/>
        <v>393</v>
      </c>
      <c r="CK10" s="62">
        <f t="shared" si="88"/>
        <v>8.8358730951786164</v>
      </c>
      <c r="CL10" s="61">
        <f t="shared" si="89"/>
        <v>273</v>
      </c>
      <c r="CM10" s="62">
        <f t="shared" si="90"/>
        <v>6.1378965775668251</v>
      </c>
      <c r="CN10" s="61">
        <f t="shared" si="91"/>
        <v>120</v>
      </c>
      <c r="CO10" s="63">
        <f t="shared" si="92"/>
        <v>0.69465648854961837</v>
      </c>
      <c r="CP10" s="61">
        <f t="shared" si="93"/>
        <v>214</v>
      </c>
      <c r="CQ10" s="62">
        <f t="shared" si="94"/>
        <v>4.8113914564076943</v>
      </c>
      <c r="CR10" s="61">
        <f t="shared" si="95"/>
        <v>80</v>
      </c>
      <c r="CS10" s="62">
        <f t="shared" si="96"/>
        <v>1.7986510117411942</v>
      </c>
      <c r="CT10" s="61">
        <f t="shared" si="97"/>
        <v>341</v>
      </c>
      <c r="CU10" s="62">
        <f t="shared" si="98"/>
        <v>7.6667499375468404</v>
      </c>
      <c r="CV10" s="61">
        <f t="shared" si="99"/>
        <v>274</v>
      </c>
      <c r="CW10" s="62">
        <f t="shared" si="100"/>
        <v>6.1603797152135904</v>
      </c>
      <c r="CX10" s="63">
        <f t="shared" si="101"/>
        <v>0.80351906158357767</v>
      </c>
      <c r="CY10" s="61">
        <f t="shared" si="102"/>
        <v>88</v>
      </c>
      <c r="CZ10" s="62">
        <f t="shared" si="103"/>
        <v>1.9785161129153137</v>
      </c>
      <c r="DA10" s="61">
        <f t="shared" si="104"/>
        <v>15</v>
      </c>
      <c r="DB10" s="62">
        <f t="shared" si="105"/>
        <v>0.33724706470147392</v>
      </c>
      <c r="DC10" s="63">
        <f t="shared" si="106"/>
        <v>0.25806451612903225</v>
      </c>
      <c r="DD10" s="61">
        <f t="shared" si="107"/>
        <v>1</v>
      </c>
      <c r="DE10" s="61">
        <f t="shared" si="108"/>
        <v>0</v>
      </c>
      <c r="DF10" s="61">
        <f t="shared" si="109"/>
        <v>1</v>
      </c>
      <c r="DG10" s="62">
        <f t="shared" si="110"/>
        <v>2.2483137646764927E-2</v>
      </c>
      <c r="DH10" s="63">
        <f t="shared" si="111"/>
        <v>6.6666666666666666E-2</v>
      </c>
      <c r="DI10" s="61">
        <f t="shared" si="112"/>
        <v>525.32999999999993</v>
      </c>
      <c r="DJ10" s="62">
        <f t="shared" si="113"/>
        <v>11.811066699975019</v>
      </c>
      <c r="DK10" s="61">
        <f t="shared" si="114"/>
        <v>493.13444444444445</v>
      </c>
      <c r="DL10" s="62">
        <f t="shared" si="115"/>
        <v>11.087209592805397</v>
      </c>
      <c r="DM10" s="61">
        <f t="shared" si="116"/>
        <v>187.25</v>
      </c>
      <c r="DN10" s="62">
        <f t="shared" si="117"/>
        <v>4.2099675243567329</v>
      </c>
      <c r="DO10" s="63">
        <f t="shared" si="118"/>
        <v>0.93871365512048521</v>
      </c>
      <c r="DP10" s="62">
        <f t="shared" si="119"/>
        <v>436.7</v>
      </c>
      <c r="DQ10" s="62">
        <f t="shared" si="120"/>
        <v>9.8183862103422435</v>
      </c>
      <c r="DR10" s="62">
        <f t="shared" si="121"/>
        <v>4.5999999999999996</v>
      </c>
      <c r="DS10" s="61">
        <f t="shared" si="122"/>
        <v>3</v>
      </c>
      <c r="DT10" s="62">
        <f t="shared" si="123"/>
        <v>6.7449412940294787E-2</v>
      </c>
      <c r="DU10" s="61">
        <f t="shared" si="124"/>
        <v>248</v>
      </c>
      <c r="DV10" s="62">
        <f t="shared" si="125"/>
        <v>5.575818136397702</v>
      </c>
      <c r="DW10" s="61">
        <f t="shared" si="126"/>
        <v>480.36</v>
      </c>
      <c r="DX10" s="62">
        <f t="shared" si="127"/>
        <v>10.8</v>
      </c>
      <c r="DY10" s="62">
        <f t="shared" si="128"/>
        <v>6.9</v>
      </c>
      <c r="DZ10" s="302"/>
      <c r="EA10" s="298" t="s">
        <v>696</v>
      </c>
      <c r="EB10" s="298" t="s">
        <v>552</v>
      </c>
      <c r="EC10" s="298">
        <v>30</v>
      </c>
      <c r="ED10" s="298" t="s">
        <v>1042</v>
      </c>
      <c r="EE10" s="298" t="s">
        <v>697</v>
      </c>
      <c r="EF10" s="298" t="s">
        <v>13</v>
      </c>
      <c r="EG10" s="298" t="s">
        <v>644</v>
      </c>
      <c r="EH10" s="299">
        <v>46752</v>
      </c>
      <c r="EI10" s="298" t="s">
        <v>555</v>
      </c>
      <c r="EJ10" s="298">
        <v>4003</v>
      </c>
      <c r="EK10" s="298" t="s">
        <v>906</v>
      </c>
      <c r="EL10" s="298">
        <v>3</v>
      </c>
      <c r="EM10" s="298">
        <v>0</v>
      </c>
      <c r="EN10" s="298">
        <v>4</v>
      </c>
      <c r="EO10" s="298">
        <v>2</v>
      </c>
      <c r="EP10" s="298">
        <v>1</v>
      </c>
      <c r="EQ10" s="298">
        <v>0</v>
      </c>
      <c r="ER10" s="298">
        <v>93</v>
      </c>
      <c r="ES10" s="298">
        <v>35</v>
      </c>
      <c r="ET10" s="298">
        <v>198</v>
      </c>
      <c r="EU10" s="298">
        <v>258</v>
      </c>
      <c r="EV10" s="298">
        <v>1.4</v>
      </c>
      <c r="EW10" s="298">
        <v>42</v>
      </c>
      <c r="EX10" s="298">
        <v>40</v>
      </c>
      <c r="EY10" s="298">
        <v>26</v>
      </c>
      <c r="EZ10" s="298">
        <v>26</v>
      </c>
      <c r="FA10" s="298">
        <v>10.8</v>
      </c>
      <c r="FB10" s="298">
        <v>10</v>
      </c>
      <c r="FC10" s="298">
        <v>111</v>
      </c>
      <c r="FD10" s="298">
        <v>15</v>
      </c>
      <c r="FE10" s="298">
        <v>46</v>
      </c>
      <c r="FF10" s="298" t="s">
        <v>1043</v>
      </c>
      <c r="FG10" s="298">
        <v>4.5999999999999996</v>
      </c>
      <c r="FH10" s="298">
        <v>3</v>
      </c>
      <c r="FI10" s="298">
        <v>147</v>
      </c>
      <c r="FJ10" s="298">
        <v>2160</v>
      </c>
      <c r="FK10" s="298">
        <v>1989</v>
      </c>
      <c r="FL10" s="298">
        <v>7</v>
      </c>
      <c r="FM10" s="298">
        <v>34</v>
      </c>
      <c r="FN10" s="298">
        <v>11</v>
      </c>
      <c r="FO10" s="298">
        <v>0</v>
      </c>
      <c r="FP10" s="298">
        <v>0</v>
      </c>
      <c r="FQ10" s="298" t="s">
        <v>1009</v>
      </c>
      <c r="FR10" s="298" t="s">
        <v>929</v>
      </c>
      <c r="FS10" s="298">
        <v>9</v>
      </c>
      <c r="FT10" s="298">
        <v>0</v>
      </c>
      <c r="FU10" s="303">
        <v>6.9</v>
      </c>
    </row>
    <row r="11" spans="1:184" ht="24.95" customHeight="1" thickBot="1" x14ac:dyDescent="0.3">
      <c r="A11" s="29" t="str">
        <f t="shared" si="0"/>
        <v>10º</v>
      </c>
      <c r="B11" s="101" t="str">
        <f t="shared" si="1"/>
        <v>Thalisson Gabriel</v>
      </c>
      <c r="C11" s="86" t="str">
        <f t="shared" si="2"/>
        <v>BRA</v>
      </c>
      <c r="D11" s="99" t="str">
        <f t="shared" si="3"/>
        <v>Pé Direito</v>
      </c>
      <c r="E11" s="67" t="str">
        <f t="shared" si="4"/>
        <v>Remo</v>
      </c>
      <c r="F11" s="168">
        <f t="shared" si="5"/>
        <v>1.9</v>
      </c>
      <c r="G11" s="171">
        <f t="shared" si="6"/>
        <v>24</v>
      </c>
      <c r="H11" s="68" t="str">
        <f t="shared" si="7"/>
        <v>210m € - 2,1M €</v>
      </c>
      <c r="I11" s="201">
        <f t="shared" si="8"/>
        <v>46752</v>
      </c>
      <c r="J11" s="305" t="str">
        <f t="shared" si="9"/>
        <v>500 € p/m</v>
      </c>
      <c r="K11" s="96">
        <f t="shared" si="10"/>
        <v>34.717777777777776</v>
      </c>
      <c r="L11" s="147">
        <f t="shared" si="11"/>
        <v>27.466666666666665</v>
      </c>
      <c r="M11" s="147">
        <f t="shared" si="12"/>
        <v>30</v>
      </c>
      <c r="N11" s="147">
        <f t="shared" si="13"/>
        <v>82.4</v>
      </c>
      <c r="O11" s="193">
        <f t="shared" si="14"/>
        <v>0.9</v>
      </c>
      <c r="P11" s="55">
        <f t="shared" si="15"/>
        <v>1</v>
      </c>
      <c r="Q11" s="55">
        <f t="shared" si="16"/>
        <v>0</v>
      </c>
      <c r="R11" s="55">
        <f t="shared" si="17"/>
        <v>1</v>
      </c>
      <c r="S11" s="57">
        <f t="shared" si="18"/>
        <v>3.6407766990291267E-2</v>
      </c>
      <c r="T11" s="57">
        <f t="shared" si="19"/>
        <v>3.6407766990291267E-2</v>
      </c>
      <c r="U11" s="56">
        <f t="shared" si="20"/>
        <v>0</v>
      </c>
      <c r="V11" s="57">
        <f t="shared" si="21"/>
        <v>5400</v>
      </c>
      <c r="W11" s="63">
        <f t="shared" si="22"/>
        <v>0</v>
      </c>
      <c r="X11" s="56">
        <f t="shared" si="23"/>
        <v>0</v>
      </c>
      <c r="Y11" s="56">
        <f t="shared" si="24"/>
        <v>0</v>
      </c>
      <c r="Z11" s="56">
        <f t="shared" si="25"/>
        <v>0</v>
      </c>
      <c r="AA11" s="60">
        <f t="shared" si="26"/>
        <v>9.9999999999999995E-8</v>
      </c>
      <c r="AB11" s="308">
        <f t="shared" si="27"/>
        <v>1</v>
      </c>
      <c r="AC11" s="309">
        <f t="shared" si="28"/>
        <v>3.6407766990291267E-2</v>
      </c>
      <c r="AD11" s="56">
        <f t="shared" si="29"/>
        <v>153</v>
      </c>
      <c r="AE11" s="57">
        <f t="shared" si="30"/>
        <v>5.5703883495145634</v>
      </c>
      <c r="AF11" s="56">
        <f t="shared" si="31"/>
        <v>115</v>
      </c>
      <c r="AG11" s="57">
        <f t="shared" si="32"/>
        <v>4.1868932038834954</v>
      </c>
      <c r="AH11" s="60">
        <f t="shared" si="33"/>
        <v>0.75163398692810457</v>
      </c>
      <c r="AI11" s="56">
        <f t="shared" si="34"/>
        <v>38</v>
      </c>
      <c r="AJ11" s="57">
        <f t="shared" si="35"/>
        <v>1.383495145631068</v>
      </c>
      <c r="AK11" s="60">
        <f t="shared" si="36"/>
        <v>0.24836601307189543</v>
      </c>
      <c r="AL11" s="213">
        <f t="shared" si="37"/>
        <v>43.946666666666665</v>
      </c>
      <c r="AM11" s="212">
        <f t="shared" si="38"/>
        <v>1.6</v>
      </c>
      <c r="AN11" s="63">
        <f t="shared" si="39"/>
        <v>5.2287581699346407E-2</v>
      </c>
      <c r="AO11" s="213">
        <f t="shared" si="40"/>
        <v>8</v>
      </c>
      <c r="AP11" s="212">
        <f t="shared" si="41"/>
        <v>0.29126213592233013</v>
      </c>
      <c r="AQ11" s="213">
        <f t="shared" si="42"/>
        <v>4</v>
      </c>
      <c r="AR11" s="212">
        <f t="shared" si="43"/>
        <v>0.14563106796116507</v>
      </c>
      <c r="AS11" s="63">
        <f t="shared" si="44"/>
        <v>0.5</v>
      </c>
      <c r="AT11" s="307">
        <f t="shared" si="45"/>
        <v>0.12</v>
      </c>
      <c r="AU11" s="306">
        <f t="shared" si="46"/>
        <v>0.96</v>
      </c>
      <c r="AV11" s="310">
        <f t="shared" si="47"/>
        <v>4.0000000000000036E-2</v>
      </c>
      <c r="AW11" s="56">
        <f t="shared" si="48"/>
        <v>103</v>
      </c>
      <c r="AX11" s="57">
        <f t="shared" si="49"/>
        <v>3.7500000000000004</v>
      </c>
      <c r="AY11" s="56">
        <f t="shared" si="50"/>
        <v>19</v>
      </c>
      <c r="AZ11" s="57">
        <f t="shared" si="51"/>
        <v>0.69174757281553401</v>
      </c>
      <c r="BA11" s="57">
        <f t="shared" si="52"/>
        <v>3.8592233009708741</v>
      </c>
      <c r="BB11" s="225">
        <f t="shared" si="53"/>
        <v>43</v>
      </c>
      <c r="BC11" s="223">
        <f t="shared" si="54"/>
        <v>1.5655339805825244</v>
      </c>
      <c r="BD11" s="56">
        <f t="shared" si="55"/>
        <v>21</v>
      </c>
      <c r="BE11" s="57">
        <f t="shared" si="56"/>
        <v>0.7645631067961165</v>
      </c>
      <c r="BF11" s="58">
        <f t="shared" si="57"/>
        <v>12</v>
      </c>
      <c r="BG11" s="57">
        <f t="shared" si="58"/>
        <v>0.43689320388349517</v>
      </c>
      <c r="BH11" s="75">
        <f t="shared" si="59"/>
        <v>2</v>
      </c>
      <c r="BI11" s="57">
        <f t="shared" si="60"/>
        <v>7.2815533980582534E-2</v>
      </c>
      <c r="BJ11" s="114">
        <f t="shared" si="61"/>
        <v>0.5714285714285714</v>
      </c>
      <c r="BK11" s="56">
        <f t="shared" si="62"/>
        <v>3</v>
      </c>
      <c r="BL11" s="57">
        <f t="shared" si="63"/>
        <v>0.10922330097087379</v>
      </c>
      <c r="BM11" s="61">
        <f t="shared" si="64"/>
        <v>34</v>
      </c>
      <c r="BN11" s="62">
        <f t="shared" si="65"/>
        <v>1.237864077669903</v>
      </c>
      <c r="BO11" s="61">
        <f t="shared" si="66"/>
        <v>9</v>
      </c>
      <c r="BP11" s="62">
        <f t="shared" si="67"/>
        <v>0.32766990291262138</v>
      </c>
      <c r="BQ11" s="63">
        <f t="shared" si="68"/>
        <v>0.26470588235294118</v>
      </c>
      <c r="BR11" s="61">
        <f t="shared" si="69"/>
        <v>1369</v>
      </c>
      <c r="BS11" s="62">
        <f t="shared" si="70"/>
        <v>49.842233009708742</v>
      </c>
      <c r="BT11" s="61">
        <f t="shared" si="71"/>
        <v>1229</v>
      </c>
      <c r="BU11" s="62">
        <f t="shared" si="72"/>
        <v>44.745145631067963</v>
      </c>
      <c r="BV11" s="63">
        <f t="shared" si="73"/>
        <v>0.8977355734112491</v>
      </c>
      <c r="BW11" s="56">
        <f t="shared" si="74"/>
        <v>1277</v>
      </c>
      <c r="BX11" s="62">
        <f t="shared" si="75"/>
        <v>44.745145631067963</v>
      </c>
      <c r="BY11" s="61">
        <f t="shared" si="76"/>
        <v>92</v>
      </c>
      <c r="BZ11" s="62">
        <f t="shared" si="77"/>
        <v>3.3495145631067964</v>
      </c>
      <c r="CA11" s="320">
        <f t="shared" si="78"/>
        <v>7.204385277995301E-2</v>
      </c>
      <c r="CB11" s="61">
        <f t="shared" si="79"/>
        <v>140</v>
      </c>
      <c r="CC11" s="62">
        <f t="shared" si="80"/>
        <v>5.0970873786407767</v>
      </c>
      <c r="CD11" s="320">
        <f t="shared" si="81"/>
        <v>0.10226442658875091</v>
      </c>
      <c r="CE11" s="213">
        <f t="shared" si="82"/>
        <v>4</v>
      </c>
      <c r="CF11" s="212">
        <f t="shared" si="83"/>
        <v>0.14563106796116507</v>
      </c>
      <c r="CG11" s="212">
        <f t="shared" si="84"/>
        <v>0.16250000000000001</v>
      </c>
      <c r="CH11" s="213">
        <f t="shared" si="85"/>
        <v>5</v>
      </c>
      <c r="CI11" s="62">
        <f t="shared" si="86"/>
        <v>0.18203883495145631</v>
      </c>
      <c r="CJ11" s="61">
        <f t="shared" si="87"/>
        <v>201</v>
      </c>
      <c r="CK11" s="62">
        <f t="shared" si="88"/>
        <v>7.3179611650485441</v>
      </c>
      <c r="CL11" s="61">
        <f t="shared" si="89"/>
        <v>136</v>
      </c>
      <c r="CM11" s="62">
        <f t="shared" si="90"/>
        <v>4.9514563106796121</v>
      </c>
      <c r="CN11" s="61">
        <f t="shared" si="91"/>
        <v>65</v>
      </c>
      <c r="CO11" s="63">
        <f t="shared" si="92"/>
        <v>0.6766169154228856</v>
      </c>
      <c r="CP11" s="61">
        <f t="shared" si="93"/>
        <v>147.5</v>
      </c>
      <c r="CQ11" s="62">
        <f t="shared" si="94"/>
        <v>5.3701456310679614</v>
      </c>
      <c r="CR11" s="61">
        <f t="shared" si="95"/>
        <v>22.5</v>
      </c>
      <c r="CS11" s="62">
        <f t="shared" si="96"/>
        <v>0.81917475728155342</v>
      </c>
      <c r="CT11" s="61">
        <f t="shared" si="97"/>
        <v>196</v>
      </c>
      <c r="CU11" s="62">
        <f t="shared" si="98"/>
        <v>7.1359223300970882</v>
      </c>
      <c r="CV11" s="61">
        <f t="shared" si="99"/>
        <v>152</v>
      </c>
      <c r="CW11" s="62">
        <f t="shared" si="100"/>
        <v>5.5339805825242721</v>
      </c>
      <c r="CX11" s="63">
        <f t="shared" si="101"/>
        <v>0.77551020408163263</v>
      </c>
      <c r="CY11" s="61">
        <f t="shared" si="102"/>
        <v>62</v>
      </c>
      <c r="CZ11" s="62">
        <f t="shared" si="103"/>
        <v>2.2572815533980584</v>
      </c>
      <c r="DA11" s="61">
        <f t="shared" si="104"/>
        <v>7</v>
      </c>
      <c r="DB11" s="62">
        <f t="shared" si="105"/>
        <v>0.25485436893203883</v>
      </c>
      <c r="DC11" s="63">
        <f t="shared" si="106"/>
        <v>0.31632653061224492</v>
      </c>
      <c r="DD11" s="61">
        <f t="shared" si="107"/>
        <v>2</v>
      </c>
      <c r="DE11" s="61">
        <f t="shared" si="108"/>
        <v>0</v>
      </c>
      <c r="DF11" s="61">
        <f t="shared" si="109"/>
        <v>2</v>
      </c>
      <c r="DG11" s="62">
        <f t="shared" si="110"/>
        <v>7.2815533980582534E-2</v>
      </c>
      <c r="DH11" s="63">
        <f t="shared" si="111"/>
        <v>0.2857142857142857</v>
      </c>
      <c r="DI11" s="61">
        <f t="shared" si="112"/>
        <v>325.65999999999997</v>
      </c>
      <c r="DJ11" s="62">
        <f t="shared" si="113"/>
        <v>11.856553398058251</v>
      </c>
      <c r="DK11" s="61">
        <f t="shared" si="114"/>
        <v>299.47333333333336</v>
      </c>
      <c r="DL11" s="62">
        <f t="shared" si="115"/>
        <v>10.903155339805826</v>
      </c>
      <c r="DM11" s="61">
        <f t="shared" si="116"/>
        <v>152.5</v>
      </c>
      <c r="DN11" s="62">
        <f t="shared" si="117"/>
        <v>5.5521844660194182</v>
      </c>
      <c r="DO11" s="63">
        <f t="shared" si="118"/>
        <v>0.91958893733750968</v>
      </c>
      <c r="DP11" s="62">
        <f t="shared" si="119"/>
        <v>274</v>
      </c>
      <c r="DQ11" s="62">
        <f t="shared" si="120"/>
        <v>9.9757281553398069</v>
      </c>
      <c r="DR11" s="62">
        <f t="shared" si="121"/>
        <v>5.0999999999999996</v>
      </c>
      <c r="DS11" s="61">
        <f t="shared" si="122"/>
        <v>0</v>
      </c>
      <c r="DT11" s="62">
        <f t="shared" si="123"/>
        <v>0</v>
      </c>
      <c r="DU11" s="61">
        <f t="shared" si="124"/>
        <v>187</v>
      </c>
      <c r="DV11" s="62">
        <f t="shared" si="125"/>
        <v>6.808252427184466</v>
      </c>
      <c r="DW11" s="61">
        <f t="shared" si="126"/>
        <v>307.62666666666661</v>
      </c>
      <c r="DX11" s="62">
        <f t="shared" si="127"/>
        <v>11.2</v>
      </c>
      <c r="DY11" s="62">
        <f t="shared" si="128"/>
        <v>6.94</v>
      </c>
      <c r="DZ11" s="300"/>
      <c r="EA11" s="296" t="s">
        <v>999</v>
      </c>
      <c r="EB11" s="296" t="s">
        <v>682</v>
      </c>
      <c r="EC11" s="296">
        <v>24</v>
      </c>
      <c r="ED11" s="296" t="s">
        <v>688</v>
      </c>
      <c r="EE11" s="296" t="s">
        <v>760</v>
      </c>
      <c r="EF11" s="296" t="s">
        <v>13</v>
      </c>
      <c r="EG11" s="296" t="s">
        <v>644</v>
      </c>
      <c r="EH11" s="297">
        <v>46752</v>
      </c>
      <c r="EI11" s="296" t="s">
        <v>558</v>
      </c>
      <c r="EJ11" s="296">
        <v>2472</v>
      </c>
      <c r="EK11" s="296" t="s">
        <v>934</v>
      </c>
      <c r="EL11" s="296">
        <v>0</v>
      </c>
      <c r="EM11" s="296">
        <v>1</v>
      </c>
      <c r="EN11" s="296">
        <v>1</v>
      </c>
      <c r="EO11" s="296">
        <v>0</v>
      </c>
      <c r="EP11" s="296">
        <v>2</v>
      </c>
      <c r="EQ11" s="296">
        <v>0</v>
      </c>
      <c r="ER11" s="296">
        <v>34</v>
      </c>
      <c r="ES11" s="296">
        <v>9</v>
      </c>
      <c r="ET11" s="296">
        <v>115</v>
      </c>
      <c r="EU11" s="296">
        <v>153</v>
      </c>
      <c r="EV11" s="296">
        <v>1.6</v>
      </c>
      <c r="EW11" s="296">
        <v>14</v>
      </c>
      <c r="EX11" s="296">
        <v>12</v>
      </c>
      <c r="EY11" s="296">
        <v>22</v>
      </c>
      <c r="EZ11" s="296">
        <v>19</v>
      </c>
      <c r="FA11" s="296">
        <v>11.2</v>
      </c>
      <c r="FB11" s="296">
        <v>3</v>
      </c>
      <c r="FC11" s="296">
        <v>62</v>
      </c>
      <c r="FD11" s="296">
        <v>7</v>
      </c>
      <c r="FE11" s="296">
        <v>43</v>
      </c>
      <c r="FF11" s="296" t="s">
        <v>1037</v>
      </c>
      <c r="FG11" s="296">
        <v>5.0999999999999996</v>
      </c>
      <c r="FH11" s="296">
        <v>0</v>
      </c>
      <c r="FI11" s="296">
        <v>92</v>
      </c>
      <c r="FJ11" s="296">
        <v>1369</v>
      </c>
      <c r="FK11" s="296">
        <v>1229</v>
      </c>
      <c r="FL11" s="296">
        <v>1</v>
      </c>
      <c r="FM11" s="296">
        <v>8</v>
      </c>
      <c r="FN11" s="296">
        <v>4</v>
      </c>
      <c r="FO11" s="296">
        <v>0</v>
      </c>
      <c r="FP11" s="296">
        <v>0</v>
      </c>
      <c r="FQ11" s="296" t="s">
        <v>981</v>
      </c>
      <c r="FR11" s="296" t="s">
        <v>1002</v>
      </c>
      <c r="FS11" s="296">
        <v>4</v>
      </c>
      <c r="FT11" s="296">
        <v>0</v>
      </c>
      <c r="FU11" s="301">
        <v>6.94</v>
      </c>
    </row>
  </sheetData>
  <autoFilter ref="B1:FU1">
    <sortState ref="B2:FU11">
      <sortCondition ref="B1"/>
    </sortState>
  </autoFilter>
  <phoneticPr fontId="53" type="noConversion"/>
  <conditionalFormatting sqref="AD1:AE1048576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4">
      <colorScale>
        <cfvo type="min"/>
        <cfvo type="max"/>
        <color rgb="FFFFEF9C"/>
        <color rgb="FF63BE7B"/>
      </colorScale>
    </cfRule>
  </conditionalFormatting>
  <conditionalFormatting sqref="I2:I1048576">
    <cfRule type="containsText" dxfId="8" priority="115" operator="containsText" text="Sem Data Final">
      <formula>NOT(ISERROR(SEARCH("Sem Data Final",I2)))</formula>
    </cfRule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:BG1048576"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E104857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L1048576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346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J1:BJ1048576">
    <cfRule type="iconSet" priority="2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20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iconSet" priority="2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322">
      <colorScale>
        <cfvo type="min"/>
        <cfvo type="max"/>
        <color rgb="FFFCFCFF"/>
        <color rgb="FFF8696B"/>
      </colorScale>
    </cfRule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I104857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9">
      <colorScale>
        <cfvo type="min"/>
        <cfvo type="max"/>
        <color rgb="FFFCFCFF"/>
        <color rgb="FFF8696B"/>
      </colorScale>
    </cfRule>
  </conditionalFormatting>
  <conditionalFormatting sqref="AH1:AI1048576">
    <cfRule type="colorScale" priority="6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5">
      <colorScale>
        <cfvo type="min"/>
        <cfvo type="max"/>
        <color rgb="FFFCFCFF"/>
        <color rgb="FFF8696B"/>
      </colorScale>
    </cfRule>
  </conditionalFormatting>
  <conditionalFormatting sqref="DY1:DY1048576">
    <cfRule type="colorScale" priority="232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233">
      <iconSet iconSet="3Arrows">
        <cfvo type="percent" val="0"/>
        <cfvo type="num" val="6.7"/>
        <cfvo type="num" val="7"/>
      </iconSet>
    </cfRule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AA1">
    <cfRule type="colorScale" priority="6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AA1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2">
      <colorScale>
        <cfvo type="min"/>
        <cfvo type="max"/>
        <color rgb="FFFFEF9C"/>
        <color rgb="FF63BE7B"/>
      </colorScale>
    </cfRule>
  </conditionalFormatting>
  <conditionalFormatting sqref="Z1">
    <cfRule type="colorScale" priority="610">
      <colorScale>
        <cfvo type="min"/>
        <cfvo type="max"/>
        <color rgb="FFFCFCFF"/>
        <color rgb="FFF8696B"/>
      </colorScale>
    </cfRule>
  </conditionalFormatting>
  <conditionalFormatting sqref="AA1">
    <cfRule type="colorScale" priority="6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">
    <cfRule type="colorScale" priority="608">
      <colorScale>
        <cfvo type="min"/>
        <cfvo type="max"/>
        <color rgb="FFFFEF9C"/>
        <color rgb="FF63BE7B"/>
      </colorScale>
    </cfRule>
  </conditionalFormatting>
  <conditionalFormatting sqref="X1:X1048576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5">
      <colorScale>
        <cfvo type="min"/>
        <cfvo type="max"/>
        <color rgb="FFFFEF9C"/>
        <color rgb="FF63BE7B"/>
      </colorScale>
    </cfRule>
  </conditionalFormatting>
  <conditionalFormatting sqref="Y1:Y1048576"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colorScale" priority="332">
      <colorScale>
        <cfvo type="min"/>
        <cfvo type="max"/>
        <color rgb="FFFCFCFF"/>
        <color rgb="FFF8696B"/>
      </colorScale>
    </cfRule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iconSet" priority="20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08">
      <colorScale>
        <cfvo type="min"/>
        <cfvo type="max"/>
        <color rgb="FFFCFCFF"/>
        <color rgb="FFF8696B"/>
      </colorScale>
    </cfRule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:BI1048576">
    <cfRule type="iconSet" priority="20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07">
      <colorScale>
        <cfvo type="min"/>
        <cfvo type="max"/>
        <color rgb="FFFCFCFF"/>
        <color rgb="FFF8696B"/>
      </colorScale>
    </cfRule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J1"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5">
      <colorScale>
        <cfvo type="min"/>
        <cfvo type="max"/>
        <color rgb="FFFFEF9C"/>
        <color rgb="FF63BE7B"/>
      </colorScale>
    </cfRule>
  </conditionalFormatting>
  <conditionalFormatting sqref="AJ1">
    <cfRule type="colorScale" priority="5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"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">
    <cfRule type="colorScale" priority="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323">
      <colorScale>
        <cfvo type="min"/>
        <cfvo type="max"/>
        <color rgb="FFFCFCFF"/>
        <color rgb="FFF8696B"/>
      </colorScale>
    </cfRule>
    <cfRule type="colorScale" priority="576">
      <colorScale>
        <cfvo type="min"/>
        <cfvo type="percentile" val="50"/>
        <cfvo type="max"/>
        <color rgb="FFC00000"/>
        <color rgb="FFFF0D0D"/>
        <color rgb="FFFF9B9B"/>
      </colorScale>
    </cfRule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1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iconSet" priority="20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2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I104857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:CB1048576">
    <cfRule type="colorScale" priority="288">
      <colorScale>
        <cfvo type="min"/>
        <cfvo type="max"/>
        <color rgb="FFFCFCFF"/>
        <color rgb="FFF8696B"/>
      </colorScale>
    </cfRule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287">
      <colorScale>
        <cfvo type="min"/>
        <cfvo type="max"/>
        <color rgb="FFFCFCFF"/>
        <color rgb="FFF8696B"/>
      </colorScale>
    </cfRule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"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K1048576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iconSet" priority="1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iconSet" priority="1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iconSet" priority="1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1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8">
      <colorScale>
        <cfvo type="min"/>
        <cfvo type="max"/>
        <color rgb="FFFCFCFF"/>
        <color rgb="FFF8696B"/>
      </colorScale>
    </cfRule>
  </conditionalFormatting>
  <conditionalFormatting sqref="DK1:DK1048576">
    <cfRule type="iconSet" priority="2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18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DA1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DA1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:DG104857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:DF1048576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:CP1048576">
    <cfRule type="iconSet" priority="20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2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2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2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X1048576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19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1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1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 CX1:CX1048576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1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colorScale" priority="259">
      <colorScale>
        <cfvo type="min"/>
        <cfvo type="max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:CZ1048576">
    <cfRule type="colorScale" priority="258">
      <colorScale>
        <cfvo type="min"/>
        <cfvo type="max"/>
        <color rgb="FFFCFCFF"/>
        <color rgb="FFF8696B"/>
      </colorScale>
    </cfRule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:DA1048576">
    <cfRule type="colorScale" priority="257">
      <colorScale>
        <cfvo type="min"/>
        <cfvo type="max"/>
        <color rgb="FFFCFCFF"/>
        <color rgb="FFF8696B"/>
      </colorScale>
    </cfRule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:DB1048576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0">
      <colorScale>
        <cfvo type="min"/>
        <cfvo type="max"/>
        <color rgb="FFFCFCFF"/>
        <color rgb="FFF8696B"/>
      </colorScale>
    </cfRule>
  </conditionalFormatting>
  <conditionalFormatting sqref="DC1:DC1048576">
    <cfRule type="colorScale" priority="255">
      <colorScale>
        <cfvo type="min"/>
        <cfvo type="max"/>
        <color rgb="FFFCFCFF"/>
        <color rgb="FFF8696B"/>
      </colorScale>
    </cfRule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:CT1048576">
    <cfRule type="iconSet" priority="19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240">
      <colorScale>
        <cfvo type="num" val="0"/>
        <cfvo type="num" val="1.8"/>
        <cfvo type="num" val="1.84"/>
        <color rgb="FFF8696B"/>
        <color rgb="FFFFEB84"/>
        <color rgb="FF63BE7B"/>
      </colorScale>
    </cfRule>
  </conditionalFormatting>
  <conditionalFormatting sqref="DP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:DP1048576">
    <cfRule type="iconSet" priority="1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1">
      <colorScale>
        <cfvo type="min"/>
        <cfvo type="percentile" val="50"/>
        <cfvo type="max"/>
        <color theme="4" tint="0.79998168889431442"/>
        <color theme="4" tint="0.39997558519241921"/>
        <color rgb="FF19C3FF"/>
      </colorScale>
    </cfRule>
  </conditionalFormatting>
  <conditionalFormatting sqref="DQ1:DQ1048576">
    <cfRule type="iconSet" priority="1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0">
      <colorScale>
        <cfvo type="min"/>
        <cfvo type="percentile" val="50"/>
        <cfvo type="max"/>
        <color theme="4" tint="0.79998168889431442"/>
        <color theme="4" tint="0.39997558519241921"/>
        <color rgb="FF00B0F0"/>
      </colorScale>
    </cfRule>
  </conditionalFormatting>
  <conditionalFormatting sqref="DE1:DE1048576">
    <cfRule type="colorScale" priority="183">
      <colorScale>
        <cfvo type="num" val="0.01"/>
        <cfvo type="percentile" val="50"/>
        <cfvo type="max"/>
        <color rgb="FF63BE7B"/>
        <color rgb="FFFFEB84"/>
        <color rgb="FFF8696B"/>
      </colorScale>
    </cfRule>
  </conditionalFormatting>
  <conditionalFormatting sqref="DR1:DR1048576">
    <cfRule type="iconSet" priority="17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:DS1048576">
    <cfRule type="iconSet" priority="17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048576">
    <cfRule type="iconSet" priority="1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15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53">
      <iconSet iconSet="3ArrowsGray">
        <cfvo type="percent" val="0"/>
        <cfvo type="percent" val="33"/>
        <cfvo type="percent" val="67"/>
      </iconSet>
    </cfRule>
  </conditionalFormatting>
  <conditionalFormatting sqref="V1:V1048576">
    <cfRule type="colorScale" priority="149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152">
      <iconSet iconSet="3ArrowsGray" reverse="1">
        <cfvo type="percent" val="0"/>
        <cfvo type="percent" val="33"/>
        <cfvo type="percent" val="67"/>
      </iconSet>
    </cfRule>
  </conditionalFormatting>
  <conditionalFormatting sqref="W1:W1048576">
    <cfRule type="colorScale" priority="148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51">
      <iconSet iconSet="3ArrowsGray">
        <cfvo type="percent" val="0"/>
        <cfvo type="percent" val="33"/>
        <cfvo type="percent" val="67"/>
      </iconSet>
    </cfRule>
  </conditionalFormatting>
  <conditionalFormatting sqref="BR1:BR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1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Q1:BQ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130">
      <colorScale>
        <cfvo type="min"/>
        <cfvo type="max"/>
        <color rgb="FFFFEF9C"/>
        <color rgb="FF63BE7B"/>
      </colorScale>
    </cfRule>
  </conditionalFormatting>
  <conditionalFormatting sqref="P1:P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{6A451C48-7E1E-4E6A-816D-B3356C1124D0}</x14:id>
        </ext>
      </extLst>
    </cfRule>
  </conditionalFormatting>
  <conditionalFormatting sqref="M1:M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20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I1">
    <cfRule type="containsText" dxfId="7" priority="113" operator="containsText" text="Sem Data Final">
      <formula>NOT(ISERROR(SEARCH("Sem Data Final",I1)))</formula>
    </cfRule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ntainsText" dxfId="6" priority="112" operator="containsText" text="Desconhecido">
      <formula>NOT(ISERROR(SEARCH("Desconhecido",H1)))</formula>
    </cfRule>
  </conditionalFormatting>
  <conditionalFormatting sqref="BO1:BO1048576">
    <cfRule type="colorScale" priority="1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K1:AK1048576">
    <cfRule type="colorScale" priority="106">
      <colorScale>
        <cfvo type="min"/>
        <cfvo type="max"/>
        <color rgb="FFFCFCFF"/>
        <color rgb="FFF8696B"/>
      </colorScale>
    </cfRule>
  </conditionalFormatting>
  <conditionalFormatting sqref="AL1:AL1048576">
    <cfRule type="iconSet" priority="103">
      <iconSet iconSet="3Arrows">
        <cfvo type="percent" val="0"/>
        <cfvo type="percent" val="33"/>
        <cfvo type="percent" val="67"/>
      </iconSet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iconSet" priority="102">
      <iconSet iconSet="3Arrows">
        <cfvo type="percent" val="0"/>
        <cfvo type="percent" val="33"/>
        <cfvo type="percent" val="67"/>
      </iconSet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:DO1048576">
    <cfRule type="iconSet" priority="100">
      <iconSet iconSet="3Arrows">
        <cfvo type="percent" val="0"/>
        <cfvo type="percent" val="33"/>
        <cfvo type="percent" val="67"/>
      </iconSet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1:DL1048576">
    <cfRule type="iconSet" priority="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M1:DM1048576">
    <cfRule type="iconSet" priority="8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max"/>
        <color rgb="FFFCFCFF"/>
        <color rgb="FFF8696B"/>
      </colorScale>
    </cfRule>
  </conditionalFormatting>
  <conditionalFormatting sqref="DN1:DN1048576">
    <cfRule type="iconSet" priority="83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6">
      <colorScale>
        <cfvo type="min"/>
        <cfvo type="max"/>
        <color rgb="FFFCFCFF"/>
        <color rgb="FFF8696B"/>
      </colorScale>
    </cfRule>
  </conditionalFormatting>
  <conditionalFormatting sqref="DI1:DI1048576">
    <cfRule type="iconSet" priority="86">
      <iconSet iconSet="3ArrowsGray">
        <cfvo type="percent" val="0"/>
        <cfvo type="percent" val="33"/>
        <cfvo type="percent" val="67"/>
      </iconSet>
    </cfRule>
    <cfRule type="colorScale" priority="8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J1:DJ1048576">
    <cfRule type="iconSet" priority="85">
      <iconSet iconSet="3ArrowsGray">
        <cfvo type="percent" val="0"/>
        <cfvo type="percent" val="33"/>
        <cfvo type="percent" val="67"/>
      </iconSet>
    </cfRule>
    <cfRule type="colorScale" priority="91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N1:CN1048576">
    <cfRule type="iconSet" priority="88">
      <iconSet iconSet="3ArrowsGray" reverse="1">
        <cfvo type="percent" val="0"/>
        <cfvo type="percent" val="33"/>
        <cfvo type="percent" val="67"/>
      </iconSet>
    </cfRule>
    <cfRule type="colorScale" priority="89">
      <colorScale>
        <cfvo type="min"/>
        <cfvo type="max"/>
        <color rgb="FFFCFCFF"/>
        <color rgb="FFF8696B"/>
      </colorScale>
    </cfRule>
  </conditionalFormatting>
  <conditionalFormatting sqref="CH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iconSet" priority="7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7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1:CF1048576">
    <cfRule type="iconSet" priority="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{2AEA3033-7C19-411F-9B7F-5FC683A115C2}</x14:id>
        </ext>
      </extLst>
    </cfRule>
    <cfRule type="colorScale" priority="74">
      <colorScale>
        <cfvo type="min"/>
        <cfvo type="percentile" val="50"/>
        <cfvo type="max"/>
        <color rgb="FFF8696B"/>
        <color rgb="FFFCFCFF"/>
        <color rgb="FF00B0F0"/>
      </colorScale>
    </cfRule>
  </conditionalFormatting>
  <conditionalFormatting sqref="BN1:BN1048576">
    <cfRule type="colorScale" priority="6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P1:BP1048576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B1:BB1048576">
    <cfRule type="iconSet" priority="62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BC1:BC1048576">
    <cfRule type="iconSet" priority="61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DU1:DU1048576">
    <cfRule type="iconSet" priority="48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max"/>
        <color rgb="FFFCFCFF"/>
        <color rgb="FFF8696B"/>
      </colorScale>
    </cfRule>
  </conditionalFormatting>
  <conditionalFormatting sqref="DV1:DV1048576">
    <cfRule type="iconSet" priority="47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1">
      <colorScale>
        <cfvo type="min"/>
        <cfvo type="max"/>
        <color rgb="FFFCFCFF"/>
        <color rgb="FFF8696B"/>
      </colorScale>
    </cfRule>
  </conditionalFormatting>
  <conditionalFormatting sqref="DW1:DW1048576">
    <cfRule type="iconSet" priority="4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max"/>
        <color rgb="FFFCFCFF"/>
        <color rgb="FFF8696B"/>
      </colorScale>
    </cfRule>
  </conditionalFormatting>
  <conditionalFormatting sqref="DX1:DX1048576">
    <cfRule type="iconSet" priority="4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9">
      <colorScale>
        <cfvo type="min"/>
        <cfvo type="max"/>
        <color rgb="FFFCFCFF"/>
        <color rgb="FFF8696B"/>
      </colorScale>
    </cfRule>
  </conditionalFormatting>
  <conditionalFormatting sqref="AO1:AO1048576">
    <cfRule type="iconSet" priority="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colorScale" priority="35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colorScale" priority="237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">
    <cfRule type="colorScale" priority="2373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37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237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2373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11">
      <dataBar>
        <cfvo type="min"/>
        <cfvo type="max"/>
        <color rgb="FF00759E"/>
      </dataBar>
      <extLst>
        <ext xmlns:x14="http://schemas.microsoft.com/office/spreadsheetml/2009/9/main" uri="{B025F937-C7B1-47D3-B67F-A62EFF666E3E}">
          <x14:id>{9EE375F2-184F-4598-85E9-EEDEF77B01F9}</x14:id>
        </ext>
      </extLst>
    </cfRule>
  </conditionalFormatting>
  <conditionalFormatting sqref="AU1:AU1048576">
    <cfRule type="dataBar" priority="10">
      <dataBar>
        <cfvo type="min"/>
        <cfvo type="max"/>
        <color rgb="FF00759E"/>
      </dataBar>
      <extLst>
        <ext xmlns:x14="http://schemas.microsoft.com/office/spreadsheetml/2009/9/main" uri="{B025F937-C7B1-47D3-B67F-A62EFF666E3E}">
          <x14:id>{0E87988C-54FA-4C8C-85E4-5368D2D1DD5C}</x14:id>
        </ext>
      </extLst>
    </cfRule>
  </conditionalFormatting>
  <conditionalFormatting sqref="AB1:AB1048576">
    <cfRule type="dataBar" priority="9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{E60392A9-025E-4DEB-B8DE-053CB841D837}</x14:id>
        </ext>
      </extLst>
    </cfRule>
  </conditionalFormatting>
  <conditionalFormatting sqref="AC1:AC1048576">
    <cfRule type="dataBar" priority="8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{65CAD4F3-9D45-4E39-BF2E-B11AE48893C5}</x14:id>
        </ext>
      </extLst>
    </cfRule>
  </conditionalFormatting>
  <conditionalFormatting sqref="AV1:AV1048576">
    <cfRule type="colorScale" priority="7">
      <colorScale>
        <cfvo type="num" val="-9.9999999999999991E-22"/>
        <cfvo type="num" val="0"/>
        <cfvo type="num" val="1"/>
        <color rgb="FFFBA3A5"/>
        <color theme="4" tint="0.79998168889431442"/>
        <color rgb="FF00B0F0"/>
      </colorScale>
    </cfRule>
  </conditionalFormatting>
  <conditionalFormatting sqref="BW1:BW1048576">
    <cfRule type="colorScale" priority="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X1:BX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dataBar" priority="2">
      <dataBar>
        <cfvo type="min"/>
        <cfvo type="max"/>
        <color rgb="FF0D97FF"/>
      </dataBar>
      <extLst>
        <ext xmlns:x14="http://schemas.microsoft.com/office/spreadsheetml/2009/9/main" uri="{B025F937-C7B1-47D3-B67F-A62EFF666E3E}">
          <x14:id>{11D64A83-7A8C-48DE-B5F9-50AE3B3CDC01}</x14:id>
        </ext>
      </extLst>
    </cfRule>
  </conditionalFormatting>
  <conditionalFormatting sqref="CD1:CD1048576">
    <cfRule type="dataBar" priority="1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{76B643AD-0B76-4A4D-8183-D87F782085A9}</x14:id>
        </ext>
      </extLst>
    </cfRule>
  </conditionalFormatting>
  <conditionalFormatting sqref="EM12:EM1048576">
    <cfRule type="colorScale" priority="244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2:CM1048576 CJ1:CK11">
    <cfRule type="colorScale" priority="2443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2:BE1048576">
    <cfRule type="colorScale" priority="2443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2:BL1048576 BD1:BL11">
    <cfRule type="colorScale" priority="2443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2:BI1048576 BD1:BI11">
    <cfRule type="colorScale" priority="2443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2:CB1048576 CB1">
    <cfRule type="colorScale" priority="2443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2:CB1048576 CB1">
    <cfRule type="colorScale" priority="244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2:CC1048576 CC1">
    <cfRule type="colorScale" priority="2443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2:CC1048576 CC1">
    <cfRule type="colorScale" priority="244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2:BL11">
    <cfRule type="colorScale" priority="2443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1">
    <cfRule type="colorScale" priority="2443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1">
    <cfRule type="colorScale" priority="24434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62">
      <colorScale>
        <cfvo type="min"/>
        <cfvo type="max"/>
        <color rgb="FF63BE7B"/>
        <color rgb="FFFCFCFF"/>
      </colorScale>
    </cfRule>
  </conditionalFormatting>
  <conditionalFormatting sqref="BL2:BL11">
    <cfRule type="colorScale" priority="2443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1">
    <cfRule type="colorScale" priority="24434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65">
      <colorScale>
        <cfvo type="min"/>
        <cfvo type="max"/>
        <color rgb="FF63BE7B"/>
        <color rgb="FFFCFCFF"/>
      </colorScale>
    </cfRule>
  </conditionalFormatting>
  <conditionalFormatting sqref="DH2:DH11">
    <cfRule type="colorScale" priority="2443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2:DH11">
    <cfRule type="colorScale" priority="244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:BH11">
    <cfRule type="colorScale" priority="2443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2:DY11">
    <cfRule type="colorScale" priority="2443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2:DY11">
    <cfRule type="colorScale" priority="244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1">
    <cfRule type="colorScale" priority="24434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72">
      <colorScale>
        <cfvo type="min"/>
        <cfvo type="max"/>
        <color rgb="FFFCFCFF"/>
        <color rgb="FFF8696B"/>
      </colorScale>
    </cfRule>
  </conditionalFormatting>
  <conditionalFormatting sqref="AI2:AI11">
    <cfRule type="colorScale" priority="2443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74">
      <colorScale>
        <cfvo type="min"/>
        <cfvo type="max"/>
        <color rgb="FFFCFCFF"/>
        <color rgb="FFF8696B"/>
      </colorScale>
    </cfRule>
  </conditionalFormatting>
  <conditionalFormatting sqref="CB2:CB11">
    <cfRule type="colorScale" priority="24434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76">
      <colorScale>
        <cfvo type="min"/>
        <cfvo type="max"/>
        <color rgb="FFFFEF9C"/>
        <color rgb="FF63BE7B"/>
      </colorScale>
    </cfRule>
  </conditionalFormatting>
  <conditionalFormatting sqref="CB2:CB11">
    <cfRule type="colorScale" priority="2443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2:CB11">
    <cfRule type="colorScale" priority="244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2:CC11">
    <cfRule type="colorScale" priority="2443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3480">
      <colorScale>
        <cfvo type="min"/>
        <cfvo type="max"/>
        <color rgb="FFFFEF9C"/>
        <color rgb="FF63BE7B"/>
      </colorScale>
    </cfRule>
  </conditionalFormatting>
  <conditionalFormatting sqref="CC2:CC11">
    <cfRule type="colorScale" priority="2443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2:CC11">
    <cfRule type="colorScale" priority="244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:DH11">
    <cfRule type="colorScale" priority="2443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:DP11">
    <cfRule type="colorScale" priority="2443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2:DP11">
    <cfRule type="colorScale" priority="2443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2:DP11">
    <cfRule type="colorScale" priority="244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1">
    <cfRule type="colorScale" priority="2443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451C48-7E1E-4E6A-816D-B3356C1124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AEA3033-7C19-411F-9B7F-5FC683A11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9EE375F2-184F-4598-85E9-EEDEF77B01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0E87988C-54FA-4C8C-85E4-5368D2D1D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E60392A9-025E-4DEB-B8DE-053CB841D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65CAD4F3-9D45-4E39-BF2E-B11AE4889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11D64A83-7A8C-48DE-B5F9-50AE3B3CDC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76B643AD-0B76-4A4D-8183-D87F782085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CD1:CD1048576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4" tint="-0.249977111117893"/>
  </sheetPr>
  <dimension ref="A1:FD11"/>
  <sheetViews>
    <sheetView zoomScale="90" zoomScaleNormal="90" workbookViewId="0">
      <pane xSplit="2" ySplit="1" topLeftCell="C2" activePane="bottomRight" state="frozen"/>
      <selection activeCell="G1" sqref="G1:G1048576"/>
      <selection pane="topRight" activeCell="G1" sqref="G1:G1048576"/>
      <selection pane="bottomLeft" activeCell="G1" sqref="G1:G1048576"/>
      <selection pane="bottomRight"/>
    </sheetView>
  </sheetViews>
  <sheetFormatPr defaultColWidth="15.7109375" defaultRowHeight="24.95" customHeight="1" x14ac:dyDescent="0.25"/>
  <cols>
    <col min="1" max="1" width="9.140625" customWidth="1"/>
    <col min="2" max="2" width="30.7109375" customWidth="1"/>
    <col min="3" max="3" width="12.5703125" customWidth="1"/>
    <col min="4" max="4" width="21.7109375" customWidth="1"/>
    <col min="5" max="5" width="23.85546875" bestFit="1" customWidth="1"/>
    <col min="6" max="6" width="14" customWidth="1"/>
    <col min="7" max="7" width="15.7109375" customWidth="1"/>
    <col min="8" max="8" width="17.140625" customWidth="1"/>
    <col min="9" max="9" width="16.85546875" customWidth="1"/>
    <col min="10" max="11" width="15.7109375" customWidth="1"/>
    <col min="12" max="108" width="18.7109375" customWidth="1"/>
    <col min="109" max="109" width="18.7109375" style="103" customWidth="1"/>
    <col min="110" max="110" width="9.7109375" style="1" customWidth="1"/>
    <col min="111" max="111" width="12.7109375" style="152" customWidth="1"/>
    <col min="112" max="114" width="12.7109375" style="1" customWidth="1"/>
    <col min="115" max="115" width="12.7109375" style="152" customWidth="1"/>
    <col min="116" max="159" width="12.7109375" style="1" customWidth="1"/>
    <col min="160" max="160" width="12.7109375" style="152" customWidth="1"/>
  </cols>
  <sheetData>
    <row r="1" spans="1:160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2</v>
      </c>
      <c r="J1" s="4" t="s">
        <v>231</v>
      </c>
      <c r="K1" s="4" t="s">
        <v>121</v>
      </c>
      <c r="L1" s="30" t="s">
        <v>420</v>
      </c>
      <c r="M1" s="30" t="s">
        <v>421</v>
      </c>
      <c r="N1" s="30" t="s">
        <v>424</v>
      </c>
      <c r="O1" s="224" t="s">
        <v>22</v>
      </c>
      <c r="P1" s="224" t="s">
        <v>24</v>
      </c>
      <c r="Q1" s="224" t="s">
        <v>23</v>
      </c>
      <c r="R1" s="224" t="s">
        <v>191</v>
      </c>
      <c r="S1" s="98" t="s">
        <v>38</v>
      </c>
      <c r="T1" s="98" t="s">
        <v>416</v>
      </c>
      <c r="U1" s="46" t="s">
        <v>332</v>
      </c>
      <c r="V1" s="46" t="s">
        <v>333</v>
      </c>
      <c r="W1" s="46" t="s">
        <v>334</v>
      </c>
      <c r="X1" s="46" t="s">
        <v>335</v>
      </c>
      <c r="Y1" s="46" t="s">
        <v>336</v>
      </c>
      <c r="Z1" s="46" t="s">
        <v>337</v>
      </c>
      <c r="AA1" s="46" t="s">
        <v>356</v>
      </c>
      <c r="AB1" s="46" t="s">
        <v>327</v>
      </c>
      <c r="AC1" s="104" t="s">
        <v>241</v>
      </c>
      <c r="AD1" s="104" t="s">
        <v>238</v>
      </c>
      <c r="AE1" s="105" t="s">
        <v>239</v>
      </c>
      <c r="AF1" s="104" t="s">
        <v>240</v>
      </c>
      <c r="AG1" s="52" t="s">
        <v>182</v>
      </c>
      <c r="AH1" s="52" t="s">
        <v>137</v>
      </c>
      <c r="AI1" s="52" t="s">
        <v>43</v>
      </c>
      <c r="AJ1" s="52" t="s">
        <v>138</v>
      </c>
      <c r="AK1" s="195" t="s">
        <v>247</v>
      </c>
      <c r="AL1" s="195" t="s">
        <v>252</v>
      </c>
      <c r="AM1" s="52" t="s">
        <v>71</v>
      </c>
      <c r="AN1" s="144" t="s">
        <v>69</v>
      </c>
      <c r="AO1" s="144" t="s">
        <v>254</v>
      </c>
      <c r="AP1" s="34" t="s">
        <v>99</v>
      </c>
      <c r="AQ1" s="34" t="s">
        <v>255</v>
      </c>
      <c r="AR1" s="34" t="s">
        <v>112</v>
      </c>
      <c r="AS1" s="34" t="s">
        <v>256</v>
      </c>
      <c r="AT1" s="15" t="s">
        <v>113</v>
      </c>
      <c r="AU1" s="4" t="s">
        <v>82</v>
      </c>
      <c r="AV1" s="4" t="s">
        <v>608</v>
      </c>
      <c r="AW1" s="4" t="s">
        <v>544</v>
      </c>
      <c r="AX1" s="4" t="s">
        <v>545</v>
      </c>
      <c r="AY1" s="4" t="s">
        <v>543</v>
      </c>
      <c r="AZ1" s="4" t="s">
        <v>27</v>
      </c>
      <c r="BA1" s="165" t="s">
        <v>44</v>
      </c>
      <c r="BB1" s="166" t="s">
        <v>178</v>
      </c>
      <c r="BC1" s="38" t="s">
        <v>286</v>
      </c>
      <c r="BD1" s="38" t="s">
        <v>739</v>
      </c>
      <c r="BE1" s="38" t="s">
        <v>285</v>
      </c>
      <c r="BF1" s="38" t="s">
        <v>284</v>
      </c>
      <c r="BG1" s="80" t="s">
        <v>283</v>
      </c>
      <c r="BH1" s="4" t="s">
        <v>390</v>
      </c>
      <c r="BI1" s="4" t="s">
        <v>609</v>
      </c>
      <c r="BJ1" s="4" t="s">
        <v>140</v>
      </c>
      <c r="BK1" s="4" t="s">
        <v>486</v>
      </c>
      <c r="BL1" s="4" t="s">
        <v>47</v>
      </c>
      <c r="BM1" s="215" t="s">
        <v>433</v>
      </c>
      <c r="BN1" s="40" t="s">
        <v>700</v>
      </c>
      <c r="BO1" s="40" t="s">
        <v>447</v>
      </c>
      <c r="BP1" s="40" t="s">
        <v>350</v>
      </c>
      <c r="BQ1" s="19" t="s">
        <v>169</v>
      </c>
      <c r="BR1" s="19" t="s">
        <v>449</v>
      </c>
      <c r="BS1" s="196" t="s">
        <v>394</v>
      </c>
      <c r="BT1" s="196" t="s">
        <v>396</v>
      </c>
      <c r="BU1" s="4" t="s">
        <v>92</v>
      </c>
      <c r="BV1" s="4" t="s">
        <v>45</v>
      </c>
      <c r="BW1" s="51" t="s">
        <v>465</v>
      </c>
      <c r="BX1" s="51" t="s">
        <v>467</v>
      </c>
      <c r="BY1" s="324" t="s">
        <v>610</v>
      </c>
      <c r="BZ1" s="324" t="s">
        <v>611</v>
      </c>
      <c r="CA1" s="46" t="s">
        <v>612</v>
      </c>
      <c r="CB1" s="46" t="s">
        <v>133</v>
      </c>
      <c r="CC1" s="38" t="s">
        <v>340</v>
      </c>
      <c r="CD1" s="38" t="s">
        <v>613</v>
      </c>
      <c r="CE1" s="38" t="s">
        <v>341</v>
      </c>
      <c r="CF1" s="38" t="s">
        <v>614</v>
      </c>
      <c r="CG1" s="38" t="s">
        <v>139</v>
      </c>
      <c r="CH1" s="327" t="s">
        <v>463</v>
      </c>
      <c r="CI1" s="327" t="s">
        <v>464</v>
      </c>
      <c r="CJ1" s="46" t="s">
        <v>309</v>
      </c>
      <c r="CK1" s="46" t="s">
        <v>141</v>
      </c>
      <c r="CL1" s="115" t="s">
        <v>183</v>
      </c>
      <c r="CM1" s="115" t="s">
        <v>184</v>
      </c>
      <c r="CN1" s="115" t="s">
        <v>186</v>
      </c>
      <c r="CO1" s="116" t="s">
        <v>185</v>
      </c>
      <c r="CP1" s="120" t="s">
        <v>142</v>
      </c>
      <c r="CQ1" s="119" t="s">
        <v>145</v>
      </c>
      <c r="CR1" s="119" t="s">
        <v>143</v>
      </c>
      <c r="CS1" s="119" t="s">
        <v>146</v>
      </c>
      <c r="CT1" s="214" t="s">
        <v>451</v>
      </c>
      <c r="CU1" s="214" t="s">
        <v>452</v>
      </c>
      <c r="CV1" s="48" t="s">
        <v>144</v>
      </c>
      <c r="CW1" s="74" t="s">
        <v>188</v>
      </c>
      <c r="CX1" s="47" t="s">
        <v>427</v>
      </c>
      <c r="CY1" s="47" t="s">
        <v>81</v>
      </c>
      <c r="CZ1" s="47" t="s">
        <v>448</v>
      </c>
      <c r="DA1" s="72" t="s">
        <v>168</v>
      </c>
      <c r="DB1" s="43" t="s">
        <v>414</v>
      </c>
      <c r="DC1" s="43" t="s">
        <v>415</v>
      </c>
      <c r="DD1" s="43" t="s">
        <v>180</v>
      </c>
      <c r="DE1" s="110" t="s">
        <v>25</v>
      </c>
      <c r="DF1" s="314" t="s">
        <v>14</v>
      </c>
      <c r="DG1" s="311" t="s">
        <v>20</v>
      </c>
      <c r="DH1" s="311" t="s">
        <v>29</v>
      </c>
      <c r="DI1" s="311" t="s">
        <v>1</v>
      </c>
      <c r="DJ1" s="311" t="s">
        <v>2</v>
      </c>
      <c r="DK1" s="311" t="s">
        <v>3</v>
      </c>
      <c r="DL1" s="311" t="s">
        <v>621</v>
      </c>
      <c r="DM1" s="311" t="s">
        <v>40</v>
      </c>
      <c r="DN1" s="311" t="s">
        <v>89</v>
      </c>
      <c r="DO1" s="311" t="s">
        <v>0</v>
      </c>
      <c r="DP1" s="311" t="s">
        <v>622</v>
      </c>
      <c r="DQ1" s="311" t="s">
        <v>683</v>
      </c>
      <c r="DR1" s="311" t="s">
        <v>30</v>
      </c>
      <c r="DS1" s="311" t="s">
        <v>624</v>
      </c>
      <c r="DT1" s="311" t="s">
        <v>684</v>
      </c>
      <c r="DU1" s="311" t="s">
        <v>685</v>
      </c>
      <c r="DV1" s="311" t="s">
        <v>63</v>
      </c>
      <c r="DW1" s="311" t="s">
        <v>264</v>
      </c>
      <c r="DX1" s="311" t="s">
        <v>4</v>
      </c>
      <c r="DY1" s="311" t="s">
        <v>179</v>
      </c>
      <c r="DZ1" s="294" t="s">
        <v>167</v>
      </c>
      <c r="EA1" s="294" t="s">
        <v>166</v>
      </c>
      <c r="EB1" s="294" t="s">
        <v>7</v>
      </c>
      <c r="EC1" s="294" t="s">
        <v>11</v>
      </c>
      <c r="ED1" s="294" t="s">
        <v>17</v>
      </c>
      <c r="EE1" s="294" t="s">
        <v>187</v>
      </c>
      <c r="EF1" s="294" t="s">
        <v>15</v>
      </c>
      <c r="EG1" s="294" t="s">
        <v>16</v>
      </c>
      <c r="EH1" s="294" t="s">
        <v>649</v>
      </c>
      <c r="EI1" s="294" t="s">
        <v>648</v>
      </c>
      <c r="EJ1" s="294" t="s">
        <v>8</v>
      </c>
      <c r="EK1" s="294" t="s">
        <v>9</v>
      </c>
      <c r="EL1" s="294" t="s">
        <v>189</v>
      </c>
      <c r="EM1" s="294" t="s">
        <v>190</v>
      </c>
      <c r="EN1" s="294" t="s">
        <v>646</v>
      </c>
      <c r="EO1" s="294" t="s">
        <v>104</v>
      </c>
      <c r="EP1" s="294" t="s">
        <v>636</v>
      </c>
      <c r="EQ1" s="294" t="s">
        <v>48</v>
      </c>
      <c r="ER1" s="294" t="s">
        <v>253</v>
      </c>
      <c r="ES1" s="294" t="s">
        <v>41</v>
      </c>
      <c r="ET1" s="294" t="s">
        <v>236</v>
      </c>
      <c r="EU1" s="294" t="s">
        <v>49</v>
      </c>
      <c r="EV1" s="294" t="s">
        <v>93</v>
      </c>
      <c r="EW1" s="294" t="s">
        <v>94</v>
      </c>
      <c r="EX1" s="294" t="s">
        <v>12</v>
      </c>
      <c r="EY1" s="294" t="s">
        <v>686</v>
      </c>
      <c r="EZ1" s="294" t="s">
        <v>5</v>
      </c>
      <c r="FA1" s="294" t="s">
        <v>103</v>
      </c>
      <c r="FB1" s="294" t="s">
        <v>10</v>
      </c>
      <c r="FC1" s="294" t="s">
        <v>18</v>
      </c>
      <c r="FD1" s="295" t="s">
        <v>643</v>
      </c>
    </row>
    <row r="2" spans="1:160" ht="24.95" customHeight="1" thickBot="1" x14ac:dyDescent="0.3">
      <c r="A2" s="29" t="str">
        <f t="shared" ref="A2:A11" si="0">ROW()-1 &amp; "º"</f>
        <v>1º</v>
      </c>
      <c r="B2" s="70" t="str">
        <f t="shared" ref="B2:B11" si="1">DG2</f>
        <v>Braian Cufré</v>
      </c>
      <c r="C2" s="86" t="str">
        <f t="shared" ref="C2:C11" si="2">DL2</f>
        <v>ARG</v>
      </c>
      <c r="D2" s="99" t="str">
        <f t="shared" ref="D2:D11" si="3">DM2</f>
        <v>Somente Pé Esquerdo</v>
      </c>
      <c r="E2" s="65" t="str">
        <f t="shared" ref="E2:E11" si="4">DO2</f>
        <v>Remo</v>
      </c>
      <c r="F2" s="168">
        <f t="shared" ref="F2:F11" si="5">IFERROR(SUBSTITUTE(DH2," cm","")/100,0)</f>
        <v>1.78</v>
      </c>
      <c r="G2" s="170">
        <f t="shared" ref="G2:G11" si="6">DI2</f>
        <v>29</v>
      </c>
      <c r="H2" s="319" t="str">
        <f t="shared" ref="H2:H11" si="7">DK2</f>
        <v>12,5m € p/m</v>
      </c>
      <c r="I2" s="66" t="str">
        <f t="shared" ref="I2:I11" si="8">IF(DJ2="", "Sem valor estimado",
   IF(DJ2="Não está à venda", "Não está à venda",
   IF(LEN(DJ2)-LEN(SUBSTITUTE(DJ2, "-", ""))=0, DJ2,
   IFERROR(
      AVERAGE(
         VALUE(LEFT(DJ2, SEARCH("M", DJ2)-1)),
         VALUE(MID(DJ2, SEARCH("-", DJ2)+2, SEARCH("M", DJ2, SEARCH("-", DJ2))-SEARCH("-", DJ2)-2))
      ) &amp; IF(SEARCH("M", DJ2) &gt; 0, "M", "m"),
      "m"
   )
)))</f>
        <v>65,65M</v>
      </c>
      <c r="J2" s="96">
        <f t="shared" ref="J2:J11" si="9">IFERROR(AVERAGE(K:K),0)</f>
        <v>32.384444444444441</v>
      </c>
      <c r="K2" s="148">
        <f t="shared" ref="K2:K11" si="10">IFERROR(DP2/90,0)</f>
        <v>39.455555555555556</v>
      </c>
      <c r="L2" s="191">
        <f t="shared" ref="L2:L11" si="11">IFERROR(IF(ISERROR(FIND("(",DQ2)), VALUE(DQ2), VALUE(LEFT(DQ2,FIND("(",DQ2)-2)) + VALUE(MID(DQ2,FIND("(",DQ2)+1,FIND(")",DQ2)-FIND("(",DQ2)-1))),0)</f>
        <v>45</v>
      </c>
      <c r="M2" s="191">
        <f t="shared" ref="M2:M11" si="12">IFERROR(DP2/L2,0)</f>
        <v>78.911111111111111</v>
      </c>
      <c r="N2" s="192">
        <f t="shared" ref="N2:N11" si="13">IFERROR(IF(ISERROR(FIND("(",DQ2)), "100%", TEXT(VALUE(LEFT(DQ2,FIND("(",DQ2)-2)) / (VALUE(LEFT(DQ2,FIND("(",DQ2)-2)) + VALUE(MID(DQ2,FIND("(",DQ2)+1,FIND(")",DQ2)-FIND("(",DQ2)-1))),"0%")),0)*1</f>
        <v>0.96</v>
      </c>
      <c r="O2" s="55">
        <f t="shared" ref="O2:O11" si="14">DT2</f>
        <v>1</v>
      </c>
      <c r="P2" s="55">
        <f t="shared" ref="P2:P11" si="15">DU2</f>
        <v>5</v>
      </c>
      <c r="Q2" s="55">
        <f t="shared" ref="Q2:Q11" si="16">IFERROR(O2+P2,0)</f>
        <v>6</v>
      </c>
      <c r="R2" s="57">
        <f t="shared" ref="R2:R11" si="17">IFERROR(Q2/K2,0)</f>
        <v>0.15206983948183611</v>
      </c>
      <c r="S2" s="56">
        <f t="shared" ref="S2:S11" si="18">DR2</f>
        <v>2</v>
      </c>
      <c r="T2" s="63">
        <f t="shared" ref="T2:T11" si="19">IFERROR((S2*1)/K2,0)</f>
        <v>5.068994649394537E-2</v>
      </c>
      <c r="U2" s="57">
        <f t="shared" ref="U2:U11" si="20">SUBSTITUTE(EB2,".",",")*1</f>
        <v>1.95</v>
      </c>
      <c r="V2" s="57">
        <f t="shared" ref="V2:V11" si="21">IFERROR((U2/K2),0)</f>
        <v>4.9422697831596731E-2</v>
      </c>
      <c r="W2" s="57">
        <f t="shared" ref="W2:W11" si="22">IFERROR((VALUE(SUBSTITUTE(EB2,".",","))-(EZ2*0.79)),0)</f>
        <v>1.95</v>
      </c>
      <c r="X2" s="57">
        <f t="shared" ref="X2:X11" si="23">IFERROR(W2/K2,0)</f>
        <v>4.9422697831596731E-2</v>
      </c>
      <c r="Y2" s="57">
        <f t="shared" ref="Y2:Y11" si="24">VALUE(SUBSTITUTE(EA2,".",","))</f>
        <v>6.23</v>
      </c>
      <c r="Z2" s="57">
        <f t="shared" ref="Z2:Z11" si="25">IFERROR(Y2/K2,0)</f>
        <v>0.15789918332863984</v>
      </c>
      <c r="AA2" s="57">
        <f t="shared" ref="AA2:AA11" si="26">IFERROR(W2+Y2,0)</f>
        <v>8.18</v>
      </c>
      <c r="AB2" s="57">
        <f t="shared" ref="AB2:AB11" si="27">IFERROR(AA2/K2,0)</f>
        <v>0.20732188116023653</v>
      </c>
      <c r="AC2" s="56">
        <f t="shared" ref="AC2:AC11" si="28">EZ2</f>
        <v>0</v>
      </c>
      <c r="AD2" s="56">
        <f t="shared" ref="AD2:AD11" si="29">FA2</f>
        <v>0</v>
      </c>
      <c r="AE2" s="56">
        <f t="shared" ref="AE2:AE11" si="30">IFERROR(AC2-AD2,0)</f>
        <v>0</v>
      </c>
      <c r="AF2" s="60">
        <f t="shared" ref="AF2:AF11" si="31">IFERROR((AD2*1)/AC2,0.0000001)</f>
        <v>9.9999999999999995E-8</v>
      </c>
      <c r="AG2" s="56">
        <f t="shared" ref="AG2:AG11" si="32">EO2+EN2</f>
        <v>192</v>
      </c>
      <c r="AH2" s="57">
        <f t="shared" ref="AH2:AH11" si="33">IFERROR(AG2/K2,0)</f>
        <v>4.8662348634187556</v>
      </c>
      <c r="AI2" s="55">
        <f t="shared" ref="AI2:AI11" si="34">EP2</f>
        <v>86</v>
      </c>
      <c r="AJ2" s="57">
        <f t="shared" ref="AJ2:AJ11" si="35">IFERROR(AI2/K2,0)</f>
        <v>2.1796676992396509</v>
      </c>
      <c r="AK2" s="56">
        <f t="shared" ref="AK2:AK11" si="36">EO2-EP2</f>
        <v>33</v>
      </c>
      <c r="AL2" s="57">
        <f t="shared" ref="AL2:AL11" si="37">IFERROR(AK2/K2,0)</f>
        <v>0.83638411715009853</v>
      </c>
      <c r="AM2" s="114">
        <f t="shared" ref="AM2:AM11" si="38">IFERROR((AI2*1)/AG2,0)</f>
        <v>0.44791666666666669</v>
      </c>
      <c r="AN2" s="56">
        <f t="shared" ref="AN2:AN11" si="39">EN2</f>
        <v>73</v>
      </c>
      <c r="AO2" s="57">
        <f t="shared" ref="AO2:AO11" si="40">IFERROR(AN2/K2,0)</f>
        <v>1.8501830470290059</v>
      </c>
      <c r="AP2" s="56">
        <f t="shared" ref="AP2:AP11" si="41">IFERROR(EN2+EL2+EO2+ER2,0)</f>
        <v>589</v>
      </c>
      <c r="AQ2" s="57">
        <f t="shared" ref="AQ2:AQ11" si="42">IFERROR(AP2/K2,0)</f>
        <v>14.92818924246691</v>
      </c>
      <c r="AR2" s="56">
        <f t="shared" ref="AR2:AR11" si="43">IFERROR(EM2+EP2+EQ2+ER2,0)</f>
        <v>227</v>
      </c>
      <c r="AS2" s="57">
        <f t="shared" ref="AS2:AS11" si="44">IFERROR(AR2/K2,0)</f>
        <v>5.7533089270627995</v>
      </c>
      <c r="AT2" s="60">
        <f t="shared" ref="AT2:AT11" si="45">IFERROR((AR2*1)/AP2,0)</f>
        <v>0.38539898132427841</v>
      </c>
      <c r="AU2" s="61">
        <f t="shared" ref="AU2:AU11" si="46">EF2</f>
        <v>2508</v>
      </c>
      <c r="AV2" s="62">
        <f t="shared" ref="AV2:AV11" si="47">IFERROR(AU2/K2,0)</f>
        <v>63.565192903407493</v>
      </c>
      <c r="AW2" s="61">
        <f t="shared" ref="AW2:AW11" si="48">EG2</f>
        <v>2234</v>
      </c>
      <c r="AX2" s="62">
        <f t="shared" ref="AX2:AX11" si="49">AW2/K2</f>
        <v>56.620670233736973</v>
      </c>
      <c r="AY2" s="63">
        <f t="shared" ref="AY2:AY11" si="50">AW2/AU2</f>
        <v>0.89074960127591707</v>
      </c>
      <c r="AZ2" s="61">
        <f t="shared" ref="AZ2:AZ11" si="51">IFERROR((EF2-EG2)+(EV2-EW2),0)</f>
        <v>406</v>
      </c>
      <c r="BA2" s="57">
        <f t="shared" ref="BA2:BA11" si="52">IFERROR((AZ2/K2),0)</f>
        <v>10.290059138270909</v>
      </c>
      <c r="BB2" s="57">
        <f t="shared" ref="BB2:BB11" si="53">IFERROR(EF2/(EF2-EG2),0)</f>
        <v>9.1532846715328464</v>
      </c>
      <c r="BC2" s="56">
        <f t="shared" ref="BC2:BC11" si="54">EF2-EI2</f>
        <v>2164</v>
      </c>
      <c r="BD2" s="57">
        <f t="shared" ref="BD2:BD11" si="55">IFERROR(BC2/K2,0)</f>
        <v>54.846522106448887</v>
      </c>
      <c r="BE2" s="56">
        <f t="shared" ref="BE2:BE11" si="56">EI2</f>
        <v>344</v>
      </c>
      <c r="BF2" s="57">
        <f t="shared" ref="BF2:BF11" si="57">BE2/K2</f>
        <v>8.7186707969586035</v>
      </c>
      <c r="BG2" s="320">
        <f t="shared" ref="BG2:BG11" si="58">IFERROR(EI2/BC2,0)</f>
        <v>0.15896487985212571</v>
      </c>
      <c r="BH2" s="56">
        <f t="shared" ref="BH2:BH11" si="59">EV2</f>
        <v>166</v>
      </c>
      <c r="BI2" s="57">
        <f t="shared" ref="BI2:BI11" si="60">EV2/K2</f>
        <v>4.2072655589974657</v>
      </c>
      <c r="BJ2" s="56">
        <f t="shared" ref="BJ2:BJ11" si="61">EW2</f>
        <v>34</v>
      </c>
      <c r="BK2" s="57">
        <f t="shared" ref="BK2:BK11" si="62">EW2/K2</f>
        <v>0.86172909039707124</v>
      </c>
      <c r="BL2" s="59">
        <f t="shared" ref="BL2:BL11" si="63">IFERROR((BJ2*1)/BH2,0)</f>
        <v>0.20481927710843373</v>
      </c>
      <c r="BM2" s="56">
        <f t="shared" ref="BM2:BM11" si="64">EH2</f>
        <v>63</v>
      </c>
      <c r="BN2" s="57">
        <f t="shared" ref="BN2:BN11" si="65">IFERROR(BM2/K2,0)</f>
        <v>1.596733314559279</v>
      </c>
      <c r="BO2" s="57">
        <f t="shared" ref="BO2:BO11" si="66">IFERROR(DP2/(DX2+EH2+EK2),0)</f>
        <v>39.455555555555556</v>
      </c>
      <c r="BP2" s="57">
        <f t="shared" ref="BP2:BP11" si="67">IFERROR((DP2/EH2),0)</f>
        <v>56.365079365079367</v>
      </c>
      <c r="BQ2" s="57">
        <f t="shared" ref="BQ2:BQ11" si="68">IFERROR(VALUE(SUBSTITUTE(EA2,".",",")),0)</f>
        <v>6.23</v>
      </c>
      <c r="BR2" s="57">
        <f t="shared" ref="BR2:BR11" si="69">IFERROR(BQ2-DU2,0)</f>
        <v>1.2300000000000004</v>
      </c>
      <c r="BS2" s="322">
        <f t="shared" ref="BS2:BS11" si="70">IFERROR(EW2+EH2+BQ2+DX2,0)</f>
        <v>119.23</v>
      </c>
      <c r="BT2" s="323">
        <f t="shared" ref="BT2:BT11" si="71">IFERROR(BS2/K2,0)</f>
        <v>3.021881160236553</v>
      </c>
      <c r="BU2" s="325">
        <f t="shared" ref="BU2:BU11" si="72">FB2</f>
        <v>39</v>
      </c>
      <c r="BV2" s="326">
        <f t="shared" ref="BV2:BV11" si="73">IFERROR(BU2/K2,0)</f>
        <v>0.98845395663193469</v>
      </c>
      <c r="BW2" s="56">
        <f t="shared" ref="BW2:BW11" si="74">EQ2</f>
        <v>4</v>
      </c>
      <c r="BX2" s="57">
        <f t="shared" ref="BX2:BX11" si="75">IFERROR(BW2/K2,0)</f>
        <v>0.10137989298789074</v>
      </c>
      <c r="BY2" s="322">
        <f t="shared" ref="BY2:BY11" si="76">DS2</f>
        <v>0</v>
      </c>
      <c r="BZ2" s="323">
        <f t="shared" ref="BZ2:BZ11" si="77">IFERROR(BY2/K2,0)</f>
        <v>0</v>
      </c>
      <c r="CA2" s="56">
        <f t="shared" ref="CA2:CA11" si="78">IFERROR(EF2+FB2+EJ2+DX2+EX2+EH2+AG2+EQ2+ES2+EV2+EZ2+EY2+ED2,0)</f>
        <v>3219</v>
      </c>
      <c r="CB2" s="57">
        <f t="shared" ref="CB2:CB11" si="79">IFERROR(CA2/K2,0)</f>
        <v>81.585468882005074</v>
      </c>
      <c r="CC2" s="56">
        <f t="shared" ref="CC2:CC11" si="80">EC2</f>
        <v>110</v>
      </c>
      <c r="CD2" s="57">
        <f t="shared" ref="CD2:CD11" si="81">CC2/K2</f>
        <v>2.7879470571669951</v>
      </c>
      <c r="CE2" s="56">
        <f t="shared" ref="CE2:CE11" si="82">ED2</f>
        <v>54</v>
      </c>
      <c r="CF2" s="57">
        <f t="shared" ref="CF2:CF11" si="83">CE2/K2</f>
        <v>1.3686285553365249</v>
      </c>
      <c r="CG2" s="63">
        <f t="shared" ref="CG2:CG11" si="84">IFERROR((ED2*1)/EC2,0)</f>
        <v>0.49090909090909091</v>
      </c>
      <c r="CH2" s="213">
        <f t="shared" ref="CH2:CH11" si="85">IFERROR((CI2*K2),0)</f>
        <v>7.8911111111111119</v>
      </c>
      <c r="CI2" s="212">
        <f t="shared" ref="CI2:CI11" si="86">IFERROR(EE2,0)</f>
        <v>0.2</v>
      </c>
      <c r="CJ2" s="308">
        <f t="shared" ref="CJ2:CJ11" si="87">IFERROR((EQ2*0.5)+EP2+ES2+CH2,0)</f>
        <v>242.89111111111112</v>
      </c>
      <c r="CK2" s="309">
        <f t="shared" ref="CK2:CK11" si="88">IFERROR(CJ2/K2,0)</f>
        <v>6.1560687130385805</v>
      </c>
      <c r="CL2" s="56">
        <f t="shared" ref="CL2:CL11" si="89">IFERROR(EV2+FB2+EJ2+DX2+EH2,0)</f>
        <v>312</v>
      </c>
      <c r="CM2" s="56">
        <f t="shared" ref="CM2:CM11" si="90">IFERROR(EW2+(EH2+(EH2*0.5))+EK2+FB2+DX2,0)</f>
        <v>194.5</v>
      </c>
      <c r="CN2" s="57">
        <f t="shared" ref="CN2:CN11" si="91">IFERROR(CM2/K2,0)</f>
        <v>4.9295972965361869</v>
      </c>
      <c r="CO2" s="63">
        <f t="shared" ref="CO2:CO11" si="92">IFERROR((CM2*1)/CL2,0)</f>
        <v>0.6233974358974359</v>
      </c>
      <c r="CP2" s="56">
        <f t="shared" ref="CP2:CP11" si="93">IFERROR((DS2*3)+(DV2*1.33)+(DW2*2)+EC2+EO2+ES2+EU2+ER2+ET2+EN2,0)</f>
        <v>534.63</v>
      </c>
      <c r="CQ2" s="57">
        <f t="shared" ref="CQ2:CQ11" si="94">IFERROR(CP2/K2,0)</f>
        <v>13.550183047029005</v>
      </c>
      <c r="CR2" s="56">
        <f t="shared" ref="CR2:CR11" si="95">IFERROR(ED2+EP2+ES2+EU2+ER2+ET2+EQ2+(CH2*0.5),0)</f>
        <v>365.94555555555553</v>
      </c>
      <c r="CS2" s="212">
        <f t="shared" ref="CS2:CS11" si="96">IFERROR(CR2/K2,0)</f>
        <v>9.2748803154041113</v>
      </c>
      <c r="CT2" s="213">
        <f t="shared" ref="CT2:CT11" si="97">IFERROR((DS2*3)+(DV2*1.25)+(DW2*2)+EN2,0)</f>
        <v>86.75</v>
      </c>
      <c r="CU2" s="212">
        <f t="shared" ref="CU2:CU11" si="98">IFERROR((CT2/K2),0)</f>
        <v>2.1986764291748804</v>
      </c>
      <c r="CV2" s="63">
        <f t="shared" ref="CV2:CV11" si="99">IFERROR(CR2/CP2,0)</f>
        <v>0.68448376551176615</v>
      </c>
      <c r="CW2" s="63">
        <f t="shared" ref="CW2:CW11" si="100">IFERROR(((CR2+CM2)*1)/(CL2+CP2),0)</f>
        <v>0.66197223764283752</v>
      </c>
      <c r="CX2" s="184">
        <f t="shared" ref="CX2:CX11" si="101">IFERROR(VALUE(SUBSTITUTE(FC2, " km", "")),0)</f>
        <v>490.4</v>
      </c>
      <c r="CY2" s="185">
        <f t="shared" ref="CY2:CY11" si="102">IFERROR(CX2/K2,0)</f>
        <v>12.429174880315404</v>
      </c>
      <c r="CZ2" s="186">
        <f t="shared" ref="CZ2:CZ11" si="103">IFERROR((DA2*K2),0)</f>
        <v>761.49222222222227</v>
      </c>
      <c r="DA2" s="185">
        <f t="shared" ref="DA2:DA11" si="104">DZ2</f>
        <v>19.3</v>
      </c>
      <c r="DB2" s="186">
        <f t="shared" ref="DB2:DB11" si="105">IFERROR((EC2-ED2)+(EF2-EG2)+(EV2-EW2),0)</f>
        <v>462</v>
      </c>
      <c r="DC2" s="185">
        <f t="shared" ref="DC2:DC11" si="106">IFERROR(DB2/K2,0)</f>
        <v>11.70937764010138</v>
      </c>
      <c r="DD2" s="185">
        <f t="shared" ref="DD2:DD11" si="107">DY2</f>
        <v>12.4</v>
      </c>
      <c r="DE2" s="62">
        <f t="shared" ref="DE2:DE11" si="108">IFERROR(VALUE(SUBSTITUTE(FD2, ".", ",")),0)</f>
        <v>6.94</v>
      </c>
      <c r="DF2" s="315"/>
      <c r="DG2" s="312" t="s">
        <v>720</v>
      </c>
      <c r="DH2" s="312" t="s">
        <v>550</v>
      </c>
      <c r="DI2" s="312">
        <v>29</v>
      </c>
      <c r="DJ2" s="312" t="s">
        <v>662</v>
      </c>
      <c r="DK2" s="312" t="s">
        <v>675</v>
      </c>
      <c r="DL2" s="312" t="s">
        <v>478</v>
      </c>
      <c r="DM2" s="312" t="s">
        <v>650</v>
      </c>
      <c r="DN2" s="317">
        <v>47118</v>
      </c>
      <c r="DO2" s="312" t="s">
        <v>558</v>
      </c>
      <c r="DP2" s="312">
        <v>3551</v>
      </c>
      <c r="DQ2" s="312" t="s">
        <v>721</v>
      </c>
      <c r="DR2" s="312">
        <v>2</v>
      </c>
      <c r="DS2" s="312">
        <v>0</v>
      </c>
      <c r="DT2" s="312">
        <v>1</v>
      </c>
      <c r="DU2" s="312">
        <v>5</v>
      </c>
      <c r="DV2" s="312">
        <v>11</v>
      </c>
      <c r="DW2" s="312">
        <v>0</v>
      </c>
      <c r="DX2" s="312">
        <v>16</v>
      </c>
      <c r="DY2" s="312">
        <v>12.4</v>
      </c>
      <c r="DZ2" s="296">
        <v>19.3</v>
      </c>
      <c r="EA2" s="296" t="s">
        <v>743</v>
      </c>
      <c r="EB2" s="296" t="s">
        <v>740</v>
      </c>
      <c r="EC2" s="296">
        <v>110</v>
      </c>
      <c r="ED2" s="296">
        <v>54</v>
      </c>
      <c r="EE2" s="296">
        <v>0.2</v>
      </c>
      <c r="EF2" s="296">
        <v>2508</v>
      </c>
      <c r="EG2" s="296">
        <v>2234</v>
      </c>
      <c r="EH2" s="296">
        <v>63</v>
      </c>
      <c r="EI2" s="296">
        <v>344</v>
      </c>
      <c r="EJ2" s="296">
        <v>28</v>
      </c>
      <c r="EK2" s="296">
        <v>11</v>
      </c>
      <c r="EL2" s="296">
        <v>377</v>
      </c>
      <c r="EM2" s="296">
        <v>117</v>
      </c>
      <c r="EN2" s="296">
        <v>73</v>
      </c>
      <c r="EO2" s="296">
        <v>119</v>
      </c>
      <c r="EP2" s="296">
        <v>86</v>
      </c>
      <c r="EQ2" s="296">
        <v>4</v>
      </c>
      <c r="ER2" s="296">
        <v>20</v>
      </c>
      <c r="ES2" s="296">
        <v>147</v>
      </c>
      <c r="ET2" s="296">
        <v>16</v>
      </c>
      <c r="EU2" s="296">
        <v>35</v>
      </c>
      <c r="EV2" s="296">
        <v>166</v>
      </c>
      <c r="EW2" s="296">
        <v>34</v>
      </c>
      <c r="EX2" s="296">
        <v>2</v>
      </c>
      <c r="EY2" s="296">
        <v>0</v>
      </c>
      <c r="EZ2" s="296">
        <v>0</v>
      </c>
      <c r="FA2" s="296">
        <v>0</v>
      </c>
      <c r="FB2" s="296">
        <v>39</v>
      </c>
      <c r="FC2" s="296" t="s">
        <v>722</v>
      </c>
      <c r="FD2" s="301">
        <v>6.94</v>
      </c>
    </row>
    <row r="3" spans="1:160" ht="24.95" customHeight="1" thickBot="1" x14ac:dyDescent="0.3">
      <c r="A3" s="29" t="str">
        <f t="shared" si="0"/>
        <v>2º</v>
      </c>
      <c r="B3" s="70" t="str">
        <f t="shared" si="1"/>
        <v>Cuiabano</v>
      </c>
      <c r="C3" s="86" t="str">
        <f t="shared" si="2"/>
        <v>BRA</v>
      </c>
      <c r="D3" s="99" t="str">
        <f t="shared" si="3"/>
        <v>Pé Esquerdo</v>
      </c>
      <c r="E3" s="65" t="str">
        <f t="shared" si="4"/>
        <v>Vasco da Gama</v>
      </c>
      <c r="F3" s="168">
        <f t="shared" si="5"/>
        <v>1.79</v>
      </c>
      <c r="G3" s="170">
        <f t="shared" si="6"/>
        <v>23</v>
      </c>
      <c r="H3" s="319" t="str">
        <f t="shared" si="7"/>
        <v>97,5m € p/m</v>
      </c>
      <c r="I3" s="66" t="str">
        <f t="shared" si="8"/>
        <v>12,35M</v>
      </c>
      <c r="J3" s="96">
        <f t="shared" si="9"/>
        <v>32.384444444444441</v>
      </c>
      <c r="K3" s="148">
        <f t="shared" si="10"/>
        <v>36.144444444444446</v>
      </c>
      <c r="L3" s="191">
        <f t="shared" si="11"/>
        <v>41</v>
      </c>
      <c r="M3" s="191">
        <f t="shared" si="12"/>
        <v>79.341463414634148</v>
      </c>
      <c r="N3" s="192">
        <f t="shared" si="13"/>
        <v>0.98</v>
      </c>
      <c r="O3" s="55">
        <f t="shared" si="14"/>
        <v>2</v>
      </c>
      <c r="P3" s="55">
        <f t="shared" si="15"/>
        <v>9</v>
      </c>
      <c r="Q3" s="55">
        <f t="shared" si="16"/>
        <v>11</v>
      </c>
      <c r="R3" s="57">
        <f t="shared" si="17"/>
        <v>0.30433446049800184</v>
      </c>
      <c r="S3" s="56">
        <f t="shared" si="18"/>
        <v>1</v>
      </c>
      <c r="T3" s="63">
        <f t="shared" si="19"/>
        <v>2.7666769136181987E-2</v>
      </c>
      <c r="U3" s="57">
        <f t="shared" si="20"/>
        <v>2.73</v>
      </c>
      <c r="V3" s="57">
        <f t="shared" si="21"/>
        <v>7.5530279741776812E-2</v>
      </c>
      <c r="W3" s="57">
        <f t="shared" si="22"/>
        <v>1.94</v>
      </c>
      <c r="X3" s="57">
        <f t="shared" si="23"/>
        <v>5.3673532124193048E-2</v>
      </c>
      <c r="Y3" s="57">
        <f t="shared" si="24"/>
        <v>5.07</v>
      </c>
      <c r="Z3" s="57">
        <f t="shared" si="25"/>
        <v>0.14027051952044267</v>
      </c>
      <c r="AA3" s="57">
        <f t="shared" si="26"/>
        <v>7.01</v>
      </c>
      <c r="AB3" s="57">
        <f t="shared" si="27"/>
        <v>0.19394405164463571</v>
      </c>
      <c r="AC3" s="56">
        <f t="shared" si="28"/>
        <v>1</v>
      </c>
      <c r="AD3" s="56">
        <f t="shared" si="29"/>
        <v>0</v>
      </c>
      <c r="AE3" s="56">
        <f t="shared" si="30"/>
        <v>1</v>
      </c>
      <c r="AF3" s="60">
        <f t="shared" si="31"/>
        <v>0</v>
      </c>
      <c r="AG3" s="56">
        <f t="shared" si="32"/>
        <v>167</v>
      </c>
      <c r="AH3" s="57">
        <f t="shared" si="33"/>
        <v>4.6203504457423916</v>
      </c>
      <c r="AI3" s="55">
        <f t="shared" si="34"/>
        <v>87</v>
      </c>
      <c r="AJ3" s="57">
        <f t="shared" si="35"/>
        <v>2.4070089148478329</v>
      </c>
      <c r="AK3" s="56">
        <f t="shared" si="36"/>
        <v>27</v>
      </c>
      <c r="AL3" s="57">
        <f t="shared" si="37"/>
        <v>0.74700276667691357</v>
      </c>
      <c r="AM3" s="114">
        <f t="shared" si="38"/>
        <v>0.52095808383233533</v>
      </c>
      <c r="AN3" s="56">
        <f t="shared" si="39"/>
        <v>53</v>
      </c>
      <c r="AO3" s="57">
        <f t="shared" si="40"/>
        <v>1.4663387642176453</v>
      </c>
      <c r="AP3" s="56">
        <f t="shared" si="41"/>
        <v>546</v>
      </c>
      <c r="AQ3" s="57">
        <f t="shared" si="42"/>
        <v>15.106055948355364</v>
      </c>
      <c r="AR3" s="56">
        <f t="shared" si="43"/>
        <v>213</v>
      </c>
      <c r="AS3" s="57">
        <f t="shared" si="44"/>
        <v>5.8930218260067626</v>
      </c>
      <c r="AT3" s="60">
        <f t="shared" si="45"/>
        <v>0.39010989010989011</v>
      </c>
      <c r="AU3" s="61">
        <f t="shared" si="46"/>
        <v>2067</v>
      </c>
      <c r="AV3" s="62">
        <f t="shared" si="47"/>
        <v>57.187211804488165</v>
      </c>
      <c r="AW3" s="61">
        <f t="shared" si="48"/>
        <v>1823</v>
      </c>
      <c r="AX3" s="62">
        <f t="shared" si="49"/>
        <v>50.436520135259755</v>
      </c>
      <c r="AY3" s="63">
        <f t="shared" si="50"/>
        <v>0.88195452346395742</v>
      </c>
      <c r="AZ3" s="61">
        <f t="shared" si="51"/>
        <v>393</v>
      </c>
      <c r="BA3" s="57">
        <f t="shared" si="52"/>
        <v>10.873040270519519</v>
      </c>
      <c r="BB3" s="57">
        <f t="shared" si="53"/>
        <v>8.471311475409836</v>
      </c>
      <c r="BC3" s="56">
        <f t="shared" si="54"/>
        <v>1780</v>
      </c>
      <c r="BD3" s="57">
        <f t="shared" si="55"/>
        <v>49.246849062403932</v>
      </c>
      <c r="BE3" s="56">
        <f t="shared" si="56"/>
        <v>287</v>
      </c>
      <c r="BF3" s="57">
        <f t="shared" si="57"/>
        <v>7.94036274208423</v>
      </c>
      <c r="BG3" s="320">
        <f t="shared" si="58"/>
        <v>0.16123595505617977</v>
      </c>
      <c r="BH3" s="56">
        <f t="shared" si="59"/>
        <v>187</v>
      </c>
      <c r="BI3" s="57">
        <f t="shared" si="60"/>
        <v>5.1736858284660308</v>
      </c>
      <c r="BJ3" s="56">
        <f t="shared" si="61"/>
        <v>38</v>
      </c>
      <c r="BK3" s="57">
        <f t="shared" si="62"/>
        <v>1.0513372271749155</v>
      </c>
      <c r="BL3" s="59">
        <f t="shared" si="63"/>
        <v>0.20320855614973263</v>
      </c>
      <c r="BM3" s="56">
        <f t="shared" si="64"/>
        <v>65</v>
      </c>
      <c r="BN3" s="57">
        <f t="shared" si="65"/>
        <v>1.798339993851829</v>
      </c>
      <c r="BO3" s="57">
        <f t="shared" si="66"/>
        <v>39.670731707317074</v>
      </c>
      <c r="BP3" s="57">
        <f t="shared" si="67"/>
        <v>50.04615384615385</v>
      </c>
      <c r="BQ3" s="57">
        <f t="shared" si="68"/>
        <v>5.07</v>
      </c>
      <c r="BR3" s="57">
        <f t="shared" si="69"/>
        <v>-3.9299999999999997</v>
      </c>
      <c r="BS3" s="322">
        <f t="shared" si="70"/>
        <v>118.07</v>
      </c>
      <c r="BT3" s="323">
        <f t="shared" si="71"/>
        <v>3.2666154319090066</v>
      </c>
      <c r="BU3" s="325">
        <f t="shared" si="72"/>
        <v>73</v>
      </c>
      <c r="BV3" s="326">
        <f t="shared" si="73"/>
        <v>2.0196741469412851</v>
      </c>
      <c r="BW3" s="56">
        <f t="shared" si="74"/>
        <v>5</v>
      </c>
      <c r="BX3" s="57">
        <f t="shared" si="75"/>
        <v>0.13833384568090992</v>
      </c>
      <c r="BY3" s="322">
        <f t="shared" si="76"/>
        <v>0</v>
      </c>
      <c r="BZ3" s="323">
        <f t="shared" si="77"/>
        <v>0</v>
      </c>
      <c r="CA3" s="56">
        <f t="shared" si="78"/>
        <v>2823</v>
      </c>
      <c r="CB3" s="57">
        <f t="shared" si="79"/>
        <v>78.103289271441739</v>
      </c>
      <c r="CC3" s="56">
        <f t="shared" si="80"/>
        <v>107</v>
      </c>
      <c r="CD3" s="57">
        <f t="shared" si="81"/>
        <v>2.9603442975714724</v>
      </c>
      <c r="CE3" s="56">
        <f t="shared" si="82"/>
        <v>65</v>
      </c>
      <c r="CF3" s="57">
        <f t="shared" si="83"/>
        <v>1.798339993851829</v>
      </c>
      <c r="CG3" s="63">
        <f t="shared" si="84"/>
        <v>0.60747663551401865</v>
      </c>
      <c r="CH3" s="213">
        <f t="shared" si="85"/>
        <v>7.2288888888888891</v>
      </c>
      <c r="CI3" s="212">
        <f t="shared" si="86"/>
        <v>0.2</v>
      </c>
      <c r="CJ3" s="308">
        <f t="shared" si="87"/>
        <v>244.72888888888889</v>
      </c>
      <c r="CK3" s="309">
        <f t="shared" si="88"/>
        <v>6.7708576698432212</v>
      </c>
      <c r="CL3" s="56">
        <f t="shared" si="89"/>
        <v>363</v>
      </c>
      <c r="CM3" s="56">
        <f t="shared" si="90"/>
        <v>225.5</v>
      </c>
      <c r="CN3" s="57">
        <f t="shared" si="91"/>
        <v>6.2388564402090374</v>
      </c>
      <c r="CO3" s="63">
        <f t="shared" si="92"/>
        <v>0.62121212121212122</v>
      </c>
      <c r="CP3" s="56">
        <f t="shared" si="93"/>
        <v>484.31</v>
      </c>
      <c r="CQ3" s="57">
        <f t="shared" si="94"/>
        <v>13.399292960344297</v>
      </c>
      <c r="CR3" s="56">
        <f t="shared" si="95"/>
        <v>359.61444444444442</v>
      </c>
      <c r="CS3" s="212">
        <f t="shared" si="96"/>
        <v>9.9493698124807857</v>
      </c>
      <c r="CT3" s="213">
        <f t="shared" si="97"/>
        <v>63.75</v>
      </c>
      <c r="CU3" s="212">
        <f t="shared" si="98"/>
        <v>1.7637565324316016</v>
      </c>
      <c r="CV3" s="63">
        <f t="shared" si="99"/>
        <v>0.74252946345201298</v>
      </c>
      <c r="CW3" s="63">
        <f t="shared" si="100"/>
        <v>0.69055533918453038</v>
      </c>
      <c r="CX3" s="184">
        <f t="shared" si="101"/>
        <v>457.2</v>
      </c>
      <c r="CY3" s="185">
        <f t="shared" si="102"/>
        <v>12.649246849062402</v>
      </c>
      <c r="CZ3" s="186">
        <f t="shared" si="103"/>
        <v>755.41888888888889</v>
      </c>
      <c r="DA3" s="185">
        <f t="shared" si="104"/>
        <v>20.9</v>
      </c>
      <c r="DB3" s="186">
        <f t="shared" si="105"/>
        <v>435</v>
      </c>
      <c r="DC3" s="185">
        <f t="shared" si="106"/>
        <v>12.035044574239164</v>
      </c>
      <c r="DD3" s="185">
        <f t="shared" si="107"/>
        <v>12.5</v>
      </c>
      <c r="DE3" s="62">
        <f t="shared" si="108"/>
        <v>6.96</v>
      </c>
      <c r="DF3" s="315"/>
      <c r="DG3" s="312" t="s">
        <v>711</v>
      </c>
      <c r="DH3" s="312" t="s">
        <v>617</v>
      </c>
      <c r="DI3" s="312">
        <v>23</v>
      </c>
      <c r="DJ3" s="312" t="s">
        <v>712</v>
      </c>
      <c r="DK3" s="312" t="s">
        <v>713</v>
      </c>
      <c r="DL3" s="312" t="s">
        <v>13</v>
      </c>
      <c r="DM3" s="312" t="s">
        <v>652</v>
      </c>
      <c r="DN3" s="317">
        <v>47664</v>
      </c>
      <c r="DO3" s="312" t="s">
        <v>583</v>
      </c>
      <c r="DP3" s="312">
        <v>3253</v>
      </c>
      <c r="DQ3" s="312" t="s">
        <v>714</v>
      </c>
      <c r="DR3" s="312">
        <v>1</v>
      </c>
      <c r="DS3" s="312">
        <v>0</v>
      </c>
      <c r="DT3" s="312">
        <v>2</v>
      </c>
      <c r="DU3" s="312">
        <v>9</v>
      </c>
      <c r="DV3" s="312">
        <v>7</v>
      </c>
      <c r="DW3" s="312">
        <v>1</v>
      </c>
      <c r="DX3" s="312">
        <v>10</v>
      </c>
      <c r="DY3" s="312">
        <v>12.5</v>
      </c>
      <c r="DZ3" s="296">
        <v>20.9</v>
      </c>
      <c r="EA3" s="296" t="s">
        <v>755</v>
      </c>
      <c r="EB3" s="296" t="s">
        <v>748</v>
      </c>
      <c r="EC3" s="296">
        <v>107</v>
      </c>
      <c r="ED3" s="296">
        <v>65</v>
      </c>
      <c r="EE3" s="296">
        <v>0.2</v>
      </c>
      <c r="EF3" s="296">
        <v>2067</v>
      </c>
      <c r="EG3" s="296">
        <v>1823</v>
      </c>
      <c r="EH3" s="296">
        <v>65</v>
      </c>
      <c r="EI3" s="296">
        <v>287</v>
      </c>
      <c r="EJ3" s="296">
        <v>28</v>
      </c>
      <c r="EK3" s="296">
        <v>7</v>
      </c>
      <c r="EL3" s="296">
        <v>358</v>
      </c>
      <c r="EM3" s="296">
        <v>100</v>
      </c>
      <c r="EN3" s="296">
        <v>53</v>
      </c>
      <c r="EO3" s="296">
        <v>114</v>
      </c>
      <c r="EP3" s="296">
        <v>87</v>
      </c>
      <c r="EQ3" s="296">
        <v>5</v>
      </c>
      <c r="ER3" s="296">
        <v>21</v>
      </c>
      <c r="ES3" s="296">
        <v>148</v>
      </c>
      <c r="ET3" s="296">
        <v>10</v>
      </c>
      <c r="EU3" s="296">
        <v>20</v>
      </c>
      <c r="EV3" s="296">
        <v>187</v>
      </c>
      <c r="EW3" s="296">
        <v>38</v>
      </c>
      <c r="EX3" s="296">
        <v>7</v>
      </c>
      <c r="EY3" s="296">
        <v>0</v>
      </c>
      <c r="EZ3" s="296">
        <v>1</v>
      </c>
      <c r="FA3" s="296">
        <v>0</v>
      </c>
      <c r="FB3" s="296">
        <v>73</v>
      </c>
      <c r="FC3" s="296" t="s">
        <v>670</v>
      </c>
      <c r="FD3" s="301">
        <v>6.96</v>
      </c>
    </row>
    <row r="4" spans="1:160" ht="24.95" customHeight="1" thickBot="1" x14ac:dyDescent="0.3">
      <c r="A4" s="29" t="str">
        <f t="shared" si="0"/>
        <v>3º</v>
      </c>
      <c r="B4" s="70" t="str">
        <f t="shared" si="1"/>
        <v>Fágner</v>
      </c>
      <c r="C4" s="86" t="str">
        <f t="shared" si="2"/>
        <v>BRA</v>
      </c>
      <c r="D4" s="99" t="str">
        <f t="shared" si="3"/>
        <v>Pé Direito</v>
      </c>
      <c r="E4" s="65" t="str">
        <f t="shared" si="4"/>
        <v>Cruzeiro</v>
      </c>
      <c r="F4" s="168">
        <f t="shared" si="5"/>
        <v>1.68</v>
      </c>
      <c r="G4" s="170">
        <f t="shared" si="6"/>
        <v>37</v>
      </c>
      <c r="H4" s="319" t="str">
        <f t="shared" si="7"/>
        <v>150m € p/m</v>
      </c>
      <c r="I4" s="66" t="str">
        <f t="shared" si="8"/>
        <v>41,5M</v>
      </c>
      <c r="J4" s="96">
        <f t="shared" si="9"/>
        <v>32.384444444444441</v>
      </c>
      <c r="K4" s="148">
        <f t="shared" si="10"/>
        <v>25.31111111111111</v>
      </c>
      <c r="L4" s="191">
        <f t="shared" si="11"/>
        <v>45</v>
      </c>
      <c r="M4" s="191">
        <f t="shared" si="12"/>
        <v>50.62222222222222</v>
      </c>
      <c r="N4" s="192">
        <f t="shared" si="13"/>
        <v>0.51</v>
      </c>
      <c r="O4" s="55">
        <f t="shared" si="14"/>
        <v>1</v>
      </c>
      <c r="P4" s="55">
        <f t="shared" si="15"/>
        <v>7</v>
      </c>
      <c r="Q4" s="55">
        <f t="shared" si="16"/>
        <v>8</v>
      </c>
      <c r="R4" s="57">
        <f t="shared" si="17"/>
        <v>0.3160667251975417</v>
      </c>
      <c r="S4" s="56">
        <f t="shared" si="18"/>
        <v>0</v>
      </c>
      <c r="T4" s="63">
        <f t="shared" si="19"/>
        <v>0</v>
      </c>
      <c r="U4" s="57">
        <f t="shared" si="20"/>
        <v>1.77</v>
      </c>
      <c r="V4" s="57">
        <f t="shared" si="21"/>
        <v>6.9929762949956106E-2</v>
      </c>
      <c r="W4" s="57">
        <f t="shared" si="22"/>
        <v>1.77</v>
      </c>
      <c r="X4" s="57">
        <f t="shared" si="23"/>
        <v>6.9929762949956106E-2</v>
      </c>
      <c r="Y4" s="57">
        <f t="shared" si="24"/>
        <v>4.08</v>
      </c>
      <c r="Z4" s="57">
        <f t="shared" si="25"/>
        <v>0.16119402985074627</v>
      </c>
      <c r="AA4" s="57">
        <f t="shared" si="26"/>
        <v>5.85</v>
      </c>
      <c r="AB4" s="57">
        <f t="shared" si="27"/>
        <v>0.23112379280070236</v>
      </c>
      <c r="AC4" s="56">
        <f t="shared" si="28"/>
        <v>0</v>
      </c>
      <c r="AD4" s="56">
        <f t="shared" si="29"/>
        <v>0</v>
      </c>
      <c r="AE4" s="56">
        <f t="shared" si="30"/>
        <v>0</v>
      </c>
      <c r="AF4" s="60">
        <f t="shared" si="31"/>
        <v>9.9999999999999995E-8</v>
      </c>
      <c r="AG4" s="56">
        <f t="shared" si="32"/>
        <v>121</v>
      </c>
      <c r="AH4" s="57">
        <f t="shared" si="33"/>
        <v>4.7805092186128189</v>
      </c>
      <c r="AI4" s="55">
        <f t="shared" si="34"/>
        <v>58</v>
      </c>
      <c r="AJ4" s="57">
        <f t="shared" si="35"/>
        <v>2.2914837576821774</v>
      </c>
      <c r="AK4" s="56">
        <f t="shared" si="36"/>
        <v>28</v>
      </c>
      <c r="AL4" s="57">
        <f t="shared" si="37"/>
        <v>1.1062335381913959</v>
      </c>
      <c r="AM4" s="114">
        <f t="shared" si="38"/>
        <v>0.47933884297520662</v>
      </c>
      <c r="AN4" s="56">
        <f t="shared" si="39"/>
        <v>35</v>
      </c>
      <c r="AO4" s="57">
        <f t="shared" si="40"/>
        <v>1.3827919227392451</v>
      </c>
      <c r="AP4" s="56">
        <f t="shared" si="41"/>
        <v>341</v>
      </c>
      <c r="AQ4" s="57">
        <f t="shared" si="42"/>
        <v>13.472344161545216</v>
      </c>
      <c r="AR4" s="56">
        <f t="shared" si="43"/>
        <v>133</v>
      </c>
      <c r="AS4" s="57">
        <f t="shared" si="44"/>
        <v>5.2546093064091313</v>
      </c>
      <c r="AT4" s="60">
        <f t="shared" si="45"/>
        <v>0.39002932551319647</v>
      </c>
      <c r="AU4" s="61">
        <f t="shared" si="46"/>
        <v>1631</v>
      </c>
      <c r="AV4" s="62">
        <f t="shared" si="47"/>
        <v>64.438103599648812</v>
      </c>
      <c r="AW4" s="61">
        <f t="shared" si="48"/>
        <v>1465</v>
      </c>
      <c r="AX4" s="62">
        <f t="shared" si="49"/>
        <v>57.879719051799825</v>
      </c>
      <c r="AY4" s="63">
        <f t="shared" si="50"/>
        <v>0.89822194972409564</v>
      </c>
      <c r="AZ4" s="61">
        <f t="shared" si="51"/>
        <v>281</v>
      </c>
      <c r="BA4" s="57">
        <f t="shared" si="52"/>
        <v>11.101843722563652</v>
      </c>
      <c r="BB4" s="57">
        <f t="shared" si="53"/>
        <v>9.8253012048192776</v>
      </c>
      <c r="BC4" s="56">
        <f t="shared" si="54"/>
        <v>1413</v>
      </c>
      <c r="BD4" s="57">
        <f t="shared" si="55"/>
        <v>55.825285338015803</v>
      </c>
      <c r="BE4" s="56">
        <f t="shared" si="56"/>
        <v>218</v>
      </c>
      <c r="BF4" s="57">
        <f t="shared" si="57"/>
        <v>8.6128182616330111</v>
      </c>
      <c r="BG4" s="320">
        <f t="shared" si="58"/>
        <v>0.15428167020523709</v>
      </c>
      <c r="BH4" s="56">
        <f t="shared" si="59"/>
        <v>134</v>
      </c>
      <c r="BI4" s="57">
        <f t="shared" si="60"/>
        <v>5.2941176470588234</v>
      </c>
      <c r="BJ4" s="56">
        <f t="shared" si="61"/>
        <v>19</v>
      </c>
      <c r="BK4" s="57">
        <f t="shared" si="62"/>
        <v>0.75065847234416161</v>
      </c>
      <c r="BL4" s="59">
        <f t="shared" si="63"/>
        <v>0.1417910447761194</v>
      </c>
      <c r="BM4" s="56">
        <f t="shared" si="64"/>
        <v>50</v>
      </c>
      <c r="BN4" s="57">
        <f t="shared" si="65"/>
        <v>1.9754170324846356</v>
      </c>
      <c r="BO4" s="57">
        <f t="shared" si="66"/>
        <v>33.5</v>
      </c>
      <c r="BP4" s="57">
        <f t="shared" si="67"/>
        <v>45.56</v>
      </c>
      <c r="BQ4" s="57">
        <f t="shared" si="68"/>
        <v>4.08</v>
      </c>
      <c r="BR4" s="57">
        <f t="shared" si="69"/>
        <v>-2.92</v>
      </c>
      <c r="BS4" s="322">
        <f t="shared" si="70"/>
        <v>82.08</v>
      </c>
      <c r="BT4" s="323">
        <f t="shared" si="71"/>
        <v>3.2428446005267779</v>
      </c>
      <c r="BU4" s="325">
        <f t="shared" si="72"/>
        <v>22</v>
      </c>
      <c r="BV4" s="326">
        <f t="shared" si="73"/>
        <v>0.86918349429323971</v>
      </c>
      <c r="BW4" s="56">
        <f t="shared" si="74"/>
        <v>4</v>
      </c>
      <c r="BX4" s="57">
        <f t="shared" si="75"/>
        <v>0.15803336259877085</v>
      </c>
      <c r="BY4" s="322">
        <f t="shared" si="76"/>
        <v>0</v>
      </c>
      <c r="BZ4" s="323">
        <f t="shared" si="77"/>
        <v>0</v>
      </c>
      <c r="CA4" s="56">
        <f t="shared" si="78"/>
        <v>2119</v>
      </c>
      <c r="CB4" s="57">
        <f t="shared" si="79"/>
        <v>83.718173836698867</v>
      </c>
      <c r="CC4" s="56">
        <f t="shared" si="80"/>
        <v>77</v>
      </c>
      <c r="CD4" s="57">
        <f t="shared" si="81"/>
        <v>3.042142230026339</v>
      </c>
      <c r="CE4" s="56">
        <f t="shared" si="82"/>
        <v>26</v>
      </c>
      <c r="CF4" s="57">
        <f t="shared" si="83"/>
        <v>1.0272168568920106</v>
      </c>
      <c r="CG4" s="63">
        <f t="shared" si="84"/>
        <v>0.33766233766233766</v>
      </c>
      <c r="CH4" s="213">
        <f t="shared" si="85"/>
        <v>7.5933333333333328</v>
      </c>
      <c r="CI4" s="212">
        <f t="shared" si="86"/>
        <v>0.3</v>
      </c>
      <c r="CJ4" s="308">
        <f t="shared" si="87"/>
        <v>165.59333333333333</v>
      </c>
      <c r="CK4" s="309">
        <f t="shared" si="88"/>
        <v>6.5423178226514489</v>
      </c>
      <c r="CL4" s="56">
        <f t="shared" si="89"/>
        <v>234</v>
      </c>
      <c r="CM4" s="56">
        <f t="shared" si="90"/>
        <v>134</v>
      </c>
      <c r="CN4" s="57">
        <f t="shared" si="91"/>
        <v>5.2941176470588234</v>
      </c>
      <c r="CO4" s="63">
        <f t="shared" si="92"/>
        <v>0.57264957264957261</v>
      </c>
      <c r="CP4" s="56">
        <f t="shared" si="93"/>
        <v>361.65</v>
      </c>
      <c r="CQ4" s="57">
        <f t="shared" si="94"/>
        <v>14.28819139596137</v>
      </c>
      <c r="CR4" s="56">
        <f t="shared" si="95"/>
        <v>248.79666666666665</v>
      </c>
      <c r="CS4" s="212">
        <f t="shared" si="96"/>
        <v>9.8295434591747153</v>
      </c>
      <c r="CT4" s="213">
        <f t="shared" si="97"/>
        <v>41.25</v>
      </c>
      <c r="CU4" s="212">
        <f t="shared" si="98"/>
        <v>1.6297190517998246</v>
      </c>
      <c r="CV4" s="63">
        <f t="shared" si="99"/>
        <v>0.68794875339877415</v>
      </c>
      <c r="CW4" s="63">
        <f t="shared" si="100"/>
        <v>0.64265368365091358</v>
      </c>
      <c r="CX4" s="184">
        <f t="shared" si="101"/>
        <v>313</v>
      </c>
      <c r="CY4" s="185">
        <f t="shared" si="102"/>
        <v>12.366110623353819</v>
      </c>
      <c r="CZ4" s="186">
        <f t="shared" si="103"/>
        <v>448.0066666666666</v>
      </c>
      <c r="DA4" s="185">
        <f t="shared" si="104"/>
        <v>17.7</v>
      </c>
      <c r="DB4" s="186">
        <f t="shared" si="105"/>
        <v>332</v>
      </c>
      <c r="DC4" s="185">
        <f t="shared" si="106"/>
        <v>13.116769095697981</v>
      </c>
      <c r="DD4" s="185">
        <f t="shared" si="107"/>
        <v>11.8</v>
      </c>
      <c r="DE4" s="62">
        <f t="shared" si="108"/>
        <v>6.92</v>
      </c>
      <c r="DF4" s="316"/>
      <c r="DG4" s="313" t="s">
        <v>723</v>
      </c>
      <c r="DH4" s="313" t="s">
        <v>724</v>
      </c>
      <c r="DI4" s="313">
        <v>37</v>
      </c>
      <c r="DJ4" s="313" t="s">
        <v>679</v>
      </c>
      <c r="DK4" s="313" t="s">
        <v>725</v>
      </c>
      <c r="DL4" s="313" t="s">
        <v>13</v>
      </c>
      <c r="DM4" s="313" t="s">
        <v>644</v>
      </c>
      <c r="DN4" s="318">
        <v>46387</v>
      </c>
      <c r="DO4" s="313" t="s">
        <v>581</v>
      </c>
      <c r="DP4" s="313">
        <v>2278</v>
      </c>
      <c r="DQ4" s="313" t="s">
        <v>726</v>
      </c>
      <c r="DR4" s="313">
        <v>0</v>
      </c>
      <c r="DS4" s="313">
        <v>0</v>
      </c>
      <c r="DT4" s="313">
        <v>1</v>
      </c>
      <c r="DU4" s="313">
        <v>7</v>
      </c>
      <c r="DV4" s="313">
        <v>5</v>
      </c>
      <c r="DW4" s="313">
        <v>0</v>
      </c>
      <c r="DX4" s="313">
        <v>9</v>
      </c>
      <c r="DY4" s="313">
        <v>11.8</v>
      </c>
      <c r="DZ4" s="298">
        <v>17.7</v>
      </c>
      <c r="EA4" s="298" t="s">
        <v>756</v>
      </c>
      <c r="EB4" s="298" t="s">
        <v>749</v>
      </c>
      <c r="EC4" s="298">
        <v>77</v>
      </c>
      <c r="ED4" s="298">
        <v>26</v>
      </c>
      <c r="EE4" s="298">
        <v>0.3</v>
      </c>
      <c r="EF4" s="298">
        <v>1631</v>
      </c>
      <c r="EG4" s="298">
        <v>1465</v>
      </c>
      <c r="EH4" s="298">
        <v>50</v>
      </c>
      <c r="EI4" s="298">
        <v>218</v>
      </c>
      <c r="EJ4" s="298">
        <v>19</v>
      </c>
      <c r="EK4" s="298">
        <v>9</v>
      </c>
      <c r="EL4" s="298">
        <v>204</v>
      </c>
      <c r="EM4" s="298">
        <v>55</v>
      </c>
      <c r="EN4" s="298">
        <v>35</v>
      </c>
      <c r="EO4" s="298">
        <v>86</v>
      </c>
      <c r="EP4" s="298">
        <v>58</v>
      </c>
      <c r="EQ4" s="298">
        <v>4</v>
      </c>
      <c r="ER4" s="298">
        <v>16</v>
      </c>
      <c r="ES4" s="298">
        <v>98</v>
      </c>
      <c r="ET4" s="298">
        <v>17</v>
      </c>
      <c r="EU4" s="298">
        <v>26</v>
      </c>
      <c r="EV4" s="298">
        <v>134</v>
      </c>
      <c r="EW4" s="298">
        <v>19</v>
      </c>
      <c r="EX4" s="298">
        <v>2</v>
      </c>
      <c r="EY4" s="298">
        <v>3</v>
      </c>
      <c r="EZ4" s="298">
        <v>0</v>
      </c>
      <c r="FA4" s="298">
        <v>0</v>
      </c>
      <c r="FB4" s="298">
        <v>22</v>
      </c>
      <c r="FC4" s="298" t="s">
        <v>727</v>
      </c>
      <c r="FD4" s="303">
        <v>6.92</v>
      </c>
    </row>
    <row r="5" spans="1:160" ht="24.95" customHeight="1" thickBot="1" x14ac:dyDescent="0.3">
      <c r="A5" s="29" t="str">
        <f t="shared" si="0"/>
        <v>4º</v>
      </c>
      <c r="B5" s="70" t="str">
        <f t="shared" si="1"/>
        <v>Guilherme Arana</v>
      </c>
      <c r="C5" s="86" t="str">
        <f t="shared" si="2"/>
        <v>BRA</v>
      </c>
      <c r="D5" s="99" t="str">
        <f t="shared" si="3"/>
        <v>Pé Esquerdo</v>
      </c>
      <c r="E5" s="65" t="str">
        <f t="shared" si="4"/>
        <v>Fluminense</v>
      </c>
      <c r="F5" s="168">
        <f t="shared" si="5"/>
        <v>1.78</v>
      </c>
      <c r="G5" s="170">
        <f t="shared" si="6"/>
        <v>29</v>
      </c>
      <c r="H5" s="319" t="str">
        <f t="shared" si="7"/>
        <v>128m € p/m</v>
      </c>
      <c r="I5" s="66" t="str">
        <f t="shared" si="8"/>
        <v>7,5M</v>
      </c>
      <c r="J5" s="96">
        <f t="shared" si="9"/>
        <v>32.384444444444441</v>
      </c>
      <c r="K5" s="148">
        <f t="shared" si="10"/>
        <v>41.511111111111113</v>
      </c>
      <c r="L5" s="191">
        <f t="shared" si="11"/>
        <v>51</v>
      </c>
      <c r="M5" s="191">
        <f t="shared" si="12"/>
        <v>73.254901960784309</v>
      </c>
      <c r="N5" s="192">
        <f t="shared" si="13"/>
        <v>0.94</v>
      </c>
      <c r="O5" s="55">
        <f t="shared" si="14"/>
        <v>2</v>
      </c>
      <c r="P5" s="55">
        <f t="shared" si="15"/>
        <v>6</v>
      </c>
      <c r="Q5" s="55">
        <f t="shared" si="16"/>
        <v>8</v>
      </c>
      <c r="R5" s="57">
        <f t="shared" si="17"/>
        <v>0.19271948608137043</v>
      </c>
      <c r="S5" s="56">
        <f t="shared" si="18"/>
        <v>1</v>
      </c>
      <c r="T5" s="63">
        <f t="shared" si="19"/>
        <v>2.4089935760171304E-2</v>
      </c>
      <c r="U5" s="57">
        <f t="shared" si="20"/>
        <v>2.4700000000000002</v>
      </c>
      <c r="V5" s="57">
        <f t="shared" si="21"/>
        <v>5.9502141327623131E-2</v>
      </c>
      <c r="W5" s="57">
        <f t="shared" si="22"/>
        <v>2.4700000000000002</v>
      </c>
      <c r="X5" s="57">
        <f t="shared" si="23"/>
        <v>5.9502141327623131E-2</v>
      </c>
      <c r="Y5" s="57">
        <f t="shared" si="24"/>
        <v>6.92</v>
      </c>
      <c r="Z5" s="57">
        <f t="shared" si="25"/>
        <v>0.16670235546038542</v>
      </c>
      <c r="AA5" s="57">
        <f t="shared" si="26"/>
        <v>9.39</v>
      </c>
      <c r="AB5" s="57">
        <f t="shared" si="27"/>
        <v>0.22620449678800858</v>
      </c>
      <c r="AC5" s="56">
        <f t="shared" si="28"/>
        <v>0</v>
      </c>
      <c r="AD5" s="56">
        <f t="shared" si="29"/>
        <v>0</v>
      </c>
      <c r="AE5" s="56">
        <f t="shared" si="30"/>
        <v>0</v>
      </c>
      <c r="AF5" s="60">
        <f t="shared" si="31"/>
        <v>9.9999999999999995E-8</v>
      </c>
      <c r="AG5" s="56">
        <f t="shared" si="32"/>
        <v>177</v>
      </c>
      <c r="AH5" s="57">
        <f t="shared" si="33"/>
        <v>4.2639186295503206</v>
      </c>
      <c r="AI5" s="55">
        <f t="shared" si="34"/>
        <v>99</v>
      </c>
      <c r="AJ5" s="57">
        <f t="shared" si="35"/>
        <v>2.384903640256959</v>
      </c>
      <c r="AK5" s="56">
        <f t="shared" si="36"/>
        <v>25</v>
      </c>
      <c r="AL5" s="57">
        <f t="shared" si="37"/>
        <v>0.60224839400428265</v>
      </c>
      <c r="AM5" s="114">
        <f t="shared" si="38"/>
        <v>0.55932203389830504</v>
      </c>
      <c r="AN5" s="56">
        <f t="shared" si="39"/>
        <v>53</v>
      </c>
      <c r="AO5" s="57">
        <f t="shared" si="40"/>
        <v>1.2767665952890792</v>
      </c>
      <c r="AP5" s="56">
        <f t="shared" si="41"/>
        <v>588</v>
      </c>
      <c r="AQ5" s="57">
        <f t="shared" si="42"/>
        <v>14.164882226980728</v>
      </c>
      <c r="AR5" s="56">
        <f t="shared" si="43"/>
        <v>230</v>
      </c>
      <c r="AS5" s="57">
        <f t="shared" si="44"/>
        <v>5.5406852248394003</v>
      </c>
      <c r="AT5" s="60">
        <f t="shared" si="45"/>
        <v>0.391156462585034</v>
      </c>
      <c r="AU5" s="61">
        <f t="shared" si="46"/>
        <v>2663</v>
      </c>
      <c r="AV5" s="62">
        <f t="shared" si="47"/>
        <v>64.151498929336185</v>
      </c>
      <c r="AW5" s="61">
        <f t="shared" si="48"/>
        <v>2438</v>
      </c>
      <c r="AX5" s="62">
        <f t="shared" si="49"/>
        <v>58.731263383297645</v>
      </c>
      <c r="AY5" s="63">
        <f t="shared" si="50"/>
        <v>0.91550882463387162</v>
      </c>
      <c r="AZ5" s="61">
        <f t="shared" si="51"/>
        <v>358</v>
      </c>
      <c r="BA5" s="57">
        <f t="shared" si="52"/>
        <v>8.6241970021413277</v>
      </c>
      <c r="BB5" s="57">
        <f t="shared" si="53"/>
        <v>11.835555555555555</v>
      </c>
      <c r="BC5" s="56">
        <f t="shared" si="54"/>
        <v>2317</v>
      </c>
      <c r="BD5" s="57">
        <f t="shared" si="55"/>
        <v>55.816381156316915</v>
      </c>
      <c r="BE5" s="56">
        <f t="shared" si="56"/>
        <v>346</v>
      </c>
      <c r="BF5" s="57">
        <f t="shared" si="57"/>
        <v>8.335117773019272</v>
      </c>
      <c r="BG5" s="320">
        <f t="shared" si="58"/>
        <v>0.14933103150625809</v>
      </c>
      <c r="BH5" s="56">
        <f t="shared" si="59"/>
        <v>166</v>
      </c>
      <c r="BI5" s="57">
        <f t="shared" si="60"/>
        <v>3.9989293361884366</v>
      </c>
      <c r="BJ5" s="56">
        <f t="shared" si="61"/>
        <v>33</v>
      </c>
      <c r="BK5" s="57">
        <f t="shared" si="62"/>
        <v>0.79496788008565311</v>
      </c>
      <c r="BL5" s="59">
        <f t="shared" si="63"/>
        <v>0.19879518072289157</v>
      </c>
      <c r="BM5" s="56">
        <f t="shared" si="64"/>
        <v>77</v>
      </c>
      <c r="BN5" s="57">
        <f t="shared" si="65"/>
        <v>1.8549250535331905</v>
      </c>
      <c r="BO5" s="57">
        <f t="shared" si="66"/>
        <v>39.326315789473682</v>
      </c>
      <c r="BP5" s="57">
        <f t="shared" si="67"/>
        <v>48.519480519480517</v>
      </c>
      <c r="BQ5" s="57">
        <f t="shared" si="68"/>
        <v>6.92</v>
      </c>
      <c r="BR5" s="57">
        <f t="shared" si="69"/>
        <v>0.91999999999999993</v>
      </c>
      <c r="BS5" s="322">
        <f t="shared" si="70"/>
        <v>126.92</v>
      </c>
      <c r="BT5" s="323">
        <f t="shared" si="71"/>
        <v>3.0574946466809423</v>
      </c>
      <c r="BU5" s="325">
        <f t="shared" si="72"/>
        <v>21</v>
      </c>
      <c r="BV5" s="326">
        <f t="shared" si="73"/>
        <v>0.50588865096359736</v>
      </c>
      <c r="BW5" s="56">
        <f t="shared" si="74"/>
        <v>5</v>
      </c>
      <c r="BX5" s="57">
        <f t="shared" si="75"/>
        <v>0.12044967880085652</v>
      </c>
      <c r="BY5" s="322">
        <f t="shared" si="76"/>
        <v>0</v>
      </c>
      <c r="BZ5" s="323">
        <f t="shared" si="77"/>
        <v>0</v>
      </c>
      <c r="CA5" s="56">
        <f t="shared" si="78"/>
        <v>3324</v>
      </c>
      <c r="CB5" s="57">
        <f t="shared" si="79"/>
        <v>80.074946466809422</v>
      </c>
      <c r="CC5" s="56">
        <f t="shared" si="80"/>
        <v>104</v>
      </c>
      <c r="CD5" s="57">
        <f t="shared" si="81"/>
        <v>2.5053533190578157</v>
      </c>
      <c r="CE5" s="56">
        <f t="shared" si="82"/>
        <v>37</v>
      </c>
      <c r="CF5" s="57">
        <f t="shared" si="83"/>
        <v>0.89132762312633829</v>
      </c>
      <c r="CG5" s="63">
        <f t="shared" si="84"/>
        <v>0.35576923076923078</v>
      </c>
      <c r="CH5" s="213">
        <f t="shared" si="85"/>
        <v>4.1511111111111116</v>
      </c>
      <c r="CI5" s="212">
        <f t="shared" si="86"/>
        <v>0.1</v>
      </c>
      <c r="CJ5" s="308">
        <f t="shared" si="87"/>
        <v>248.65111111111111</v>
      </c>
      <c r="CK5" s="309">
        <f t="shared" si="88"/>
        <v>5.9899892933618837</v>
      </c>
      <c r="CL5" s="56">
        <f t="shared" si="89"/>
        <v>294</v>
      </c>
      <c r="CM5" s="56">
        <f t="shared" si="90"/>
        <v>187.5</v>
      </c>
      <c r="CN5" s="57">
        <f t="shared" si="91"/>
        <v>4.5168629550321198</v>
      </c>
      <c r="CO5" s="63">
        <f t="shared" si="92"/>
        <v>0.63775510204081631</v>
      </c>
      <c r="CP5" s="56">
        <f t="shared" si="93"/>
        <v>516.30999999999995</v>
      </c>
      <c r="CQ5" s="57">
        <f t="shared" si="94"/>
        <v>12.437874732334045</v>
      </c>
      <c r="CR5" s="56">
        <f t="shared" si="95"/>
        <v>369.07555555555558</v>
      </c>
      <c r="CS5" s="212">
        <f t="shared" si="96"/>
        <v>8.8910064239828692</v>
      </c>
      <c r="CT5" s="213">
        <f t="shared" si="97"/>
        <v>61.75</v>
      </c>
      <c r="CU5" s="212">
        <f t="shared" si="98"/>
        <v>1.487553533190578</v>
      </c>
      <c r="CV5" s="63">
        <f t="shared" si="99"/>
        <v>0.71483325048043933</v>
      </c>
      <c r="CW5" s="63">
        <f t="shared" si="100"/>
        <v>0.68686744030748192</v>
      </c>
      <c r="CX5" s="184">
        <f t="shared" si="101"/>
        <v>511.3</v>
      </c>
      <c r="CY5" s="185">
        <f t="shared" si="102"/>
        <v>12.317184154175589</v>
      </c>
      <c r="CZ5" s="186">
        <f t="shared" si="103"/>
        <v>859.28</v>
      </c>
      <c r="DA5" s="185">
        <f t="shared" si="104"/>
        <v>20.7</v>
      </c>
      <c r="DB5" s="186">
        <f t="shared" si="105"/>
        <v>425</v>
      </c>
      <c r="DC5" s="185">
        <f t="shared" si="106"/>
        <v>10.238222698072805</v>
      </c>
      <c r="DD5" s="185">
        <f t="shared" si="107"/>
        <v>9.4</v>
      </c>
      <c r="DE5" s="62">
        <f t="shared" si="108"/>
        <v>6.91</v>
      </c>
      <c r="DF5" s="316" t="s">
        <v>640</v>
      </c>
      <c r="DG5" s="313" t="s">
        <v>715</v>
      </c>
      <c r="DH5" s="313" t="s">
        <v>550</v>
      </c>
      <c r="DI5" s="313">
        <v>29</v>
      </c>
      <c r="DJ5" s="313" t="s">
        <v>716</v>
      </c>
      <c r="DK5" s="313" t="s">
        <v>717</v>
      </c>
      <c r="DL5" s="313" t="s">
        <v>13</v>
      </c>
      <c r="DM5" s="313" t="s">
        <v>652</v>
      </c>
      <c r="DN5" s="318">
        <v>47483</v>
      </c>
      <c r="DO5" s="313" t="s">
        <v>582</v>
      </c>
      <c r="DP5" s="313">
        <v>3736</v>
      </c>
      <c r="DQ5" s="313" t="s">
        <v>718</v>
      </c>
      <c r="DR5" s="313">
        <v>1</v>
      </c>
      <c r="DS5" s="313">
        <v>0</v>
      </c>
      <c r="DT5" s="313">
        <v>2</v>
      </c>
      <c r="DU5" s="313">
        <v>6</v>
      </c>
      <c r="DV5" s="313">
        <v>7</v>
      </c>
      <c r="DW5" s="313">
        <v>0</v>
      </c>
      <c r="DX5" s="313">
        <v>10</v>
      </c>
      <c r="DY5" s="313">
        <v>9.4</v>
      </c>
      <c r="DZ5" s="298">
        <v>20.7</v>
      </c>
      <c r="EA5" s="298" t="s">
        <v>744</v>
      </c>
      <c r="EB5" s="298" t="s">
        <v>741</v>
      </c>
      <c r="EC5" s="298">
        <v>104</v>
      </c>
      <c r="ED5" s="298">
        <v>37</v>
      </c>
      <c r="EE5" s="298">
        <v>0.1</v>
      </c>
      <c r="EF5" s="298">
        <v>2663</v>
      </c>
      <c r="EG5" s="298">
        <v>2438</v>
      </c>
      <c r="EH5" s="298">
        <v>77</v>
      </c>
      <c r="EI5" s="298">
        <v>346</v>
      </c>
      <c r="EJ5" s="298">
        <v>20</v>
      </c>
      <c r="EK5" s="298">
        <v>8</v>
      </c>
      <c r="EL5" s="298">
        <v>377</v>
      </c>
      <c r="EM5" s="298">
        <v>92</v>
      </c>
      <c r="EN5" s="298">
        <v>53</v>
      </c>
      <c r="EO5" s="298">
        <v>124</v>
      </c>
      <c r="EP5" s="298">
        <v>99</v>
      </c>
      <c r="EQ5" s="298">
        <v>5</v>
      </c>
      <c r="ER5" s="298">
        <v>34</v>
      </c>
      <c r="ES5" s="298">
        <v>143</v>
      </c>
      <c r="ET5" s="298">
        <v>10</v>
      </c>
      <c r="EU5" s="298">
        <v>39</v>
      </c>
      <c r="EV5" s="298">
        <v>166</v>
      </c>
      <c r="EW5" s="298">
        <v>33</v>
      </c>
      <c r="EX5" s="298">
        <v>5</v>
      </c>
      <c r="EY5" s="298">
        <v>0</v>
      </c>
      <c r="EZ5" s="298">
        <v>0</v>
      </c>
      <c r="FA5" s="298">
        <v>0</v>
      </c>
      <c r="FB5" s="298">
        <v>21</v>
      </c>
      <c r="FC5" s="298" t="s">
        <v>719</v>
      </c>
      <c r="FD5" s="303">
        <v>6.91</v>
      </c>
    </row>
    <row r="6" spans="1:160" ht="24.95" customHeight="1" thickBot="1" x14ac:dyDescent="0.3">
      <c r="A6" s="29" t="str">
        <f t="shared" si="0"/>
        <v>5º</v>
      </c>
      <c r="B6" s="70" t="str">
        <f t="shared" si="1"/>
        <v>João Lucas</v>
      </c>
      <c r="C6" s="86" t="str">
        <f t="shared" si="2"/>
        <v>BRA</v>
      </c>
      <c r="D6" s="99" t="str">
        <f t="shared" si="3"/>
        <v>Somente Pé Direito</v>
      </c>
      <c r="E6" s="65" t="str">
        <f t="shared" si="4"/>
        <v>Remo</v>
      </c>
      <c r="F6" s="168">
        <f t="shared" si="5"/>
        <v>1.81</v>
      </c>
      <c r="G6" s="170">
        <f t="shared" si="6"/>
        <v>28</v>
      </c>
      <c r="H6" s="319" t="str">
        <f t="shared" si="7"/>
        <v>6m € p/m</v>
      </c>
      <c r="I6" s="66" t="str">
        <f t="shared" si="8"/>
        <v>357,5M</v>
      </c>
      <c r="J6" s="96">
        <f t="shared" si="9"/>
        <v>32.384444444444441</v>
      </c>
      <c r="K6" s="148">
        <f t="shared" si="10"/>
        <v>22.844444444444445</v>
      </c>
      <c r="L6" s="191">
        <f t="shared" si="11"/>
        <v>43</v>
      </c>
      <c r="M6" s="191">
        <f t="shared" si="12"/>
        <v>47.813953488372093</v>
      </c>
      <c r="N6" s="192">
        <f t="shared" si="13"/>
        <v>0.51</v>
      </c>
      <c r="O6" s="55">
        <f t="shared" si="14"/>
        <v>0</v>
      </c>
      <c r="P6" s="55">
        <f t="shared" si="15"/>
        <v>7</v>
      </c>
      <c r="Q6" s="55">
        <f t="shared" si="16"/>
        <v>7</v>
      </c>
      <c r="R6" s="57">
        <f t="shared" si="17"/>
        <v>0.30642023346303499</v>
      </c>
      <c r="S6" s="56">
        <f t="shared" si="18"/>
        <v>2</v>
      </c>
      <c r="T6" s="63">
        <f t="shared" si="19"/>
        <v>8.7548638132295714E-2</v>
      </c>
      <c r="U6" s="57">
        <f t="shared" si="20"/>
        <v>2.36</v>
      </c>
      <c r="V6" s="57">
        <f t="shared" si="21"/>
        <v>0.10330739299610894</v>
      </c>
      <c r="W6" s="57">
        <f t="shared" si="22"/>
        <v>2.36</v>
      </c>
      <c r="X6" s="57">
        <f t="shared" si="23"/>
        <v>0.10330739299610894</v>
      </c>
      <c r="Y6" s="57">
        <f t="shared" si="24"/>
        <v>5.56</v>
      </c>
      <c r="Z6" s="57">
        <f t="shared" si="25"/>
        <v>0.24338521400778207</v>
      </c>
      <c r="AA6" s="57">
        <f t="shared" si="26"/>
        <v>7.92</v>
      </c>
      <c r="AB6" s="57">
        <f t="shared" si="27"/>
        <v>0.34669260700389104</v>
      </c>
      <c r="AC6" s="56">
        <f t="shared" si="28"/>
        <v>0</v>
      </c>
      <c r="AD6" s="56">
        <f t="shared" si="29"/>
        <v>0</v>
      </c>
      <c r="AE6" s="56">
        <f t="shared" si="30"/>
        <v>0</v>
      </c>
      <c r="AF6" s="60">
        <f t="shared" si="31"/>
        <v>9.9999999999999995E-8</v>
      </c>
      <c r="AG6" s="56">
        <f t="shared" si="32"/>
        <v>86</v>
      </c>
      <c r="AH6" s="57">
        <f t="shared" si="33"/>
        <v>3.7645914396887159</v>
      </c>
      <c r="AI6" s="55">
        <f t="shared" si="34"/>
        <v>51</v>
      </c>
      <c r="AJ6" s="57">
        <f t="shared" si="35"/>
        <v>2.2324902723735409</v>
      </c>
      <c r="AK6" s="56">
        <f t="shared" si="36"/>
        <v>3</v>
      </c>
      <c r="AL6" s="57">
        <f t="shared" si="37"/>
        <v>0.13132295719844359</v>
      </c>
      <c r="AM6" s="114">
        <f t="shared" si="38"/>
        <v>0.59302325581395354</v>
      </c>
      <c r="AN6" s="56">
        <f t="shared" si="39"/>
        <v>32</v>
      </c>
      <c r="AO6" s="57">
        <f t="shared" si="40"/>
        <v>1.4007782101167314</v>
      </c>
      <c r="AP6" s="56">
        <f t="shared" si="41"/>
        <v>266</v>
      </c>
      <c r="AQ6" s="57">
        <f t="shared" si="42"/>
        <v>11.64396887159533</v>
      </c>
      <c r="AR6" s="56">
        <f t="shared" si="43"/>
        <v>101</v>
      </c>
      <c r="AS6" s="57">
        <f t="shared" si="44"/>
        <v>4.4212062256809341</v>
      </c>
      <c r="AT6" s="60">
        <f t="shared" si="45"/>
        <v>0.37969924812030076</v>
      </c>
      <c r="AU6" s="61">
        <f t="shared" si="46"/>
        <v>1149</v>
      </c>
      <c r="AV6" s="62">
        <f t="shared" si="47"/>
        <v>50.296692607003891</v>
      </c>
      <c r="AW6" s="61">
        <f t="shared" si="48"/>
        <v>970</v>
      </c>
      <c r="AX6" s="62">
        <f t="shared" si="49"/>
        <v>42.461089494163424</v>
      </c>
      <c r="AY6" s="63">
        <f t="shared" si="50"/>
        <v>0.84421235857267185</v>
      </c>
      <c r="AZ6" s="61">
        <f t="shared" si="51"/>
        <v>277</v>
      </c>
      <c r="BA6" s="57">
        <f t="shared" si="52"/>
        <v>12.125486381322958</v>
      </c>
      <c r="BB6" s="57">
        <f t="shared" si="53"/>
        <v>6.4189944134078214</v>
      </c>
      <c r="BC6" s="56">
        <f t="shared" si="54"/>
        <v>975</v>
      </c>
      <c r="BD6" s="57">
        <f t="shared" si="55"/>
        <v>42.679961089494164</v>
      </c>
      <c r="BE6" s="56">
        <f t="shared" si="56"/>
        <v>174</v>
      </c>
      <c r="BF6" s="57">
        <f t="shared" si="57"/>
        <v>7.6167315175097272</v>
      </c>
      <c r="BG6" s="320">
        <f t="shared" si="58"/>
        <v>0.17846153846153845</v>
      </c>
      <c r="BH6" s="56">
        <f t="shared" si="59"/>
        <v>118</v>
      </c>
      <c r="BI6" s="57">
        <f t="shared" si="60"/>
        <v>5.1653696498054478</v>
      </c>
      <c r="BJ6" s="56">
        <f t="shared" si="61"/>
        <v>20</v>
      </c>
      <c r="BK6" s="57">
        <f t="shared" si="62"/>
        <v>0.8754863813229572</v>
      </c>
      <c r="BL6" s="59">
        <f t="shared" si="63"/>
        <v>0.16949152542372881</v>
      </c>
      <c r="BM6" s="56">
        <f t="shared" si="64"/>
        <v>31</v>
      </c>
      <c r="BN6" s="57">
        <f t="shared" si="65"/>
        <v>1.3570038910505837</v>
      </c>
      <c r="BO6" s="57">
        <f t="shared" si="66"/>
        <v>41.95918367346939</v>
      </c>
      <c r="BP6" s="57">
        <f t="shared" si="67"/>
        <v>66.322580645161295</v>
      </c>
      <c r="BQ6" s="57">
        <f t="shared" si="68"/>
        <v>5.56</v>
      </c>
      <c r="BR6" s="57">
        <f t="shared" si="69"/>
        <v>-1.4400000000000004</v>
      </c>
      <c r="BS6" s="322">
        <f t="shared" si="70"/>
        <v>63.56</v>
      </c>
      <c r="BT6" s="323">
        <f t="shared" si="71"/>
        <v>2.7822957198443579</v>
      </c>
      <c r="BU6" s="325">
        <f t="shared" si="72"/>
        <v>89</v>
      </c>
      <c r="BV6" s="326">
        <f t="shared" si="73"/>
        <v>3.8959143968871595</v>
      </c>
      <c r="BW6" s="56">
        <f t="shared" si="74"/>
        <v>3</v>
      </c>
      <c r="BX6" s="57">
        <f t="shared" si="75"/>
        <v>0.13132295719844359</v>
      </c>
      <c r="BY6" s="322">
        <f t="shared" si="76"/>
        <v>0</v>
      </c>
      <c r="BZ6" s="323">
        <f t="shared" si="77"/>
        <v>0</v>
      </c>
      <c r="CA6" s="56">
        <f t="shared" si="78"/>
        <v>1659</v>
      </c>
      <c r="CB6" s="57">
        <f t="shared" si="79"/>
        <v>72.621595330739297</v>
      </c>
      <c r="CC6" s="56">
        <f t="shared" si="80"/>
        <v>97</v>
      </c>
      <c r="CD6" s="57">
        <f t="shared" si="81"/>
        <v>4.2461089494163424</v>
      </c>
      <c r="CE6" s="56">
        <f t="shared" si="82"/>
        <v>59</v>
      </c>
      <c r="CF6" s="57">
        <f t="shared" si="83"/>
        <v>2.5826848249027239</v>
      </c>
      <c r="CG6" s="63">
        <f t="shared" si="84"/>
        <v>0.60824742268041232</v>
      </c>
      <c r="CH6" s="213">
        <f t="shared" si="85"/>
        <v>11.422222222222222</v>
      </c>
      <c r="CI6" s="212">
        <f t="shared" si="86"/>
        <v>0.5</v>
      </c>
      <c r="CJ6" s="308">
        <f t="shared" si="87"/>
        <v>143.92222222222222</v>
      </c>
      <c r="CK6" s="309">
        <f t="shared" si="88"/>
        <v>6.3000972762645908</v>
      </c>
      <c r="CL6" s="56">
        <f t="shared" si="89"/>
        <v>280</v>
      </c>
      <c r="CM6" s="56">
        <f t="shared" si="90"/>
        <v>173.5</v>
      </c>
      <c r="CN6" s="57">
        <f t="shared" si="91"/>
        <v>7.5948443579766538</v>
      </c>
      <c r="CO6" s="63">
        <f t="shared" si="92"/>
        <v>0.61964285714285716</v>
      </c>
      <c r="CP6" s="56">
        <f t="shared" si="93"/>
        <v>293.99</v>
      </c>
      <c r="CQ6" s="57">
        <f t="shared" si="94"/>
        <v>12.869212062256809</v>
      </c>
      <c r="CR6" s="56">
        <f t="shared" si="95"/>
        <v>225.71111111111111</v>
      </c>
      <c r="CS6" s="212">
        <f t="shared" si="96"/>
        <v>9.8803501945525287</v>
      </c>
      <c r="CT6" s="213">
        <f t="shared" si="97"/>
        <v>35.75</v>
      </c>
      <c r="CU6" s="212">
        <f t="shared" si="98"/>
        <v>1.564931906614786</v>
      </c>
      <c r="CV6" s="63">
        <f t="shared" si="99"/>
        <v>0.76775098170383727</v>
      </c>
      <c r="CW6" s="63">
        <f t="shared" si="100"/>
        <v>0.69550185736878878</v>
      </c>
      <c r="CX6" s="184">
        <f t="shared" si="101"/>
        <v>287</v>
      </c>
      <c r="CY6" s="185">
        <f t="shared" si="102"/>
        <v>12.563229571984435</v>
      </c>
      <c r="CZ6" s="186">
        <f t="shared" si="103"/>
        <v>440.89777777777783</v>
      </c>
      <c r="DA6" s="185">
        <f t="shared" si="104"/>
        <v>19.3</v>
      </c>
      <c r="DB6" s="186">
        <f t="shared" si="105"/>
        <v>315</v>
      </c>
      <c r="DC6" s="185">
        <f t="shared" si="106"/>
        <v>13.788910505836576</v>
      </c>
      <c r="DD6" s="185">
        <f t="shared" si="107"/>
        <v>14.7</v>
      </c>
      <c r="DE6" s="62">
        <f t="shared" si="108"/>
        <v>7.05</v>
      </c>
      <c r="DF6" s="315"/>
      <c r="DG6" s="312" t="s">
        <v>616</v>
      </c>
      <c r="DH6" s="312" t="s">
        <v>607</v>
      </c>
      <c r="DI6" s="312">
        <v>28</v>
      </c>
      <c r="DJ6" s="312" t="s">
        <v>653</v>
      </c>
      <c r="DK6" s="312" t="s">
        <v>694</v>
      </c>
      <c r="DL6" s="312" t="s">
        <v>13</v>
      </c>
      <c r="DM6" s="312" t="s">
        <v>645</v>
      </c>
      <c r="DN6" s="317">
        <v>46752</v>
      </c>
      <c r="DO6" s="312" t="s">
        <v>558</v>
      </c>
      <c r="DP6" s="312">
        <v>2056</v>
      </c>
      <c r="DQ6" s="312" t="s">
        <v>732</v>
      </c>
      <c r="DR6" s="312">
        <v>2</v>
      </c>
      <c r="DS6" s="312">
        <v>0</v>
      </c>
      <c r="DT6" s="312">
        <v>0</v>
      </c>
      <c r="DU6" s="312">
        <v>7</v>
      </c>
      <c r="DV6" s="312">
        <v>3</v>
      </c>
      <c r="DW6" s="312">
        <v>0</v>
      </c>
      <c r="DX6" s="312">
        <v>7</v>
      </c>
      <c r="DY6" s="312">
        <v>14.7</v>
      </c>
      <c r="DZ6" s="296">
        <v>19.3</v>
      </c>
      <c r="EA6" s="296" t="s">
        <v>758</v>
      </c>
      <c r="EB6" s="296" t="s">
        <v>751</v>
      </c>
      <c r="EC6" s="296">
        <v>97</v>
      </c>
      <c r="ED6" s="296">
        <v>59</v>
      </c>
      <c r="EE6" s="296">
        <v>0.5</v>
      </c>
      <c r="EF6" s="296">
        <v>1149</v>
      </c>
      <c r="EG6" s="296">
        <v>970</v>
      </c>
      <c r="EH6" s="296">
        <v>31</v>
      </c>
      <c r="EI6" s="296">
        <v>174</v>
      </c>
      <c r="EJ6" s="296">
        <v>35</v>
      </c>
      <c r="EK6" s="296">
        <v>11</v>
      </c>
      <c r="EL6" s="296">
        <v>172</v>
      </c>
      <c r="EM6" s="296">
        <v>39</v>
      </c>
      <c r="EN6" s="296">
        <v>32</v>
      </c>
      <c r="EO6" s="296">
        <v>54</v>
      </c>
      <c r="EP6" s="296">
        <v>51</v>
      </c>
      <c r="EQ6" s="296">
        <v>3</v>
      </c>
      <c r="ER6" s="296">
        <v>8</v>
      </c>
      <c r="ES6" s="296">
        <v>80</v>
      </c>
      <c r="ET6" s="296">
        <v>1</v>
      </c>
      <c r="EU6" s="296">
        <v>18</v>
      </c>
      <c r="EV6" s="296">
        <v>118</v>
      </c>
      <c r="EW6" s="296">
        <v>20</v>
      </c>
      <c r="EX6" s="296">
        <v>2</v>
      </c>
      <c r="EY6" s="296">
        <v>0</v>
      </c>
      <c r="EZ6" s="296">
        <v>0</v>
      </c>
      <c r="FA6" s="296">
        <v>0</v>
      </c>
      <c r="FB6" s="296">
        <v>89</v>
      </c>
      <c r="FC6" s="296" t="s">
        <v>733</v>
      </c>
      <c r="FD6" s="301">
        <v>7.05</v>
      </c>
    </row>
    <row r="7" spans="1:160" ht="24.95" customHeight="1" thickBot="1" x14ac:dyDescent="0.3">
      <c r="A7" s="29" t="str">
        <f t="shared" si="0"/>
        <v>6º</v>
      </c>
      <c r="B7" s="70" t="str">
        <f t="shared" si="1"/>
        <v>João Pedro</v>
      </c>
      <c r="C7" s="86" t="str">
        <f t="shared" si="2"/>
        <v>BRA</v>
      </c>
      <c r="D7" s="99" t="str">
        <f t="shared" si="3"/>
        <v>Somente Pé Direito</v>
      </c>
      <c r="E7" s="65" t="str">
        <f t="shared" si="4"/>
        <v>Grêmio</v>
      </c>
      <c r="F7" s="168">
        <f t="shared" si="5"/>
        <v>1.79</v>
      </c>
      <c r="G7" s="170">
        <f t="shared" si="6"/>
        <v>29</v>
      </c>
      <c r="H7" s="319" t="str">
        <f t="shared" si="7"/>
        <v>83,5m € p/m</v>
      </c>
      <c r="I7" s="66" t="str">
        <f t="shared" si="8"/>
        <v>106,05M</v>
      </c>
      <c r="J7" s="96">
        <f t="shared" si="9"/>
        <v>32.384444444444441</v>
      </c>
      <c r="K7" s="148">
        <f t="shared" si="10"/>
        <v>44.888888888888886</v>
      </c>
      <c r="L7" s="191">
        <f t="shared" si="11"/>
        <v>56</v>
      </c>
      <c r="M7" s="191">
        <f t="shared" si="12"/>
        <v>72.142857142857139</v>
      </c>
      <c r="N7" s="192">
        <f t="shared" si="13"/>
        <v>0.95</v>
      </c>
      <c r="O7" s="55">
        <f t="shared" si="14"/>
        <v>2</v>
      </c>
      <c r="P7" s="55">
        <f t="shared" si="15"/>
        <v>7</v>
      </c>
      <c r="Q7" s="55">
        <f t="shared" si="16"/>
        <v>9</v>
      </c>
      <c r="R7" s="57">
        <f t="shared" si="17"/>
        <v>0.20049504950495051</v>
      </c>
      <c r="S7" s="56">
        <f t="shared" si="18"/>
        <v>2</v>
      </c>
      <c r="T7" s="63">
        <f t="shared" si="19"/>
        <v>4.4554455445544559E-2</v>
      </c>
      <c r="U7" s="57">
        <f t="shared" si="20"/>
        <v>2.97</v>
      </c>
      <c r="V7" s="57">
        <f t="shared" si="21"/>
        <v>6.6163366336633667E-2</v>
      </c>
      <c r="W7" s="57">
        <f t="shared" si="22"/>
        <v>2.97</v>
      </c>
      <c r="X7" s="57">
        <f t="shared" si="23"/>
        <v>6.6163366336633667E-2</v>
      </c>
      <c r="Y7" s="57">
        <f t="shared" si="24"/>
        <v>8.8800000000000008</v>
      </c>
      <c r="Z7" s="57">
        <f t="shared" si="25"/>
        <v>0.19782178217821786</v>
      </c>
      <c r="AA7" s="57">
        <f t="shared" si="26"/>
        <v>11.850000000000001</v>
      </c>
      <c r="AB7" s="57">
        <f t="shared" si="27"/>
        <v>0.26398514851485155</v>
      </c>
      <c r="AC7" s="56">
        <f t="shared" si="28"/>
        <v>0</v>
      </c>
      <c r="AD7" s="56">
        <f t="shared" si="29"/>
        <v>0</v>
      </c>
      <c r="AE7" s="56">
        <f t="shared" si="30"/>
        <v>0</v>
      </c>
      <c r="AF7" s="60">
        <f t="shared" si="31"/>
        <v>9.9999999999999995E-8</v>
      </c>
      <c r="AG7" s="56">
        <f t="shared" si="32"/>
        <v>145</v>
      </c>
      <c r="AH7" s="57">
        <f t="shared" si="33"/>
        <v>3.2301980198019806</v>
      </c>
      <c r="AI7" s="55">
        <f t="shared" si="34"/>
        <v>77</v>
      </c>
      <c r="AJ7" s="57">
        <f t="shared" si="35"/>
        <v>1.7153465346534655</v>
      </c>
      <c r="AK7" s="56">
        <f t="shared" si="36"/>
        <v>17</v>
      </c>
      <c r="AL7" s="57">
        <f t="shared" si="37"/>
        <v>0.37871287128712872</v>
      </c>
      <c r="AM7" s="114">
        <f t="shared" si="38"/>
        <v>0.53103448275862064</v>
      </c>
      <c r="AN7" s="56">
        <f t="shared" si="39"/>
        <v>51</v>
      </c>
      <c r="AO7" s="57">
        <f t="shared" si="40"/>
        <v>1.1361386138613863</v>
      </c>
      <c r="AP7" s="56">
        <f t="shared" si="41"/>
        <v>597</v>
      </c>
      <c r="AQ7" s="57">
        <f t="shared" si="42"/>
        <v>13.29950495049505</v>
      </c>
      <c r="AR7" s="56">
        <f t="shared" si="43"/>
        <v>221</v>
      </c>
      <c r="AS7" s="57">
        <f t="shared" si="44"/>
        <v>4.9232673267326739</v>
      </c>
      <c r="AT7" s="60">
        <f t="shared" si="45"/>
        <v>0.37018425460636517</v>
      </c>
      <c r="AU7" s="61">
        <f t="shared" si="46"/>
        <v>2624</v>
      </c>
      <c r="AV7" s="62">
        <f t="shared" si="47"/>
        <v>58.455445544554458</v>
      </c>
      <c r="AW7" s="61">
        <f t="shared" si="48"/>
        <v>2295</v>
      </c>
      <c r="AX7" s="62">
        <f t="shared" si="49"/>
        <v>51.126237623762378</v>
      </c>
      <c r="AY7" s="63">
        <f t="shared" si="50"/>
        <v>0.8746189024390244</v>
      </c>
      <c r="AZ7" s="61">
        <f t="shared" si="51"/>
        <v>508</v>
      </c>
      <c r="BA7" s="57">
        <f t="shared" si="52"/>
        <v>11.316831683168317</v>
      </c>
      <c r="BB7" s="57">
        <f t="shared" si="53"/>
        <v>7.9756838905775078</v>
      </c>
      <c r="BC7" s="56">
        <f t="shared" si="54"/>
        <v>2219</v>
      </c>
      <c r="BD7" s="57">
        <f t="shared" si="55"/>
        <v>49.43316831683169</v>
      </c>
      <c r="BE7" s="56">
        <f t="shared" si="56"/>
        <v>405</v>
      </c>
      <c r="BF7" s="57">
        <f t="shared" si="57"/>
        <v>9.022277227722773</v>
      </c>
      <c r="BG7" s="320">
        <f t="shared" si="58"/>
        <v>0.18251464623704372</v>
      </c>
      <c r="BH7" s="56">
        <f t="shared" si="59"/>
        <v>223</v>
      </c>
      <c r="BI7" s="57">
        <f t="shared" si="60"/>
        <v>4.967821782178218</v>
      </c>
      <c r="BJ7" s="56">
        <f t="shared" si="61"/>
        <v>44</v>
      </c>
      <c r="BK7" s="57">
        <f t="shared" si="62"/>
        <v>0.98019801980198029</v>
      </c>
      <c r="BL7" s="59">
        <f t="shared" si="63"/>
        <v>0.19730941704035873</v>
      </c>
      <c r="BM7" s="56">
        <f t="shared" si="64"/>
        <v>86</v>
      </c>
      <c r="BN7" s="57">
        <f t="shared" si="65"/>
        <v>1.915841584158416</v>
      </c>
      <c r="BO7" s="57">
        <f t="shared" si="66"/>
        <v>37.064220183486242</v>
      </c>
      <c r="BP7" s="57">
        <f t="shared" si="67"/>
        <v>46.97674418604651</v>
      </c>
      <c r="BQ7" s="57">
        <f t="shared" si="68"/>
        <v>8.8800000000000008</v>
      </c>
      <c r="BR7" s="57">
        <f t="shared" si="69"/>
        <v>1.8800000000000008</v>
      </c>
      <c r="BS7" s="322">
        <f t="shared" si="70"/>
        <v>152.88</v>
      </c>
      <c r="BT7" s="323">
        <f t="shared" si="71"/>
        <v>3.4057425742574257</v>
      </c>
      <c r="BU7" s="325">
        <f t="shared" si="72"/>
        <v>77</v>
      </c>
      <c r="BV7" s="326">
        <f t="shared" si="73"/>
        <v>1.7153465346534655</v>
      </c>
      <c r="BW7" s="56">
        <f t="shared" si="74"/>
        <v>4</v>
      </c>
      <c r="BX7" s="57">
        <f t="shared" si="75"/>
        <v>8.9108910891089119E-2</v>
      </c>
      <c r="BY7" s="322">
        <f t="shared" si="76"/>
        <v>0</v>
      </c>
      <c r="BZ7" s="323">
        <f t="shared" si="77"/>
        <v>0</v>
      </c>
      <c r="CA7" s="56">
        <f t="shared" si="78"/>
        <v>3457</v>
      </c>
      <c r="CB7" s="57">
        <f t="shared" si="79"/>
        <v>77.012376237623769</v>
      </c>
      <c r="CC7" s="56">
        <f t="shared" si="80"/>
        <v>157</v>
      </c>
      <c r="CD7" s="57">
        <f t="shared" si="81"/>
        <v>3.4975247524752477</v>
      </c>
      <c r="CE7" s="56">
        <f t="shared" si="82"/>
        <v>83</v>
      </c>
      <c r="CF7" s="57">
        <f t="shared" si="83"/>
        <v>1.8490099009900991</v>
      </c>
      <c r="CG7" s="63">
        <f t="shared" si="84"/>
        <v>0.5286624203821656</v>
      </c>
      <c r="CH7" s="213">
        <f t="shared" si="85"/>
        <v>8.9777777777777779</v>
      </c>
      <c r="CI7" s="212">
        <f t="shared" si="86"/>
        <v>0.2</v>
      </c>
      <c r="CJ7" s="308">
        <f t="shared" si="87"/>
        <v>249.97777777777779</v>
      </c>
      <c r="CK7" s="309">
        <f t="shared" si="88"/>
        <v>5.5688118811881191</v>
      </c>
      <c r="CL7" s="56">
        <f t="shared" si="89"/>
        <v>434</v>
      </c>
      <c r="CM7" s="56">
        <f t="shared" si="90"/>
        <v>273</v>
      </c>
      <c r="CN7" s="57">
        <f t="shared" si="91"/>
        <v>6.0816831683168324</v>
      </c>
      <c r="CO7" s="63">
        <f t="shared" si="92"/>
        <v>0.62903225806451613</v>
      </c>
      <c r="CP7" s="56">
        <f t="shared" si="93"/>
        <v>549.65</v>
      </c>
      <c r="CQ7" s="57">
        <f t="shared" si="94"/>
        <v>12.244678217821782</v>
      </c>
      <c r="CR7" s="56">
        <f t="shared" si="95"/>
        <v>409.48888888888888</v>
      </c>
      <c r="CS7" s="212">
        <f t="shared" si="96"/>
        <v>9.1222772277227726</v>
      </c>
      <c r="CT7" s="213">
        <f t="shared" si="97"/>
        <v>57.25</v>
      </c>
      <c r="CU7" s="212">
        <f t="shared" si="98"/>
        <v>1.2753712871287131</v>
      </c>
      <c r="CV7" s="63">
        <f t="shared" si="99"/>
        <v>0.74499934301626292</v>
      </c>
      <c r="CW7" s="63">
        <f t="shared" si="100"/>
        <v>0.69383305941024642</v>
      </c>
      <c r="CX7" s="184">
        <f t="shared" si="101"/>
        <v>554.6</v>
      </c>
      <c r="CY7" s="185">
        <f t="shared" si="102"/>
        <v>12.354950495049506</v>
      </c>
      <c r="CZ7" s="186">
        <f t="shared" si="103"/>
        <v>870.84444444444432</v>
      </c>
      <c r="DA7" s="185">
        <f t="shared" si="104"/>
        <v>19.399999999999999</v>
      </c>
      <c r="DB7" s="186">
        <f t="shared" si="105"/>
        <v>582</v>
      </c>
      <c r="DC7" s="185">
        <f t="shared" si="106"/>
        <v>12.965346534653467</v>
      </c>
      <c r="DD7" s="185">
        <f t="shared" si="107"/>
        <v>14.3</v>
      </c>
      <c r="DE7" s="62">
        <f t="shared" si="108"/>
        <v>6.9</v>
      </c>
      <c r="DF7" s="315"/>
      <c r="DG7" s="312" t="s">
        <v>585</v>
      </c>
      <c r="DH7" s="312" t="s">
        <v>617</v>
      </c>
      <c r="DI7" s="312">
        <v>29</v>
      </c>
      <c r="DJ7" s="312" t="s">
        <v>688</v>
      </c>
      <c r="DK7" s="312" t="s">
        <v>701</v>
      </c>
      <c r="DL7" s="312" t="s">
        <v>13</v>
      </c>
      <c r="DM7" s="312" t="s">
        <v>645</v>
      </c>
      <c r="DN7" s="317">
        <v>47118</v>
      </c>
      <c r="DO7" s="312" t="s">
        <v>554</v>
      </c>
      <c r="DP7" s="312">
        <v>4040</v>
      </c>
      <c r="DQ7" s="312" t="s">
        <v>702</v>
      </c>
      <c r="DR7" s="312">
        <v>2</v>
      </c>
      <c r="DS7" s="312">
        <v>0</v>
      </c>
      <c r="DT7" s="312">
        <v>2</v>
      </c>
      <c r="DU7" s="312">
        <v>7</v>
      </c>
      <c r="DV7" s="312">
        <v>5</v>
      </c>
      <c r="DW7" s="312">
        <v>0</v>
      </c>
      <c r="DX7" s="312">
        <v>14</v>
      </c>
      <c r="DY7" s="312">
        <v>14.3</v>
      </c>
      <c r="DZ7" s="296">
        <v>19.399999999999999</v>
      </c>
      <c r="EA7" s="296" t="s">
        <v>745</v>
      </c>
      <c r="EB7" s="296" t="s">
        <v>742</v>
      </c>
      <c r="EC7" s="296">
        <v>157</v>
      </c>
      <c r="ED7" s="296">
        <v>83</v>
      </c>
      <c r="EE7" s="296">
        <v>0.2</v>
      </c>
      <c r="EF7" s="296">
        <v>2624</v>
      </c>
      <c r="EG7" s="296">
        <v>2295</v>
      </c>
      <c r="EH7" s="296">
        <v>86</v>
      </c>
      <c r="EI7" s="296">
        <v>405</v>
      </c>
      <c r="EJ7" s="296">
        <v>34</v>
      </c>
      <c r="EK7" s="296">
        <v>9</v>
      </c>
      <c r="EL7" s="296">
        <v>427</v>
      </c>
      <c r="EM7" s="296">
        <v>115</v>
      </c>
      <c r="EN7" s="296">
        <v>51</v>
      </c>
      <c r="EO7" s="296">
        <v>94</v>
      </c>
      <c r="EP7" s="296">
        <v>77</v>
      </c>
      <c r="EQ7" s="296">
        <v>4</v>
      </c>
      <c r="ER7" s="296">
        <v>25</v>
      </c>
      <c r="ES7" s="296">
        <v>162</v>
      </c>
      <c r="ET7" s="296">
        <v>12</v>
      </c>
      <c r="EU7" s="296">
        <v>42</v>
      </c>
      <c r="EV7" s="296">
        <v>223</v>
      </c>
      <c r="EW7" s="296">
        <v>44</v>
      </c>
      <c r="EX7" s="296">
        <v>5</v>
      </c>
      <c r="EY7" s="296">
        <v>0</v>
      </c>
      <c r="EZ7" s="296">
        <v>0</v>
      </c>
      <c r="FA7" s="296">
        <v>0</v>
      </c>
      <c r="FB7" s="296">
        <v>77</v>
      </c>
      <c r="FC7" s="296" t="s">
        <v>703</v>
      </c>
      <c r="FD7" s="301">
        <v>6.9</v>
      </c>
    </row>
    <row r="8" spans="1:160" ht="24.95" customHeight="1" thickBot="1" x14ac:dyDescent="0.3">
      <c r="A8" s="29" t="str">
        <f t="shared" si="0"/>
        <v>7º</v>
      </c>
      <c r="B8" s="70" t="str">
        <f t="shared" si="1"/>
        <v>Lucas Esquivel</v>
      </c>
      <c r="C8" s="86" t="str">
        <f t="shared" si="2"/>
        <v>ARG</v>
      </c>
      <c r="D8" s="99" t="str">
        <f t="shared" si="3"/>
        <v>Pé Esquerdo</v>
      </c>
      <c r="E8" s="65" t="str">
        <f t="shared" si="4"/>
        <v>Athletico Paranaense</v>
      </c>
      <c r="F8" s="168">
        <f t="shared" si="5"/>
        <v>1.83</v>
      </c>
      <c r="G8" s="170">
        <f t="shared" si="6"/>
        <v>25</v>
      </c>
      <c r="H8" s="319" t="str">
        <f t="shared" si="7"/>
        <v>14,5m € p/m</v>
      </c>
      <c r="I8" s="66" t="str">
        <f t="shared" si="8"/>
        <v>1,4M €</v>
      </c>
      <c r="J8" s="96">
        <f t="shared" si="9"/>
        <v>32.384444444444441</v>
      </c>
      <c r="K8" s="148">
        <f t="shared" si="10"/>
        <v>37.06666666666667</v>
      </c>
      <c r="L8" s="191">
        <f t="shared" si="11"/>
        <v>50</v>
      </c>
      <c r="M8" s="191">
        <f t="shared" si="12"/>
        <v>66.72</v>
      </c>
      <c r="N8" s="192">
        <f t="shared" si="13"/>
        <v>0.5</v>
      </c>
      <c r="O8" s="55">
        <f t="shared" si="14"/>
        <v>2</v>
      </c>
      <c r="P8" s="55">
        <f t="shared" si="15"/>
        <v>5</v>
      </c>
      <c r="Q8" s="55">
        <f t="shared" si="16"/>
        <v>7</v>
      </c>
      <c r="R8" s="57">
        <f t="shared" si="17"/>
        <v>0.18884892086330934</v>
      </c>
      <c r="S8" s="56">
        <f t="shared" si="18"/>
        <v>1</v>
      </c>
      <c r="T8" s="63">
        <f t="shared" si="19"/>
        <v>2.6978417266187049E-2</v>
      </c>
      <c r="U8" s="57">
        <f t="shared" si="20"/>
        <v>0.96</v>
      </c>
      <c r="V8" s="57">
        <f t="shared" si="21"/>
        <v>2.5899280575539564E-2</v>
      </c>
      <c r="W8" s="57">
        <f t="shared" si="22"/>
        <v>0.96</v>
      </c>
      <c r="X8" s="57">
        <f t="shared" si="23"/>
        <v>2.5899280575539564E-2</v>
      </c>
      <c r="Y8" s="57">
        <f t="shared" si="24"/>
        <v>5.3</v>
      </c>
      <c r="Z8" s="57">
        <f t="shared" si="25"/>
        <v>0.14298561151079134</v>
      </c>
      <c r="AA8" s="57">
        <f t="shared" si="26"/>
        <v>6.26</v>
      </c>
      <c r="AB8" s="57">
        <f t="shared" si="27"/>
        <v>0.16888489208633092</v>
      </c>
      <c r="AC8" s="56">
        <f t="shared" si="28"/>
        <v>0</v>
      </c>
      <c r="AD8" s="56">
        <f t="shared" si="29"/>
        <v>0</v>
      </c>
      <c r="AE8" s="56">
        <f t="shared" si="30"/>
        <v>0</v>
      </c>
      <c r="AF8" s="60">
        <f t="shared" si="31"/>
        <v>9.9999999999999995E-8</v>
      </c>
      <c r="AG8" s="56">
        <f t="shared" si="32"/>
        <v>209</v>
      </c>
      <c r="AH8" s="57">
        <f t="shared" si="33"/>
        <v>5.6384892086330929</v>
      </c>
      <c r="AI8" s="55">
        <f t="shared" si="34"/>
        <v>103</v>
      </c>
      <c r="AJ8" s="57">
        <f t="shared" si="35"/>
        <v>2.778776978417266</v>
      </c>
      <c r="AK8" s="56">
        <f t="shared" si="36"/>
        <v>21</v>
      </c>
      <c r="AL8" s="57">
        <f t="shared" si="37"/>
        <v>0.56654676258992798</v>
      </c>
      <c r="AM8" s="114">
        <f t="shared" si="38"/>
        <v>0.49282296650717705</v>
      </c>
      <c r="AN8" s="56">
        <f t="shared" si="39"/>
        <v>85</v>
      </c>
      <c r="AO8" s="57">
        <f t="shared" si="40"/>
        <v>2.293165467625899</v>
      </c>
      <c r="AP8" s="56">
        <f t="shared" si="41"/>
        <v>568</v>
      </c>
      <c r="AQ8" s="57">
        <f t="shared" si="42"/>
        <v>15.323741007194243</v>
      </c>
      <c r="AR8" s="56">
        <f t="shared" si="43"/>
        <v>211</v>
      </c>
      <c r="AS8" s="57">
        <f t="shared" si="44"/>
        <v>5.6924460431654671</v>
      </c>
      <c r="AT8" s="60">
        <f t="shared" si="45"/>
        <v>0.37147887323943662</v>
      </c>
      <c r="AU8" s="61">
        <f t="shared" si="46"/>
        <v>2046</v>
      </c>
      <c r="AV8" s="62">
        <f t="shared" si="47"/>
        <v>55.197841726618698</v>
      </c>
      <c r="AW8" s="61">
        <f t="shared" si="48"/>
        <v>1807</v>
      </c>
      <c r="AX8" s="62">
        <f t="shared" si="49"/>
        <v>48.749999999999993</v>
      </c>
      <c r="AY8" s="63">
        <f t="shared" si="50"/>
        <v>0.88318670576735092</v>
      </c>
      <c r="AZ8" s="61">
        <f t="shared" si="51"/>
        <v>423</v>
      </c>
      <c r="BA8" s="57">
        <f t="shared" si="52"/>
        <v>11.411870503597122</v>
      </c>
      <c r="BB8" s="57">
        <f t="shared" si="53"/>
        <v>8.560669456066945</v>
      </c>
      <c r="BC8" s="56">
        <f t="shared" si="54"/>
        <v>1783</v>
      </c>
      <c r="BD8" s="57">
        <f t="shared" si="55"/>
        <v>48.102517985611506</v>
      </c>
      <c r="BE8" s="56">
        <f t="shared" si="56"/>
        <v>263</v>
      </c>
      <c r="BF8" s="57">
        <f t="shared" si="57"/>
        <v>7.0953237410071939</v>
      </c>
      <c r="BG8" s="320">
        <f t="shared" si="58"/>
        <v>0.14750420639371845</v>
      </c>
      <c r="BH8" s="56">
        <f t="shared" si="59"/>
        <v>210</v>
      </c>
      <c r="BI8" s="57">
        <f t="shared" si="60"/>
        <v>5.6654676258992804</v>
      </c>
      <c r="BJ8" s="56">
        <f t="shared" si="61"/>
        <v>26</v>
      </c>
      <c r="BK8" s="57">
        <f t="shared" si="62"/>
        <v>0.70143884892086328</v>
      </c>
      <c r="BL8" s="59">
        <f t="shared" si="63"/>
        <v>0.12380952380952381</v>
      </c>
      <c r="BM8" s="56">
        <f t="shared" si="64"/>
        <v>58</v>
      </c>
      <c r="BN8" s="57">
        <f t="shared" si="65"/>
        <v>1.5647482014388487</v>
      </c>
      <c r="BO8" s="57">
        <f t="shared" si="66"/>
        <v>45.698630136986303</v>
      </c>
      <c r="BP8" s="57">
        <f t="shared" si="67"/>
        <v>57.517241379310342</v>
      </c>
      <c r="BQ8" s="57">
        <f t="shared" si="68"/>
        <v>5.3</v>
      </c>
      <c r="BR8" s="57">
        <f t="shared" si="69"/>
        <v>0.29999999999999982</v>
      </c>
      <c r="BS8" s="322">
        <f t="shared" si="70"/>
        <v>95.3</v>
      </c>
      <c r="BT8" s="323">
        <f t="shared" si="71"/>
        <v>2.5710431654676258</v>
      </c>
      <c r="BU8" s="325">
        <f t="shared" si="72"/>
        <v>72</v>
      </c>
      <c r="BV8" s="326">
        <f t="shared" si="73"/>
        <v>1.9424460431654675</v>
      </c>
      <c r="BW8" s="56">
        <f t="shared" si="74"/>
        <v>5</v>
      </c>
      <c r="BX8" s="57">
        <f t="shared" si="75"/>
        <v>0.13489208633093525</v>
      </c>
      <c r="BY8" s="322">
        <f t="shared" si="76"/>
        <v>0</v>
      </c>
      <c r="BZ8" s="323">
        <f t="shared" si="77"/>
        <v>0</v>
      </c>
      <c r="CA8" s="56">
        <f t="shared" si="78"/>
        <v>2834</v>
      </c>
      <c r="CB8" s="57">
        <f t="shared" si="79"/>
        <v>76.456834532374089</v>
      </c>
      <c r="CC8" s="56">
        <f t="shared" si="80"/>
        <v>112</v>
      </c>
      <c r="CD8" s="57">
        <f t="shared" si="81"/>
        <v>3.0215827338129495</v>
      </c>
      <c r="CE8" s="56">
        <f t="shared" si="82"/>
        <v>69</v>
      </c>
      <c r="CF8" s="57">
        <f t="shared" si="83"/>
        <v>1.8615107913669062</v>
      </c>
      <c r="CG8" s="63">
        <f t="shared" si="84"/>
        <v>0.6160714285714286</v>
      </c>
      <c r="CH8" s="213">
        <f t="shared" si="85"/>
        <v>7.413333333333334</v>
      </c>
      <c r="CI8" s="212">
        <f t="shared" si="86"/>
        <v>0.2</v>
      </c>
      <c r="CJ8" s="308">
        <f t="shared" si="87"/>
        <v>243.91333333333333</v>
      </c>
      <c r="CK8" s="309">
        <f t="shared" si="88"/>
        <v>6.5803956834532364</v>
      </c>
      <c r="CL8" s="56">
        <f t="shared" si="89"/>
        <v>364</v>
      </c>
      <c r="CM8" s="56">
        <f t="shared" si="90"/>
        <v>200</v>
      </c>
      <c r="CN8" s="57">
        <f t="shared" si="91"/>
        <v>5.3956834532374094</v>
      </c>
      <c r="CO8" s="63">
        <f t="shared" si="92"/>
        <v>0.5494505494505495</v>
      </c>
      <c r="CP8" s="56">
        <f t="shared" si="93"/>
        <v>537.97</v>
      </c>
      <c r="CQ8" s="57">
        <f t="shared" si="94"/>
        <v>14.513579136690646</v>
      </c>
      <c r="CR8" s="56">
        <f t="shared" si="95"/>
        <v>385.70666666666665</v>
      </c>
      <c r="CS8" s="212">
        <f t="shared" si="96"/>
        <v>10.405755395683451</v>
      </c>
      <c r="CT8" s="213">
        <f t="shared" si="97"/>
        <v>96.25</v>
      </c>
      <c r="CU8" s="212">
        <f t="shared" si="98"/>
        <v>2.5966726618705032</v>
      </c>
      <c r="CV8" s="63">
        <f t="shared" si="99"/>
        <v>0.71696686928019526</v>
      </c>
      <c r="CW8" s="63">
        <f t="shared" si="100"/>
        <v>0.64936379997856541</v>
      </c>
      <c r="CX8" s="184">
        <f t="shared" si="101"/>
        <v>464.4</v>
      </c>
      <c r="CY8" s="185">
        <f t="shared" si="102"/>
        <v>12.528776978417264</v>
      </c>
      <c r="CZ8" s="186">
        <f t="shared" si="103"/>
        <v>704.26666666666677</v>
      </c>
      <c r="DA8" s="185">
        <f t="shared" si="104"/>
        <v>19</v>
      </c>
      <c r="DB8" s="186">
        <f t="shared" si="105"/>
        <v>466</v>
      </c>
      <c r="DC8" s="185">
        <f t="shared" si="106"/>
        <v>12.571942446043165</v>
      </c>
      <c r="DD8" s="185">
        <f t="shared" si="107"/>
        <v>12.9</v>
      </c>
      <c r="DE8" s="62">
        <f t="shared" si="108"/>
        <v>6.87</v>
      </c>
      <c r="DF8" s="316"/>
      <c r="DG8" s="313" t="s">
        <v>704</v>
      </c>
      <c r="DH8" s="313" t="s">
        <v>586</v>
      </c>
      <c r="DI8" s="313">
        <v>25</v>
      </c>
      <c r="DJ8" s="313" t="s">
        <v>705</v>
      </c>
      <c r="DK8" s="313" t="s">
        <v>689</v>
      </c>
      <c r="DL8" s="313" t="s">
        <v>478</v>
      </c>
      <c r="DM8" s="313" t="s">
        <v>652</v>
      </c>
      <c r="DN8" s="318">
        <v>47848</v>
      </c>
      <c r="DO8" s="313" t="s">
        <v>615</v>
      </c>
      <c r="DP8" s="313">
        <v>3336</v>
      </c>
      <c r="DQ8" s="313" t="s">
        <v>706</v>
      </c>
      <c r="DR8" s="313">
        <v>1</v>
      </c>
      <c r="DS8" s="313">
        <v>0</v>
      </c>
      <c r="DT8" s="313">
        <v>2</v>
      </c>
      <c r="DU8" s="313">
        <v>5</v>
      </c>
      <c r="DV8" s="313">
        <v>9</v>
      </c>
      <c r="DW8" s="313">
        <v>0</v>
      </c>
      <c r="DX8" s="313">
        <v>6</v>
      </c>
      <c r="DY8" s="313">
        <v>12.9</v>
      </c>
      <c r="DZ8" s="298">
        <v>19</v>
      </c>
      <c r="EA8" s="298" t="s">
        <v>753</v>
      </c>
      <c r="EB8" s="298" t="s">
        <v>746</v>
      </c>
      <c r="EC8" s="298">
        <v>112</v>
      </c>
      <c r="ED8" s="298">
        <v>69</v>
      </c>
      <c r="EE8" s="298">
        <v>0.2</v>
      </c>
      <c r="EF8" s="298">
        <v>2046</v>
      </c>
      <c r="EG8" s="298">
        <v>1807</v>
      </c>
      <c r="EH8" s="298">
        <v>58</v>
      </c>
      <c r="EI8" s="298">
        <v>263</v>
      </c>
      <c r="EJ8" s="298">
        <v>18</v>
      </c>
      <c r="EK8" s="298">
        <v>9</v>
      </c>
      <c r="EL8" s="298">
        <v>338</v>
      </c>
      <c r="EM8" s="298">
        <v>82</v>
      </c>
      <c r="EN8" s="298">
        <v>85</v>
      </c>
      <c r="EO8" s="298">
        <v>124</v>
      </c>
      <c r="EP8" s="298">
        <v>103</v>
      </c>
      <c r="EQ8" s="298">
        <v>5</v>
      </c>
      <c r="ER8" s="298">
        <v>21</v>
      </c>
      <c r="ES8" s="298">
        <v>131</v>
      </c>
      <c r="ET8" s="298">
        <v>13</v>
      </c>
      <c r="EU8" s="298">
        <v>40</v>
      </c>
      <c r="EV8" s="298">
        <v>210</v>
      </c>
      <c r="EW8" s="298">
        <v>26</v>
      </c>
      <c r="EX8" s="298">
        <v>5</v>
      </c>
      <c r="EY8" s="298">
        <v>5</v>
      </c>
      <c r="EZ8" s="298">
        <v>0</v>
      </c>
      <c r="FA8" s="298">
        <v>0</v>
      </c>
      <c r="FB8" s="298">
        <v>72</v>
      </c>
      <c r="FC8" s="298" t="s">
        <v>707</v>
      </c>
      <c r="FD8" s="303">
        <v>6.87</v>
      </c>
    </row>
    <row r="9" spans="1:160" ht="24.95" customHeight="1" thickBot="1" x14ac:dyDescent="0.3">
      <c r="A9" s="29" t="str">
        <f t="shared" si="0"/>
        <v>8º</v>
      </c>
      <c r="B9" s="70" t="str">
        <f t="shared" si="1"/>
        <v>Mateusinho</v>
      </c>
      <c r="C9" s="86" t="str">
        <f t="shared" si="2"/>
        <v>BRA</v>
      </c>
      <c r="D9" s="99" t="str">
        <f t="shared" si="3"/>
        <v>Pé Direito</v>
      </c>
      <c r="E9" s="65" t="str">
        <f t="shared" si="4"/>
        <v>Vitória</v>
      </c>
      <c r="F9" s="168">
        <f t="shared" si="5"/>
        <v>1.75</v>
      </c>
      <c r="G9" s="170">
        <f t="shared" si="6"/>
        <v>28</v>
      </c>
      <c r="H9" s="319" t="str">
        <f t="shared" si="7"/>
        <v>4,5m € p/m</v>
      </c>
      <c r="I9" s="66" t="str">
        <f t="shared" si="8"/>
        <v>80,8M</v>
      </c>
      <c r="J9" s="96">
        <f t="shared" si="9"/>
        <v>32.384444444444441</v>
      </c>
      <c r="K9" s="148">
        <f t="shared" si="10"/>
        <v>18.955555555555556</v>
      </c>
      <c r="L9" s="191">
        <f t="shared" si="11"/>
        <v>36</v>
      </c>
      <c r="M9" s="191">
        <f t="shared" si="12"/>
        <v>47.388888888888886</v>
      </c>
      <c r="N9" s="192">
        <f t="shared" si="13"/>
        <v>0.47</v>
      </c>
      <c r="O9" s="55">
        <f t="shared" si="14"/>
        <v>1</v>
      </c>
      <c r="P9" s="55">
        <f t="shared" si="15"/>
        <v>8</v>
      </c>
      <c r="Q9" s="55">
        <f t="shared" si="16"/>
        <v>9</v>
      </c>
      <c r="R9" s="57">
        <f t="shared" si="17"/>
        <v>0.47479484173505276</v>
      </c>
      <c r="S9" s="56">
        <f t="shared" si="18"/>
        <v>1</v>
      </c>
      <c r="T9" s="63">
        <f t="shared" si="19"/>
        <v>5.2754982415005862E-2</v>
      </c>
      <c r="U9" s="57">
        <f t="shared" si="20"/>
        <v>1.05</v>
      </c>
      <c r="V9" s="57">
        <f t="shared" si="21"/>
        <v>5.5392731535756155E-2</v>
      </c>
      <c r="W9" s="57">
        <f t="shared" si="22"/>
        <v>1.05</v>
      </c>
      <c r="X9" s="57">
        <f t="shared" si="23"/>
        <v>5.5392731535756155E-2</v>
      </c>
      <c r="Y9" s="57">
        <f t="shared" si="24"/>
        <v>5.21</v>
      </c>
      <c r="Z9" s="57">
        <f t="shared" si="25"/>
        <v>0.27485345838218056</v>
      </c>
      <c r="AA9" s="57">
        <f t="shared" si="26"/>
        <v>6.26</v>
      </c>
      <c r="AB9" s="57">
        <f t="shared" si="27"/>
        <v>0.33024618991793669</v>
      </c>
      <c r="AC9" s="56">
        <f t="shared" si="28"/>
        <v>0</v>
      </c>
      <c r="AD9" s="56">
        <f t="shared" si="29"/>
        <v>0</v>
      </c>
      <c r="AE9" s="56">
        <f t="shared" si="30"/>
        <v>0</v>
      </c>
      <c r="AF9" s="60">
        <f t="shared" si="31"/>
        <v>9.9999999999999995E-8</v>
      </c>
      <c r="AG9" s="56">
        <f t="shared" si="32"/>
        <v>46</v>
      </c>
      <c r="AH9" s="57">
        <f t="shared" si="33"/>
        <v>2.4267291910902697</v>
      </c>
      <c r="AI9" s="55">
        <f t="shared" si="34"/>
        <v>26</v>
      </c>
      <c r="AJ9" s="57">
        <f t="shared" si="35"/>
        <v>1.3716295427901524</v>
      </c>
      <c r="AK9" s="56">
        <f t="shared" si="36"/>
        <v>4</v>
      </c>
      <c r="AL9" s="57">
        <f t="shared" si="37"/>
        <v>0.21101992966002345</v>
      </c>
      <c r="AM9" s="114">
        <f t="shared" si="38"/>
        <v>0.56521739130434778</v>
      </c>
      <c r="AN9" s="56">
        <f t="shared" si="39"/>
        <v>16</v>
      </c>
      <c r="AO9" s="57">
        <f t="shared" si="40"/>
        <v>0.84407971864009379</v>
      </c>
      <c r="AP9" s="56">
        <f t="shared" si="41"/>
        <v>178</v>
      </c>
      <c r="AQ9" s="57">
        <f t="shared" si="42"/>
        <v>9.390386869871044</v>
      </c>
      <c r="AR9" s="56">
        <f t="shared" si="43"/>
        <v>72</v>
      </c>
      <c r="AS9" s="57">
        <f t="shared" si="44"/>
        <v>3.7983587338804221</v>
      </c>
      <c r="AT9" s="60">
        <f t="shared" si="45"/>
        <v>0.4044943820224719</v>
      </c>
      <c r="AU9" s="61">
        <f t="shared" si="46"/>
        <v>914</v>
      </c>
      <c r="AV9" s="62">
        <f t="shared" si="47"/>
        <v>48.21805392731536</v>
      </c>
      <c r="AW9" s="61">
        <f t="shared" si="48"/>
        <v>775</v>
      </c>
      <c r="AX9" s="62">
        <f t="shared" si="49"/>
        <v>40.885111371629542</v>
      </c>
      <c r="AY9" s="63">
        <f t="shared" si="50"/>
        <v>0.84792122538293213</v>
      </c>
      <c r="AZ9" s="61">
        <f t="shared" si="51"/>
        <v>294</v>
      </c>
      <c r="BA9" s="57">
        <f t="shared" si="52"/>
        <v>15.509964830011723</v>
      </c>
      <c r="BB9" s="57">
        <f t="shared" si="53"/>
        <v>6.5755395683453237</v>
      </c>
      <c r="BC9" s="56">
        <f t="shared" si="54"/>
        <v>787</v>
      </c>
      <c r="BD9" s="57">
        <f t="shared" si="55"/>
        <v>41.518171160609612</v>
      </c>
      <c r="BE9" s="56">
        <f t="shared" si="56"/>
        <v>127</v>
      </c>
      <c r="BF9" s="57">
        <f t="shared" si="57"/>
        <v>6.6998827667057448</v>
      </c>
      <c r="BG9" s="320">
        <f t="shared" si="58"/>
        <v>0.16137229987293519</v>
      </c>
      <c r="BH9" s="56">
        <f t="shared" si="59"/>
        <v>187</v>
      </c>
      <c r="BI9" s="57">
        <f t="shared" si="60"/>
        <v>9.8651817116060965</v>
      </c>
      <c r="BJ9" s="56">
        <f t="shared" si="61"/>
        <v>32</v>
      </c>
      <c r="BK9" s="57">
        <f t="shared" si="62"/>
        <v>1.6881594372801876</v>
      </c>
      <c r="BL9" s="59">
        <f t="shared" si="63"/>
        <v>0.17112299465240641</v>
      </c>
      <c r="BM9" s="56">
        <f t="shared" si="64"/>
        <v>45</v>
      </c>
      <c r="BN9" s="57">
        <f t="shared" si="65"/>
        <v>2.3739742086752638</v>
      </c>
      <c r="BO9" s="57">
        <f t="shared" si="66"/>
        <v>25.46268656716418</v>
      </c>
      <c r="BP9" s="57">
        <f t="shared" si="67"/>
        <v>37.911111111111111</v>
      </c>
      <c r="BQ9" s="57">
        <f t="shared" si="68"/>
        <v>5.21</v>
      </c>
      <c r="BR9" s="57">
        <f t="shared" si="69"/>
        <v>-2.79</v>
      </c>
      <c r="BS9" s="322">
        <f t="shared" si="70"/>
        <v>96.21</v>
      </c>
      <c r="BT9" s="323">
        <f t="shared" si="71"/>
        <v>5.0755568581477135</v>
      </c>
      <c r="BU9" s="325">
        <f t="shared" si="72"/>
        <v>39</v>
      </c>
      <c r="BV9" s="326">
        <f t="shared" si="73"/>
        <v>2.0574443141852288</v>
      </c>
      <c r="BW9" s="56">
        <f t="shared" si="74"/>
        <v>2</v>
      </c>
      <c r="BX9" s="57">
        <f t="shared" si="75"/>
        <v>0.10550996483001172</v>
      </c>
      <c r="BY9" s="322">
        <f t="shared" si="76"/>
        <v>0</v>
      </c>
      <c r="BZ9" s="323">
        <f t="shared" si="77"/>
        <v>0</v>
      </c>
      <c r="CA9" s="56">
        <f t="shared" si="78"/>
        <v>1391</v>
      </c>
      <c r="CB9" s="57">
        <f t="shared" si="79"/>
        <v>73.382180539273151</v>
      </c>
      <c r="CC9" s="56">
        <f t="shared" si="80"/>
        <v>67</v>
      </c>
      <c r="CD9" s="57">
        <f t="shared" si="81"/>
        <v>3.5345838218053927</v>
      </c>
      <c r="CE9" s="56">
        <f t="shared" si="82"/>
        <v>40</v>
      </c>
      <c r="CF9" s="57">
        <f t="shared" si="83"/>
        <v>2.1101992966002343</v>
      </c>
      <c r="CG9" s="63">
        <f t="shared" si="84"/>
        <v>0.59701492537313428</v>
      </c>
      <c r="CH9" s="213">
        <f t="shared" si="85"/>
        <v>5.6866666666666665</v>
      </c>
      <c r="CI9" s="212">
        <f t="shared" si="86"/>
        <v>0.3</v>
      </c>
      <c r="CJ9" s="308">
        <f t="shared" si="87"/>
        <v>109.68666666666667</v>
      </c>
      <c r="CK9" s="309">
        <f t="shared" si="88"/>
        <v>5.7865181711606093</v>
      </c>
      <c r="CL9" s="56">
        <f t="shared" si="89"/>
        <v>307</v>
      </c>
      <c r="CM9" s="56">
        <f t="shared" si="90"/>
        <v>160.5</v>
      </c>
      <c r="CN9" s="57">
        <f t="shared" si="91"/>
        <v>8.4671746776084404</v>
      </c>
      <c r="CO9" s="63">
        <f t="shared" si="92"/>
        <v>0.5228013029315961</v>
      </c>
      <c r="CP9" s="56">
        <f t="shared" si="93"/>
        <v>223.32</v>
      </c>
      <c r="CQ9" s="57">
        <f t="shared" si="94"/>
        <v>11.781242672919108</v>
      </c>
      <c r="CR9" s="56">
        <f t="shared" si="95"/>
        <v>175.84333333333333</v>
      </c>
      <c r="CS9" s="212">
        <f t="shared" si="96"/>
        <v>9.276611957796014</v>
      </c>
      <c r="CT9" s="213">
        <f t="shared" si="97"/>
        <v>21</v>
      </c>
      <c r="CU9" s="212">
        <f t="shared" si="98"/>
        <v>1.1078546307151231</v>
      </c>
      <c r="CV9" s="63">
        <f t="shared" si="99"/>
        <v>0.78740521822198339</v>
      </c>
      <c r="CW9" s="63">
        <f t="shared" si="100"/>
        <v>0.63422713330316305</v>
      </c>
      <c r="CX9" s="184">
        <f t="shared" si="101"/>
        <v>242.2</v>
      </c>
      <c r="CY9" s="185">
        <f t="shared" si="102"/>
        <v>12.777256740914419</v>
      </c>
      <c r="CZ9" s="186">
        <f t="shared" si="103"/>
        <v>420.81333333333333</v>
      </c>
      <c r="DA9" s="185">
        <f t="shared" si="104"/>
        <v>22.2</v>
      </c>
      <c r="DB9" s="186">
        <f t="shared" si="105"/>
        <v>321</v>
      </c>
      <c r="DC9" s="185">
        <f t="shared" si="106"/>
        <v>16.934349355216881</v>
      </c>
      <c r="DD9" s="185">
        <f t="shared" si="107"/>
        <v>14.9</v>
      </c>
      <c r="DE9" s="62">
        <f t="shared" si="108"/>
        <v>6.94</v>
      </c>
      <c r="DF9" s="316"/>
      <c r="DG9" s="313" t="s">
        <v>618</v>
      </c>
      <c r="DH9" s="313" t="s">
        <v>588</v>
      </c>
      <c r="DI9" s="313">
        <v>28</v>
      </c>
      <c r="DJ9" s="313" t="s">
        <v>620</v>
      </c>
      <c r="DK9" s="313" t="s">
        <v>708</v>
      </c>
      <c r="DL9" s="313" t="s">
        <v>13</v>
      </c>
      <c r="DM9" s="313" t="s">
        <v>644</v>
      </c>
      <c r="DN9" s="318">
        <v>47118</v>
      </c>
      <c r="DO9" s="313" t="s">
        <v>592</v>
      </c>
      <c r="DP9" s="313">
        <v>1706</v>
      </c>
      <c r="DQ9" s="313" t="s">
        <v>709</v>
      </c>
      <c r="DR9" s="313">
        <v>1</v>
      </c>
      <c r="DS9" s="313">
        <v>0</v>
      </c>
      <c r="DT9" s="313">
        <v>1</v>
      </c>
      <c r="DU9" s="313">
        <v>8</v>
      </c>
      <c r="DV9" s="313">
        <v>4</v>
      </c>
      <c r="DW9" s="313">
        <v>0</v>
      </c>
      <c r="DX9" s="313">
        <v>14</v>
      </c>
      <c r="DY9" s="313">
        <v>14.9</v>
      </c>
      <c r="DZ9" s="298">
        <v>22.2</v>
      </c>
      <c r="EA9" s="298" t="s">
        <v>754</v>
      </c>
      <c r="EB9" s="298" t="s">
        <v>747</v>
      </c>
      <c r="EC9" s="298">
        <v>67</v>
      </c>
      <c r="ED9" s="298">
        <v>40</v>
      </c>
      <c r="EE9" s="298">
        <v>0.3</v>
      </c>
      <c r="EF9" s="298">
        <v>914</v>
      </c>
      <c r="EG9" s="298">
        <v>775</v>
      </c>
      <c r="EH9" s="298">
        <v>45</v>
      </c>
      <c r="EI9" s="298">
        <v>127</v>
      </c>
      <c r="EJ9" s="298">
        <v>22</v>
      </c>
      <c r="EK9" s="298">
        <v>8</v>
      </c>
      <c r="EL9" s="298">
        <v>124</v>
      </c>
      <c r="EM9" s="298">
        <v>36</v>
      </c>
      <c r="EN9" s="298">
        <v>16</v>
      </c>
      <c r="EO9" s="298">
        <v>30</v>
      </c>
      <c r="EP9" s="298">
        <v>26</v>
      </c>
      <c r="EQ9" s="298">
        <v>2</v>
      </c>
      <c r="ER9" s="298">
        <v>8</v>
      </c>
      <c r="ES9" s="298">
        <v>77</v>
      </c>
      <c r="ET9" s="298">
        <v>4</v>
      </c>
      <c r="EU9" s="298">
        <v>16</v>
      </c>
      <c r="EV9" s="298">
        <v>187</v>
      </c>
      <c r="EW9" s="298">
        <v>32</v>
      </c>
      <c r="EX9" s="298">
        <v>4</v>
      </c>
      <c r="EY9" s="298">
        <v>1</v>
      </c>
      <c r="EZ9" s="298">
        <v>0</v>
      </c>
      <c r="FA9" s="298">
        <v>0</v>
      </c>
      <c r="FB9" s="298">
        <v>39</v>
      </c>
      <c r="FC9" s="298" t="s">
        <v>710</v>
      </c>
      <c r="FD9" s="303">
        <v>6.94</v>
      </c>
    </row>
    <row r="10" spans="1:160" ht="24.95" customHeight="1" thickBot="1" x14ac:dyDescent="0.3">
      <c r="A10" s="29" t="str">
        <f t="shared" si="0"/>
        <v>9º</v>
      </c>
      <c r="B10" s="70" t="str">
        <f t="shared" si="1"/>
        <v>Paulo Henrique</v>
      </c>
      <c r="C10" s="86" t="str">
        <f t="shared" si="2"/>
        <v>BRA</v>
      </c>
      <c r="D10" s="99" t="str">
        <f t="shared" si="3"/>
        <v>Pé Direito</v>
      </c>
      <c r="E10" s="65" t="str">
        <f t="shared" si="4"/>
        <v>Vasco da Gama</v>
      </c>
      <c r="F10" s="168">
        <f t="shared" si="5"/>
        <v>1.75</v>
      </c>
      <c r="G10" s="170">
        <f t="shared" si="6"/>
        <v>30</v>
      </c>
      <c r="H10" s="319" t="str">
        <f t="shared" si="7"/>
        <v>41,5m € p/m</v>
      </c>
      <c r="I10" s="66" t="str">
        <f t="shared" si="8"/>
        <v>3,4M</v>
      </c>
      <c r="J10" s="96">
        <f t="shared" si="9"/>
        <v>32.384444444444441</v>
      </c>
      <c r="K10" s="148">
        <f t="shared" si="10"/>
        <v>36.333333333333336</v>
      </c>
      <c r="L10" s="191">
        <f t="shared" si="11"/>
        <v>44</v>
      </c>
      <c r="M10" s="191">
        <f t="shared" si="12"/>
        <v>74.318181818181813</v>
      </c>
      <c r="N10" s="192">
        <f t="shared" si="13"/>
        <v>0.93</v>
      </c>
      <c r="O10" s="55">
        <f t="shared" si="14"/>
        <v>3</v>
      </c>
      <c r="P10" s="55">
        <f t="shared" si="15"/>
        <v>10</v>
      </c>
      <c r="Q10" s="55">
        <f t="shared" si="16"/>
        <v>13</v>
      </c>
      <c r="R10" s="57">
        <f t="shared" si="17"/>
        <v>0.35779816513761464</v>
      </c>
      <c r="S10" s="56">
        <f t="shared" si="18"/>
        <v>4</v>
      </c>
      <c r="T10" s="63">
        <f t="shared" si="19"/>
        <v>0.11009174311926605</v>
      </c>
      <c r="U10" s="57">
        <f t="shared" si="20"/>
        <v>3.2</v>
      </c>
      <c r="V10" s="57">
        <f t="shared" si="21"/>
        <v>8.8073394495412849E-2</v>
      </c>
      <c r="W10" s="57">
        <f t="shared" si="22"/>
        <v>3.2</v>
      </c>
      <c r="X10" s="57">
        <f t="shared" si="23"/>
        <v>8.8073394495412849E-2</v>
      </c>
      <c r="Y10" s="57">
        <f t="shared" si="24"/>
        <v>9.4</v>
      </c>
      <c r="Z10" s="57">
        <f t="shared" si="25"/>
        <v>0.25871559633027524</v>
      </c>
      <c r="AA10" s="57">
        <f t="shared" si="26"/>
        <v>12.600000000000001</v>
      </c>
      <c r="AB10" s="57">
        <f t="shared" si="27"/>
        <v>0.34678899082568809</v>
      </c>
      <c r="AC10" s="56">
        <f t="shared" si="28"/>
        <v>0</v>
      </c>
      <c r="AD10" s="56">
        <f t="shared" si="29"/>
        <v>0</v>
      </c>
      <c r="AE10" s="56">
        <f t="shared" si="30"/>
        <v>0</v>
      </c>
      <c r="AF10" s="60">
        <f t="shared" si="31"/>
        <v>9.9999999999999995E-8</v>
      </c>
      <c r="AG10" s="56">
        <f t="shared" si="32"/>
        <v>148</v>
      </c>
      <c r="AH10" s="57">
        <f t="shared" si="33"/>
        <v>4.0733944954128436</v>
      </c>
      <c r="AI10" s="55">
        <f t="shared" si="34"/>
        <v>88</v>
      </c>
      <c r="AJ10" s="57">
        <f t="shared" si="35"/>
        <v>2.4220183486238529</v>
      </c>
      <c r="AK10" s="56">
        <f t="shared" si="36"/>
        <v>23</v>
      </c>
      <c r="AL10" s="57">
        <f t="shared" si="37"/>
        <v>0.6330275229357798</v>
      </c>
      <c r="AM10" s="114">
        <f t="shared" si="38"/>
        <v>0.59459459459459463</v>
      </c>
      <c r="AN10" s="56">
        <f t="shared" si="39"/>
        <v>37</v>
      </c>
      <c r="AO10" s="57">
        <f t="shared" si="40"/>
        <v>1.0183486238532109</v>
      </c>
      <c r="AP10" s="56">
        <f t="shared" si="41"/>
        <v>511</v>
      </c>
      <c r="AQ10" s="57">
        <f t="shared" si="42"/>
        <v>14.064220183486238</v>
      </c>
      <c r="AR10" s="56">
        <f t="shared" si="43"/>
        <v>217</v>
      </c>
      <c r="AS10" s="57">
        <f t="shared" si="44"/>
        <v>5.9724770642201834</v>
      </c>
      <c r="AT10" s="60">
        <f t="shared" si="45"/>
        <v>0.42465753424657532</v>
      </c>
      <c r="AU10" s="61">
        <f t="shared" si="46"/>
        <v>2152</v>
      </c>
      <c r="AV10" s="62">
        <f t="shared" si="47"/>
        <v>59.229357798165132</v>
      </c>
      <c r="AW10" s="61">
        <f t="shared" si="48"/>
        <v>1873</v>
      </c>
      <c r="AX10" s="62">
        <f t="shared" si="49"/>
        <v>51.550458715596328</v>
      </c>
      <c r="AY10" s="63">
        <f t="shared" si="50"/>
        <v>0.87035315985130113</v>
      </c>
      <c r="AZ10" s="61">
        <f t="shared" si="51"/>
        <v>387</v>
      </c>
      <c r="BA10" s="57">
        <f t="shared" si="52"/>
        <v>10.651376146788991</v>
      </c>
      <c r="BB10" s="57">
        <f t="shared" si="53"/>
        <v>7.7132616487455197</v>
      </c>
      <c r="BC10" s="56">
        <f t="shared" si="54"/>
        <v>1896</v>
      </c>
      <c r="BD10" s="57">
        <f t="shared" si="55"/>
        <v>52.183486238532105</v>
      </c>
      <c r="BE10" s="56">
        <f t="shared" si="56"/>
        <v>256</v>
      </c>
      <c r="BF10" s="57">
        <f t="shared" si="57"/>
        <v>7.045871559633027</v>
      </c>
      <c r="BG10" s="320">
        <f t="shared" si="58"/>
        <v>0.13502109704641349</v>
      </c>
      <c r="BH10" s="56">
        <f t="shared" si="59"/>
        <v>127</v>
      </c>
      <c r="BI10" s="57">
        <f t="shared" si="60"/>
        <v>3.4954128440366969</v>
      </c>
      <c r="BJ10" s="56">
        <f t="shared" si="61"/>
        <v>19</v>
      </c>
      <c r="BK10" s="57">
        <f t="shared" si="62"/>
        <v>0.52293577981651373</v>
      </c>
      <c r="BL10" s="59">
        <f t="shared" si="63"/>
        <v>0.14960629921259844</v>
      </c>
      <c r="BM10" s="56">
        <f t="shared" si="64"/>
        <v>54</v>
      </c>
      <c r="BN10" s="57">
        <f t="shared" si="65"/>
        <v>1.4862385321100917</v>
      </c>
      <c r="BO10" s="57">
        <f t="shared" si="66"/>
        <v>37.159090909090907</v>
      </c>
      <c r="BP10" s="57">
        <f t="shared" si="67"/>
        <v>60.555555555555557</v>
      </c>
      <c r="BQ10" s="57">
        <f t="shared" si="68"/>
        <v>9.4</v>
      </c>
      <c r="BR10" s="57">
        <f t="shared" si="69"/>
        <v>-0.59999999999999964</v>
      </c>
      <c r="BS10" s="322">
        <f t="shared" si="70"/>
        <v>98.4</v>
      </c>
      <c r="BT10" s="323">
        <f t="shared" si="71"/>
        <v>2.7082568807339449</v>
      </c>
      <c r="BU10" s="325">
        <f t="shared" si="72"/>
        <v>69</v>
      </c>
      <c r="BV10" s="326">
        <f t="shared" si="73"/>
        <v>1.8990825688073394</v>
      </c>
      <c r="BW10" s="56">
        <f t="shared" si="74"/>
        <v>8</v>
      </c>
      <c r="BX10" s="57">
        <f t="shared" si="75"/>
        <v>0.22018348623853209</v>
      </c>
      <c r="BY10" s="322">
        <f t="shared" si="76"/>
        <v>1</v>
      </c>
      <c r="BZ10" s="323">
        <f t="shared" si="77"/>
        <v>2.7522935779816512E-2</v>
      </c>
      <c r="CA10" s="56">
        <f t="shared" si="78"/>
        <v>2820</v>
      </c>
      <c r="CB10" s="57">
        <f t="shared" si="79"/>
        <v>77.614678899082563</v>
      </c>
      <c r="CC10" s="56">
        <f t="shared" si="80"/>
        <v>135</v>
      </c>
      <c r="CD10" s="57">
        <f t="shared" si="81"/>
        <v>3.7155963302752291</v>
      </c>
      <c r="CE10" s="56">
        <f t="shared" si="82"/>
        <v>63</v>
      </c>
      <c r="CF10" s="57">
        <f t="shared" si="83"/>
        <v>1.7339449541284402</v>
      </c>
      <c r="CG10" s="63">
        <f t="shared" si="84"/>
        <v>0.46666666666666667</v>
      </c>
      <c r="CH10" s="213">
        <f t="shared" si="85"/>
        <v>7.2666666666666675</v>
      </c>
      <c r="CI10" s="212">
        <f t="shared" si="86"/>
        <v>0.2</v>
      </c>
      <c r="CJ10" s="308">
        <f t="shared" si="87"/>
        <v>234.26666666666668</v>
      </c>
      <c r="CK10" s="309">
        <f t="shared" si="88"/>
        <v>6.4477064220183484</v>
      </c>
      <c r="CL10" s="56">
        <f t="shared" si="89"/>
        <v>313</v>
      </c>
      <c r="CM10" s="56">
        <f t="shared" si="90"/>
        <v>203</v>
      </c>
      <c r="CN10" s="57">
        <f t="shared" si="91"/>
        <v>5.5871559633027523</v>
      </c>
      <c r="CO10" s="63">
        <f t="shared" si="92"/>
        <v>0.6485623003194888</v>
      </c>
      <c r="CP10" s="56">
        <f t="shared" si="93"/>
        <v>513.31999999999994</v>
      </c>
      <c r="CQ10" s="57">
        <f t="shared" si="94"/>
        <v>14.128073394495409</v>
      </c>
      <c r="CR10" s="56">
        <f t="shared" si="95"/>
        <v>382.63333333333333</v>
      </c>
      <c r="CS10" s="212">
        <f t="shared" si="96"/>
        <v>10.531192660550458</v>
      </c>
      <c r="CT10" s="213">
        <f t="shared" si="97"/>
        <v>47</v>
      </c>
      <c r="CU10" s="212">
        <f t="shared" si="98"/>
        <v>1.2935779816513762</v>
      </c>
      <c r="CV10" s="63">
        <f t="shared" si="99"/>
        <v>0.74540897166160169</v>
      </c>
      <c r="CW10" s="63">
        <f t="shared" si="100"/>
        <v>0.70872462645625589</v>
      </c>
      <c r="CX10" s="184">
        <f t="shared" si="101"/>
        <v>453.2</v>
      </c>
      <c r="CY10" s="185">
        <f t="shared" si="102"/>
        <v>12.473394495412842</v>
      </c>
      <c r="CZ10" s="186">
        <f t="shared" si="103"/>
        <v>635.83333333333337</v>
      </c>
      <c r="DA10" s="185">
        <f t="shared" si="104"/>
        <v>17.5</v>
      </c>
      <c r="DB10" s="186">
        <f t="shared" si="105"/>
        <v>459</v>
      </c>
      <c r="DC10" s="185">
        <f t="shared" si="106"/>
        <v>12.633027522935778</v>
      </c>
      <c r="DD10" s="185">
        <f t="shared" si="107"/>
        <v>12.1</v>
      </c>
      <c r="DE10" s="62">
        <f t="shared" si="108"/>
        <v>7.04</v>
      </c>
      <c r="DF10" s="316" t="s">
        <v>640</v>
      </c>
      <c r="DG10" s="313" t="s">
        <v>728</v>
      </c>
      <c r="DH10" s="313" t="s">
        <v>588</v>
      </c>
      <c r="DI10" s="313">
        <v>30</v>
      </c>
      <c r="DJ10" s="313" t="s">
        <v>729</v>
      </c>
      <c r="DK10" s="313" t="s">
        <v>651</v>
      </c>
      <c r="DL10" s="313" t="s">
        <v>13</v>
      </c>
      <c r="DM10" s="313" t="s">
        <v>644</v>
      </c>
      <c r="DN10" s="318">
        <v>47118</v>
      </c>
      <c r="DO10" s="313" t="s">
        <v>583</v>
      </c>
      <c r="DP10" s="313">
        <v>3270</v>
      </c>
      <c r="DQ10" s="313" t="s">
        <v>730</v>
      </c>
      <c r="DR10" s="313">
        <v>4</v>
      </c>
      <c r="DS10" s="313">
        <v>1</v>
      </c>
      <c r="DT10" s="313">
        <v>3</v>
      </c>
      <c r="DU10" s="313">
        <v>10</v>
      </c>
      <c r="DV10" s="313">
        <v>4</v>
      </c>
      <c r="DW10" s="313">
        <v>1</v>
      </c>
      <c r="DX10" s="313">
        <v>16</v>
      </c>
      <c r="DY10" s="313">
        <v>12.1</v>
      </c>
      <c r="DZ10" s="298">
        <v>17.5</v>
      </c>
      <c r="EA10" s="298" t="s">
        <v>757</v>
      </c>
      <c r="EB10" s="298" t="s">
        <v>750</v>
      </c>
      <c r="EC10" s="298">
        <v>135</v>
      </c>
      <c r="ED10" s="298">
        <v>63</v>
      </c>
      <c r="EE10" s="298">
        <v>0.2</v>
      </c>
      <c r="EF10" s="298">
        <v>2152</v>
      </c>
      <c r="EG10" s="298">
        <v>1873</v>
      </c>
      <c r="EH10" s="298">
        <v>54</v>
      </c>
      <c r="EI10" s="298">
        <v>256</v>
      </c>
      <c r="EJ10" s="298">
        <v>47</v>
      </c>
      <c r="EK10" s="298">
        <v>18</v>
      </c>
      <c r="EL10" s="298">
        <v>340</v>
      </c>
      <c r="EM10" s="298">
        <v>98</v>
      </c>
      <c r="EN10" s="298">
        <v>37</v>
      </c>
      <c r="EO10" s="298">
        <v>111</v>
      </c>
      <c r="EP10" s="298">
        <v>88</v>
      </c>
      <c r="EQ10" s="298">
        <v>8</v>
      </c>
      <c r="ER10" s="298">
        <v>23</v>
      </c>
      <c r="ES10" s="298">
        <v>135</v>
      </c>
      <c r="ET10" s="298">
        <v>17</v>
      </c>
      <c r="EU10" s="298">
        <v>45</v>
      </c>
      <c r="EV10" s="298">
        <v>127</v>
      </c>
      <c r="EW10" s="298">
        <v>19</v>
      </c>
      <c r="EX10" s="298">
        <v>1</v>
      </c>
      <c r="EY10" s="298">
        <v>0</v>
      </c>
      <c r="EZ10" s="298">
        <v>0</v>
      </c>
      <c r="FA10" s="298">
        <v>0</v>
      </c>
      <c r="FB10" s="298">
        <v>69</v>
      </c>
      <c r="FC10" s="298" t="s">
        <v>731</v>
      </c>
      <c r="FD10" s="303">
        <v>7.04</v>
      </c>
    </row>
    <row r="11" spans="1:160" ht="24.95" customHeight="1" thickBot="1" x14ac:dyDescent="0.3">
      <c r="A11" s="29" t="str">
        <f t="shared" si="0"/>
        <v>10º</v>
      </c>
      <c r="B11" s="70" t="str">
        <f t="shared" si="1"/>
        <v>Vanderlan</v>
      </c>
      <c r="C11" s="86" t="str">
        <f t="shared" si="2"/>
        <v>BRA</v>
      </c>
      <c r="D11" s="99" t="str">
        <f t="shared" si="3"/>
        <v>Somente Pé Esquerdo</v>
      </c>
      <c r="E11" s="65" t="str">
        <f t="shared" si="4"/>
        <v>Bragantino</v>
      </c>
      <c r="F11" s="168">
        <f t="shared" si="5"/>
        <v>1.83</v>
      </c>
      <c r="G11" s="170">
        <f t="shared" si="6"/>
        <v>24</v>
      </c>
      <c r="H11" s="319" t="str">
        <f t="shared" si="7"/>
        <v>9,5m € p/m</v>
      </c>
      <c r="I11" s="66" t="str">
        <f t="shared" si="8"/>
        <v>5,8M €</v>
      </c>
      <c r="J11" s="96">
        <f t="shared" si="9"/>
        <v>32.384444444444441</v>
      </c>
      <c r="K11" s="148">
        <f t="shared" si="10"/>
        <v>21.333333333333332</v>
      </c>
      <c r="L11" s="191">
        <f t="shared" si="11"/>
        <v>47</v>
      </c>
      <c r="M11" s="191">
        <f t="shared" si="12"/>
        <v>40.851063829787236</v>
      </c>
      <c r="N11" s="192">
        <f t="shared" si="13"/>
        <v>0.38</v>
      </c>
      <c r="O11" s="55">
        <f t="shared" si="14"/>
        <v>1</v>
      </c>
      <c r="P11" s="55">
        <f t="shared" si="15"/>
        <v>5</v>
      </c>
      <c r="Q11" s="55">
        <f t="shared" si="16"/>
        <v>6</v>
      </c>
      <c r="R11" s="57">
        <f t="shared" si="17"/>
        <v>0.28125</v>
      </c>
      <c r="S11" s="56">
        <f t="shared" si="18"/>
        <v>0</v>
      </c>
      <c r="T11" s="63">
        <f t="shared" si="19"/>
        <v>0</v>
      </c>
      <c r="U11" s="57">
        <f t="shared" si="20"/>
        <v>2.29</v>
      </c>
      <c r="V11" s="57">
        <f t="shared" si="21"/>
        <v>0.10734375</v>
      </c>
      <c r="W11" s="57">
        <f t="shared" si="22"/>
        <v>1.5</v>
      </c>
      <c r="X11" s="57">
        <f t="shared" si="23"/>
        <v>7.03125E-2</v>
      </c>
      <c r="Y11" s="57">
        <f t="shared" si="24"/>
        <v>3.82</v>
      </c>
      <c r="Z11" s="57">
        <f t="shared" si="25"/>
        <v>0.17906250000000001</v>
      </c>
      <c r="AA11" s="57">
        <f t="shared" si="26"/>
        <v>5.32</v>
      </c>
      <c r="AB11" s="57">
        <f t="shared" si="27"/>
        <v>0.24937500000000001</v>
      </c>
      <c r="AC11" s="56">
        <f t="shared" si="28"/>
        <v>1</v>
      </c>
      <c r="AD11" s="56">
        <f t="shared" si="29"/>
        <v>1</v>
      </c>
      <c r="AE11" s="56">
        <f t="shared" si="30"/>
        <v>0</v>
      </c>
      <c r="AF11" s="60">
        <f t="shared" si="31"/>
        <v>1</v>
      </c>
      <c r="AG11" s="56">
        <f t="shared" si="32"/>
        <v>108</v>
      </c>
      <c r="AH11" s="57">
        <f t="shared" si="33"/>
        <v>5.0625</v>
      </c>
      <c r="AI11" s="55">
        <f t="shared" si="34"/>
        <v>53</v>
      </c>
      <c r="AJ11" s="57">
        <f t="shared" si="35"/>
        <v>2.484375</v>
      </c>
      <c r="AK11" s="56">
        <f t="shared" si="36"/>
        <v>24</v>
      </c>
      <c r="AL11" s="57">
        <f t="shared" si="37"/>
        <v>1.125</v>
      </c>
      <c r="AM11" s="114">
        <f t="shared" si="38"/>
        <v>0.49074074074074076</v>
      </c>
      <c r="AN11" s="56">
        <f t="shared" si="39"/>
        <v>31</v>
      </c>
      <c r="AO11" s="57">
        <f t="shared" si="40"/>
        <v>1.453125</v>
      </c>
      <c r="AP11" s="56">
        <f t="shared" si="41"/>
        <v>307</v>
      </c>
      <c r="AQ11" s="57">
        <f t="shared" si="42"/>
        <v>14.390625</v>
      </c>
      <c r="AR11" s="56">
        <f t="shared" si="43"/>
        <v>125</v>
      </c>
      <c r="AS11" s="57">
        <f t="shared" si="44"/>
        <v>5.859375</v>
      </c>
      <c r="AT11" s="60">
        <f t="shared" si="45"/>
        <v>0.40716612377850164</v>
      </c>
      <c r="AU11" s="61">
        <f t="shared" si="46"/>
        <v>1444</v>
      </c>
      <c r="AV11" s="62">
        <f t="shared" si="47"/>
        <v>67.6875</v>
      </c>
      <c r="AW11" s="61">
        <f t="shared" si="48"/>
        <v>1264</v>
      </c>
      <c r="AX11" s="62">
        <f t="shared" si="49"/>
        <v>59.25</v>
      </c>
      <c r="AY11" s="63">
        <f t="shared" si="50"/>
        <v>0.8753462603878116</v>
      </c>
      <c r="AZ11" s="61">
        <f t="shared" si="51"/>
        <v>261</v>
      </c>
      <c r="BA11" s="57">
        <f t="shared" si="52"/>
        <v>12.234375</v>
      </c>
      <c r="BB11" s="57">
        <f t="shared" si="53"/>
        <v>8.0222222222222221</v>
      </c>
      <c r="BC11" s="56">
        <f t="shared" si="54"/>
        <v>1243</v>
      </c>
      <c r="BD11" s="57">
        <f t="shared" si="55"/>
        <v>58.265625</v>
      </c>
      <c r="BE11" s="56">
        <f t="shared" si="56"/>
        <v>201</v>
      </c>
      <c r="BF11" s="57">
        <f t="shared" si="57"/>
        <v>9.421875</v>
      </c>
      <c r="BG11" s="320">
        <f t="shared" si="58"/>
        <v>0.16170555108608206</v>
      </c>
      <c r="BH11" s="56">
        <f t="shared" si="59"/>
        <v>101</v>
      </c>
      <c r="BI11" s="57">
        <f t="shared" si="60"/>
        <v>4.734375</v>
      </c>
      <c r="BJ11" s="56">
        <f t="shared" si="61"/>
        <v>20</v>
      </c>
      <c r="BK11" s="57">
        <f t="shared" si="62"/>
        <v>0.9375</v>
      </c>
      <c r="BL11" s="59">
        <f t="shared" si="63"/>
        <v>0.19801980198019803</v>
      </c>
      <c r="BM11" s="56">
        <f t="shared" si="64"/>
        <v>35</v>
      </c>
      <c r="BN11" s="57">
        <f t="shared" si="65"/>
        <v>1.640625</v>
      </c>
      <c r="BO11" s="57">
        <f t="shared" si="66"/>
        <v>36.92307692307692</v>
      </c>
      <c r="BP11" s="57">
        <f t="shared" si="67"/>
        <v>54.857142857142854</v>
      </c>
      <c r="BQ11" s="57">
        <f t="shared" si="68"/>
        <v>3.82</v>
      </c>
      <c r="BR11" s="57">
        <f t="shared" si="69"/>
        <v>-1.1800000000000002</v>
      </c>
      <c r="BS11" s="322">
        <f t="shared" si="70"/>
        <v>67.819999999999993</v>
      </c>
      <c r="BT11" s="323">
        <f t="shared" si="71"/>
        <v>3.1790624999999997</v>
      </c>
      <c r="BU11" s="325">
        <f t="shared" si="72"/>
        <v>32</v>
      </c>
      <c r="BV11" s="326">
        <f t="shared" si="73"/>
        <v>1.5</v>
      </c>
      <c r="BW11" s="56">
        <f t="shared" si="74"/>
        <v>6</v>
      </c>
      <c r="BX11" s="57">
        <f t="shared" si="75"/>
        <v>0.28125</v>
      </c>
      <c r="BY11" s="322">
        <f t="shared" si="76"/>
        <v>0</v>
      </c>
      <c r="BZ11" s="323">
        <f t="shared" si="77"/>
        <v>0</v>
      </c>
      <c r="CA11" s="56">
        <f t="shared" si="78"/>
        <v>1924</v>
      </c>
      <c r="CB11" s="57">
        <f t="shared" si="79"/>
        <v>90.1875</v>
      </c>
      <c r="CC11" s="56">
        <f t="shared" si="80"/>
        <v>89</v>
      </c>
      <c r="CD11" s="57">
        <f t="shared" si="81"/>
        <v>4.171875</v>
      </c>
      <c r="CE11" s="56">
        <f t="shared" si="82"/>
        <v>68</v>
      </c>
      <c r="CF11" s="57">
        <f t="shared" si="83"/>
        <v>3.1875</v>
      </c>
      <c r="CG11" s="63">
        <f t="shared" si="84"/>
        <v>0.7640449438202247</v>
      </c>
      <c r="CH11" s="213">
        <f t="shared" si="85"/>
        <v>10.666666666666666</v>
      </c>
      <c r="CI11" s="212">
        <f t="shared" si="86"/>
        <v>0.5</v>
      </c>
      <c r="CJ11" s="308">
        <f t="shared" si="87"/>
        <v>160.66666666666666</v>
      </c>
      <c r="CK11" s="309">
        <f t="shared" si="88"/>
        <v>7.53125</v>
      </c>
      <c r="CL11" s="56">
        <f t="shared" si="89"/>
        <v>195</v>
      </c>
      <c r="CM11" s="56">
        <f t="shared" si="90"/>
        <v>121.5</v>
      </c>
      <c r="CN11" s="57">
        <f t="shared" si="91"/>
        <v>5.6953125</v>
      </c>
      <c r="CO11" s="63">
        <f t="shared" si="92"/>
        <v>0.62307692307692308</v>
      </c>
      <c r="CP11" s="56">
        <f t="shared" si="93"/>
        <v>352.31</v>
      </c>
      <c r="CQ11" s="57">
        <f t="shared" si="94"/>
        <v>16.514531250000001</v>
      </c>
      <c r="CR11" s="56">
        <f t="shared" si="95"/>
        <v>278.33333333333331</v>
      </c>
      <c r="CS11" s="212">
        <f t="shared" si="96"/>
        <v>13.046875</v>
      </c>
      <c r="CT11" s="213">
        <f t="shared" si="97"/>
        <v>39.75</v>
      </c>
      <c r="CU11" s="212">
        <f t="shared" si="98"/>
        <v>1.86328125</v>
      </c>
      <c r="CV11" s="63">
        <f t="shared" si="99"/>
        <v>0.79002393725223041</v>
      </c>
      <c r="CW11" s="63">
        <f t="shared" si="100"/>
        <v>0.73054271497566892</v>
      </c>
      <c r="CX11" s="184">
        <f t="shared" si="101"/>
        <v>276.5</v>
      </c>
      <c r="CY11" s="185">
        <f t="shared" si="102"/>
        <v>12.9609375</v>
      </c>
      <c r="CZ11" s="186">
        <f t="shared" si="103"/>
        <v>364.8</v>
      </c>
      <c r="DA11" s="185">
        <f t="shared" si="104"/>
        <v>17.100000000000001</v>
      </c>
      <c r="DB11" s="186">
        <f t="shared" si="105"/>
        <v>282</v>
      </c>
      <c r="DC11" s="185">
        <f t="shared" si="106"/>
        <v>13.21875</v>
      </c>
      <c r="DD11" s="185">
        <f t="shared" si="107"/>
        <v>13.7</v>
      </c>
      <c r="DE11" s="62">
        <f t="shared" si="108"/>
        <v>6.97</v>
      </c>
      <c r="DF11" s="315" t="s">
        <v>19</v>
      </c>
      <c r="DG11" s="312" t="s">
        <v>734</v>
      </c>
      <c r="DH11" s="312" t="s">
        <v>586</v>
      </c>
      <c r="DI11" s="312">
        <v>24</v>
      </c>
      <c r="DJ11" s="312" t="s">
        <v>735</v>
      </c>
      <c r="DK11" s="312" t="s">
        <v>736</v>
      </c>
      <c r="DL11" s="312" t="s">
        <v>13</v>
      </c>
      <c r="DM11" s="312" t="s">
        <v>650</v>
      </c>
      <c r="DN11" s="317">
        <v>47848</v>
      </c>
      <c r="DO11" s="312" t="s">
        <v>555</v>
      </c>
      <c r="DP11" s="312">
        <v>1920</v>
      </c>
      <c r="DQ11" s="312" t="s">
        <v>737</v>
      </c>
      <c r="DR11" s="312">
        <v>0</v>
      </c>
      <c r="DS11" s="312">
        <v>0</v>
      </c>
      <c r="DT11" s="312">
        <v>1</v>
      </c>
      <c r="DU11" s="312">
        <v>5</v>
      </c>
      <c r="DV11" s="312">
        <v>7</v>
      </c>
      <c r="DW11" s="312">
        <v>0</v>
      </c>
      <c r="DX11" s="312">
        <v>9</v>
      </c>
      <c r="DY11" s="312">
        <v>13.7</v>
      </c>
      <c r="DZ11" s="296">
        <v>17.100000000000001</v>
      </c>
      <c r="EA11" s="296" t="s">
        <v>759</v>
      </c>
      <c r="EB11" s="296" t="s">
        <v>752</v>
      </c>
      <c r="EC11" s="296">
        <v>89</v>
      </c>
      <c r="ED11" s="296">
        <v>68</v>
      </c>
      <c r="EE11" s="296">
        <v>0.5</v>
      </c>
      <c r="EF11" s="296">
        <v>1444</v>
      </c>
      <c r="EG11" s="296">
        <v>1264</v>
      </c>
      <c r="EH11" s="296">
        <v>35</v>
      </c>
      <c r="EI11" s="296">
        <v>201</v>
      </c>
      <c r="EJ11" s="296">
        <v>18</v>
      </c>
      <c r="EK11" s="296">
        <v>8</v>
      </c>
      <c r="EL11" s="296">
        <v>182</v>
      </c>
      <c r="EM11" s="296">
        <v>49</v>
      </c>
      <c r="EN11" s="296">
        <v>31</v>
      </c>
      <c r="EO11" s="296">
        <v>77</v>
      </c>
      <c r="EP11" s="296">
        <v>53</v>
      </c>
      <c r="EQ11" s="296">
        <v>6</v>
      </c>
      <c r="ER11" s="296">
        <v>17</v>
      </c>
      <c r="ES11" s="296">
        <v>94</v>
      </c>
      <c r="ET11" s="296">
        <v>8</v>
      </c>
      <c r="EU11" s="296">
        <v>27</v>
      </c>
      <c r="EV11" s="296">
        <v>101</v>
      </c>
      <c r="EW11" s="296">
        <v>20</v>
      </c>
      <c r="EX11" s="296">
        <v>8</v>
      </c>
      <c r="EY11" s="296">
        <v>0</v>
      </c>
      <c r="EZ11" s="296">
        <v>1</v>
      </c>
      <c r="FA11" s="296">
        <v>1</v>
      </c>
      <c r="FB11" s="296">
        <v>32</v>
      </c>
      <c r="FC11" s="296" t="s">
        <v>738</v>
      </c>
      <c r="FD11" s="301">
        <v>6.97</v>
      </c>
    </row>
  </sheetData>
  <autoFilter ref="B1:FD11">
    <sortState ref="B2:FD11">
      <sortCondition ref="B1:B11"/>
    </sortState>
  </autoFilter>
  <phoneticPr fontId="53" type="noConversion"/>
  <conditionalFormatting sqref="O1:O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5">
      <iconSet iconSet="4Arrows">
        <cfvo type="percent" val="0"/>
        <cfvo type="percent" val="25"/>
        <cfvo type="percent" val="50"/>
        <cfvo type="percent" val="75"/>
      </iconSet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05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17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2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2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Q104857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9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iconSet" priority="2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9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21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</conditionalFormatting>
  <conditionalFormatting sqref="AP1:AT1048576">
    <cfRule type="colorScale" priority="50928">
      <colorScale>
        <cfvo type="min"/>
        <cfvo type="percentile" val="50"/>
        <cfvo type="max"/>
        <color theme="7" tint="0.79998168889431442"/>
        <color theme="7" tint="0.59999389629810485"/>
        <color theme="7" tint="0.39997558519241921"/>
      </colorScale>
    </cfRule>
  </conditionalFormatting>
  <conditionalFormatting sqref="BM1:BM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8">
      <colorScale>
        <cfvo type="min"/>
        <cfvo type="percentile" val="50"/>
        <cfvo type="max"/>
        <color rgb="FFF8696B"/>
        <color theme="4" tint="0.39997558519241921"/>
        <color rgb="FF00B0F0"/>
      </colorScale>
    </cfRule>
  </conditionalFormatting>
  <conditionalFormatting sqref="Q1:Q1048576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70">
      <iconSet iconSet="3ArrowsGray" reverse="1">
        <cfvo type="percent" val="0"/>
        <cfvo type="percent" val="33"/>
        <cfvo type="percent" val="67"/>
      </iconSet>
    </cfRule>
    <cfRule type="colorScale" priority="277">
      <colorScale>
        <cfvo type="min"/>
        <cfvo type="max"/>
        <color rgb="FFFCFCFF"/>
        <color rgb="FFF8696B"/>
      </colorScale>
    </cfRule>
  </conditionalFormatting>
  <conditionalFormatting sqref="BA1:BA1048576">
    <cfRule type="colorScale" priority="278">
      <colorScale>
        <cfvo type="min"/>
        <cfvo type="max"/>
        <color rgb="FFFCFCFF"/>
        <color rgb="FFF8696B"/>
      </colorScale>
    </cfRule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:CL1048576">
    <cfRule type="iconSet" priority="26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N1048576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2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2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iconSet" priority="25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max"/>
        <color rgb="FFFCFCFF"/>
        <color rgb="FFF8696B"/>
      </colorScale>
    </cfRule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iconSet" priority="25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80">
      <colorScale>
        <cfvo type="min"/>
        <cfvo type="max"/>
        <color rgb="FFFCFCFF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2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2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44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352">
      <iconSet iconSet="3Arrows">
        <cfvo type="percent" val="0"/>
        <cfvo type="num" val="6.7"/>
        <cfvo type="num" val="7"/>
      </iconSet>
    </cfRule>
  </conditionalFormatting>
  <conditionalFormatting sqref="DE1:DE104857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AB1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">
    <cfRule type="colorScale" priority="325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">
    <cfRule type="colorScale" priority="32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330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">
    <cfRule type="colorScale" priority="32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colorScale" priority="32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">
    <cfRule type="colorScale" priority="3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">
    <cfRule type="colorScale" priority="3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">
    <cfRule type="colorScale" priority="32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C1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7">
      <colorScale>
        <cfvo type="min"/>
        <cfvo type="max"/>
        <color rgb="FFFFEF9C"/>
        <color rgb="FF63BE7B"/>
      </colorScale>
    </cfRule>
  </conditionalFormatting>
  <conditionalFormatting sqref="AC1:AC1048576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max"/>
        <color rgb="FFFFEF9C"/>
        <color rgb="FF63BE7B"/>
      </colorScale>
    </cfRule>
  </conditionalFormatting>
  <conditionalFormatting sqref="AD2:AF1048576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F1048576">
    <cfRule type="colorScale" priority="310">
      <colorScale>
        <cfvo type="min"/>
        <cfvo type="max"/>
        <color rgb="FFFFEF9C"/>
        <color rgb="FF63BE7B"/>
      </colorScale>
    </cfRule>
  </conditionalFormatting>
  <conditionalFormatting sqref="AD1:AF1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F1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max"/>
        <color rgb="FFFFEF9C"/>
        <color rgb="FF63BE7B"/>
      </colorScale>
    </cfRule>
  </conditionalFormatting>
  <conditionalFormatting sqref="AE1">
    <cfRule type="colorScale" priority="305">
      <colorScale>
        <cfvo type="min"/>
        <cfvo type="max"/>
        <color rgb="FFFCFCFF"/>
        <color rgb="FFF8696B"/>
      </colorScale>
    </cfRule>
  </conditionalFormatting>
  <conditionalFormatting sqref="AF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2">
      <colorScale>
        <cfvo type="min"/>
        <cfvo type="max"/>
        <color rgb="FFFCFCFF"/>
        <color rgb="FFF8696B"/>
      </colorScale>
    </cfRule>
  </conditionalFormatting>
  <conditionalFormatting sqref="AF1:AF1048576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{C9556B89-F02C-494E-8924-135F87758A8B}</x14:id>
        </ext>
      </extLst>
    </cfRule>
    <cfRule type="colorScale" priority="29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V1:V1048576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{33F0FCFA-36D1-4279-B529-7B31F58C517D}</x14:id>
        </ext>
      </extLst>
    </cfRule>
    <cfRule type="colorScale" priority="29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{953C22EF-0DA8-4FEF-8116-2565270667DC}</x14:id>
        </ext>
      </extLst>
    </cfRule>
    <cfRule type="colorScale" priority="29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{3B384AA2-138D-4DBB-938B-E3D0EDF42314}</x14:id>
        </ext>
      </extLst>
    </cfRule>
    <cfRule type="colorScale" priority="29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{864C00F7-7CF2-488B-A48D-7D7888BCE7F8}</x14:id>
        </ext>
      </extLst>
    </cfRule>
    <cfRule type="colorScale" priority="29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{F6A0A220-5AE8-4657-92AA-0F2E4724DFF0}</x14:id>
        </ext>
      </extLst>
    </cfRule>
    <cfRule type="colorScale" priority="29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{1F65FE95-19E7-45D1-8A6E-1BC9EC43E665}</x14:id>
        </ext>
      </extLst>
    </cfRule>
    <cfRule type="colorScale" priority="29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{B76FC543-0DC4-420D-B2D3-20A769E744B2}</x14:id>
        </ext>
      </extLst>
    </cfRule>
    <cfRule type="colorScale" priority="29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G2:G11">
    <cfRule type="colorScale" priority="76324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K1:AK1048576">
    <cfRule type="colorScale" priority="236">
      <colorScale>
        <cfvo type="min"/>
        <cfvo type="max"/>
        <color rgb="FFFCFCFF"/>
        <color rgb="FFF8696B"/>
      </colorScale>
    </cfRule>
  </conditionalFormatting>
  <conditionalFormatting sqref="AL1:AL1048576">
    <cfRule type="colorScale" priority="235">
      <colorScale>
        <cfvo type="min"/>
        <cfvo type="max"/>
        <color rgb="FFFCFCFF"/>
        <color rgb="FFF8696B"/>
      </colorScale>
    </cfRule>
  </conditionalFormatting>
  <conditionalFormatting sqref="CX1:CX1048576">
    <cfRule type="colorScale" priority="231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23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B1:DB1048576">
    <cfRule type="iconSet" priority="21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0">
      <colorScale>
        <cfvo type="min"/>
        <cfvo type="max"/>
        <color rgb="FFFCFCFF"/>
        <color rgb="FFF8696B"/>
      </colorScale>
    </cfRule>
  </conditionalFormatting>
  <conditionalFormatting sqref="DC1:DC1048576">
    <cfRule type="iconSet" priority="216">
      <iconSet iconSet="3Arrows" reverse="1">
        <cfvo type="percent" val="0"/>
        <cfvo type="percent" val="33"/>
        <cfvo type="percent" val="67"/>
      </iconSet>
    </cfRule>
    <cfRule type="colorScale" priority="219">
      <colorScale>
        <cfvo type="min"/>
        <cfvo type="max"/>
        <color rgb="FFFCFCFF"/>
        <color rgb="FFF8696B"/>
      </colorScale>
    </cfRule>
  </conditionalFormatting>
  <conditionalFormatting sqref="DD1:DD1048576">
    <cfRule type="iconSet" priority="21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0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9">
      <iconSet iconSet="3ArrowsGray">
        <cfvo type="percent" val="0"/>
        <cfvo type="percent" val="33"/>
        <cfvo type="percent" val="67"/>
      </iconSet>
    </cfRule>
  </conditionalFormatting>
  <conditionalFormatting sqref="T1:T1048576">
    <cfRule type="colorScale" priority="20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8">
      <iconSet iconSet="3ArrowsGray">
        <cfvo type="percent" val="0"/>
        <cfvo type="percent" val="33"/>
        <cfvo type="percent" val="67"/>
      </iconSet>
    </cfRule>
  </conditionalFormatting>
  <conditionalFormatting sqref="BQ1:BQ1048576">
    <cfRule type="colorScale" priority="19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{828E7614-D558-4A4A-BE37-DFA7F077EC1A}</x14:id>
        </ext>
      </extLst>
    </cfRule>
  </conditionalFormatting>
  <conditionalFormatting sqref="I1:I1048576">
    <cfRule type="containsText" dxfId="5" priority="192" operator="containsText" text="Desconhecido">
      <formula>NOT(ISERROR(SEARCH("Desconhecido",I1)))</formula>
    </cfRule>
  </conditionalFormatting>
  <conditionalFormatting sqref="DA1:DA104857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180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76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N1:N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{E900F056-9E90-40A6-9CAC-59D7BCC49E47}</x14:id>
        </ext>
      </extLst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1">
    <cfRule type="colorScale" priority="172">
      <colorScale>
        <cfvo type="num" val="0"/>
        <cfvo type="num" val="1.75"/>
        <cfvo type="num" val="1.84"/>
        <color rgb="FFF8696B"/>
        <color rgb="FFFFEB84"/>
        <color rgb="FF63BE7B"/>
      </colorScale>
    </cfRule>
  </conditionalFormatting>
  <conditionalFormatting sqref="AZ1:AZ1048576">
    <cfRule type="colorScale" priority="171">
      <colorScale>
        <cfvo type="min"/>
        <cfvo type="max"/>
        <color rgb="FFFFAFAF"/>
        <color rgb="FFF8696B"/>
      </colorScale>
    </cfRule>
  </conditionalFormatting>
  <conditionalFormatting sqref="CA1:CA1048576">
    <cfRule type="iconSet" priority="1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max"/>
        <color rgb="FFFFEF9C"/>
        <color rgb="FF63BE7B"/>
      </colorScale>
    </cfRule>
  </conditionalFormatting>
  <conditionalFormatting sqref="CB1:CB1048576">
    <cfRule type="iconSet" priority="150">
      <iconSet iconSet="3Arrows">
        <cfvo type="percent" val="0"/>
        <cfvo type="percent" val="33"/>
        <cfvo type="percent" val="67"/>
      </iconSet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iconSet" priority="146">
      <iconSet iconSet="3ArrowsGray">
        <cfvo type="percent" val="0"/>
        <cfvo type="percent" val="33"/>
        <cfvo type="percent" val="67"/>
      </iconSet>
    </cfRule>
    <cfRule type="colorScale" priority="149">
      <colorScale>
        <cfvo type="min"/>
        <cfvo type="max"/>
        <color rgb="FFFFEF9C"/>
        <color rgb="FF63BE7B"/>
      </colorScale>
    </cfRule>
  </conditionalFormatting>
  <conditionalFormatting sqref="CE1:CE1048576">
    <cfRule type="iconSet" priority="145">
      <iconSet iconSet="3ArrowsGray">
        <cfvo type="percent" val="0"/>
        <cfvo type="percent" val="33"/>
        <cfvo type="percent" val="67"/>
      </iconSet>
    </cfRule>
    <cfRule type="colorScale" priority="148">
      <colorScale>
        <cfvo type="min"/>
        <cfvo type="max"/>
        <color rgb="FFFFEF9C"/>
        <color rgb="FF63BE7B"/>
      </colorScale>
    </cfRule>
  </conditionalFormatting>
  <conditionalFormatting sqref="CG1:CG1048576">
    <cfRule type="iconSet" priority="13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0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BO1:BO104857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:BP1048576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iconSet" priority="1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1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colorScale" priority="11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Z1:CZ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78">
      <iconSet iconSet="3ArrowsGray">
        <cfvo type="percent" val="0"/>
        <cfvo type="percent" val="33"/>
        <cfvo type="percent" val="67"/>
      </iconSet>
    </cfRule>
    <cfRule type="colorScale" priority="7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R1:CR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{AB6A3896-9054-41C5-B4D3-CED4049B13F6}</x14:id>
        </ext>
      </extLst>
    </cfRule>
    <cfRule type="iconSet" priority="83">
      <iconSet iconSet="3ArrowsGray" reverse="1">
        <cfvo type="percent" val="0"/>
        <cfvo type="percent" val="33"/>
        <cfvo type="percent" val="67"/>
      </iconSet>
    </cfRule>
    <cfRule type="colorScale" priority="85">
      <colorScale>
        <cfvo type="min"/>
        <cfvo type="max"/>
        <color rgb="FFFCFCFF"/>
        <color rgb="FFF8696B"/>
      </colorScale>
    </cfRule>
  </conditionalFormatting>
  <conditionalFormatting sqref="CU1:CU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{ACF1B960-8F63-428D-A700-25AEB66F934D}</x14:id>
        </ext>
      </extLst>
    </cfRule>
    <cfRule type="iconSet" priority="82">
      <iconSet iconSet="3ArrowsGray" reverse="1">
        <cfvo type="percent" val="0"/>
        <cfvo type="percent" val="33"/>
        <cfvo type="percent" val="67"/>
      </iconSet>
    </cfRule>
    <cfRule type="colorScale" priority="84">
      <colorScale>
        <cfvo type="min"/>
        <cfvo type="max"/>
        <color rgb="FFFCFCFF"/>
        <color rgb="FFF8696B"/>
      </colorScale>
    </cfRule>
  </conditionalFormatting>
  <conditionalFormatting sqref="CV1:CV1048576">
    <cfRule type="iconSet" priority="80">
      <iconSet iconSet="3Arrows">
        <cfvo type="percent" val="0"/>
        <cfvo type="percent" val="33"/>
        <cfvo type="percent" val="67"/>
      </iconSet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76">
      <iconSet iconSet="3ArrowsGray">
        <cfvo type="percent" val="0"/>
        <cfvo type="percent" val="33"/>
        <cfvo type="percent" val="67"/>
      </iconSet>
    </cfRule>
    <cfRule type="colorScale" priority="7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H1:CH1048576">
    <cfRule type="iconSet" priority="69">
      <iconSet iconSet="3Arrows">
        <cfvo type="percent" val="0"/>
        <cfvo type="percent" val="33"/>
        <cfvo type="percent" val="67"/>
      </iconSe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68">
      <iconSet iconSet="3Arrows">
        <cfvo type="percent" val="0"/>
        <cfvo type="percent" val="33"/>
        <cfvo type="percent" val="67"/>
      </iconSet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">
      <colorScale>
        <cfvo type="min"/>
        <cfvo type="max"/>
        <color rgb="FFFFEF9C"/>
        <color rgb="FF63BE7B"/>
      </colorScale>
    </cfRule>
  </conditionalFormatting>
  <conditionalFormatting sqref="AV1:AV1048576">
    <cfRule type="iconSet" priority="5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">
      <colorScale>
        <cfvo type="min"/>
        <cfvo type="max"/>
        <color rgb="FFFFEF9C"/>
        <color rgb="FF63BE7B"/>
      </colorScale>
    </cfRule>
  </conditionalFormatting>
  <conditionalFormatting sqref="AW1:AW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T1048576 AJ1:AJ1048576">
    <cfRule type="colorScale" priority="2362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iconSet" priority="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{5A030120-1816-4600-9BE4-3F68DB0809B6}</x14:id>
        </ext>
      </extLst>
    </cfRule>
    <cfRule type="colorScale" priority="48">
      <colorScale>
        <cfvo type="min"/>
        <cfvo type="percentile" val="50"/>
        <cfvo type="max"/>
        <color rgb="FFF8696B"/>
        <color theme="7" tint="0.59999389629810485"/>
        <color rgb="FF00B0F0"/>
      </colorScale>
    </cfRule>
  </conditionalFormatting>
  <conditionalFormatting sqref="CD1:CD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">
      <colorScale>
        <cfvo type="min"/>
        <cfvo type="max"/>
        <color rgb="FFFFEF9C"/>
        <color rgb="FF63BE7B"/>
      </colorScale>
    </cfRule>
  </conditionalFormatting>
  <conditionalFormatting sqref="CF1:CF1048576"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max"/>
        <color rgb="FFFFEF9C"/>
        <color rgb="FF63BE7B"/>
      </colorScale>
    </cfRule>
  </conditionalFormatting>
  <conditionalFormatting sqref="BC1:BC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BF1:BF1048576">
    <cfRule type="iconSet" priority="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G1:BG104857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{8D722F36-64F3-441C-8517-CA38EE422AE9}</x14:id>
        </ext>
      </extLst>
    </cfRule>
  </conditionalFormatting>
  <conditionalFormatting sqref="BR1:BR1048576">
    <cfRule type="iconSet" priority="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">
      <colorScale>
        <cfvo type="num" val="-9.9999999999999991E-22"/>
        <cfvo type="num" val="0"/>
        <cfvo type="num" val="1"/>
        <color rgb="FFF8696B"/>
        <color theme="4" tint="0.79998168889431442"/>
        <color rgb="FF00B0F0"/>
      </colorScale>
    </cfRule>
  </conditionalFormatting>
  <conditionalFormatting sqref="BS1:BS1048576">
    <cfRule type="dataBar" priority="21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{D13C0685-632B-4089-929A-700BF6AC574C}</x14:id>
        </ext>
      </extLst>
    </cfRule>
  </conditionalFormatting>
  <conditionalFormatting sqref="BT1:BT1048576">
    <cfRule type="dataBar" priority="20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{962866D0-D2AA-4C61-914D-7BFF31599013}</x14:id>
        </ext>
      </extLst>
    </cfRule>
  </conditionalFormatting>
  <conditionalFormatting sqref="BY1:BY1048576">
    <cfRule type="dataBar" priority="15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{42050A4E-B1A9-4C5E-9947-0A1D78E02C28}</x14:id>
        </ext>
      </extLst>
    </cfRule>
  </conditionalFormatting>
  <conditionalFormatting sqref="BZ1:BZ1048576">
    <cfRule type="dataBar" priority="14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{7E6A37C6-6FD7-4467-9B21-3F07A0185A98}</x14:id>
        </ext>
      </extLst>
    </cfRule>
  </conditionalFormatting>
  <conditionalFormatting sqref="BU1:BU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1:BV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1:CJ1048576">
    <cfRule type="dataBar" priority="9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{CA99C9C1-0EFA-4E15-B951-5BAC2A0DB9F2}</x14:id>
        </ext>
      </extLst>
    </cfRule>
  </conditionalFormatting>
  <conditionalFormatting sqref="CK1:CK1048576">
    <cfRule type="dataBar" priority="8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{849200F5-9D75-4C2C-805D-EF45B98E4C81}</x14:id>
        </ext>
      </extLst>
    </cfRule>
  </conditionalFormatting>
  <conditionalFormatting sqref="DE12:DE1048576 DE1">
    <cfRule type="colorScale" priority="238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1">
    <cfRule type="colorScale" priority="2383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1">
    <cfRule type="colorScale" priority="2383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383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38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F11">
    <cfRule type="colorScale" priority="2383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556B89-F02C-494E-8924-135F87758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33F0FCFA-36D1-4279-B529-7B31F58C5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53C22EF-0DA8-4FEF-8116-256527066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3B384AA2-138D-4DBB-938B-E3D0EDF423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864C00F7-7CF2-488B-A48D-7D7888BCE7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6A0A220-5AE8-4657-92AA-0F2E4724DF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1F65FE95-19E7-45D1-8A6E-1BC9EC43E6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B76FC543-0DC4-420D-B2D3-20A769E744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828E7614-D558-4A4A-BE37-DFA7F077EC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E900F056-9E90-40A6-9CAC-59D7BCC49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AB6A3896-9054-41C5-B4D3-CED4049B13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CT1:CT1048576</xm:sqref>
        </x14:conditionalFormatting>
        <x14:conditionalFormatting xmlns:xm="http://schemas.microsoft.com/office/excel/2006/main">
          <x14:cfRule type="dataBar" id="{ACF1B960-8F63-428D-A700-25AEB66F93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CU1:CU1048576</xm:sqref>
        </x14:conditionalFormatting>
        <x14:conditionalFormatting xmlns:xm="http://schemas.microsoft.com/office/excel/2006/main">
          <x14:cfRule type="dataBar" id="{5A030120-1816-4600-9BE4-3F68DB080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BL1:BL1048576</xm:sqref>
        </x14:conditionalFormatting>
        <x14:conditionalFormatting xmlns:xm="http://schemas.microsoft.com/office/excel/2006/main">
          <x14:cfRule type="dataBar" id="{8D722F36-64F3-441C-8517-CA38EE422A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D13C0685-632B-4089-929A-700BF6AC5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962866D0-D2AA-4C61-914D-7BFF315990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42050A4E-B1A9-4C5E-9947-0A1D78E02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7E6A37C6-6FD7-4467-9B21-3F07A0185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CA99C9C1-0EFA-4E15-B951-5BAC2A0DB9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849200F5-9D75-4C2C-805D-EF45B98E4C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CK1:CK1048576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-0.499984740745262"/>
  </sheetPr>
  <dimension ref="A1:EU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0.7109375" customWidth="1"/>
    <col min="5" max="5" width="23" bestFit="1" customWidth="1"/>
    <col min="6" max="6" width="14.7109375" customWidth="1"/>
    <col min="7" max="7" width="15.7109375" customWidth="1"/>
    <col min="8" max="8" width="15.140625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5" width="18.7109375" style="13" customWidth="1"/>
    <col min="16" max="18" width="18.7109375" customWidth="1"/>
    <col min="19" max="20" width="18.7109375" style="13" customWidth="1"/>
    <col min="21" max="79" width="18.7109375" customWidth="1"/>
    <col min="80" max="80" width="18.7109375" hidden="1" customWidth="1"/>
    <col min="81" max="85" width="18.7109375" customWidth="1"/>
    <col min="86" max="92" width="18.7109375" style="11" customWidth="1"/>
    <col min="93" max="93" width="18.7109375" style="374" customWidth="1"/>
    <col min="94" max="97" width="18.7109375" style="11" customWidth="1"/>
    <col min="98" max="99" width="18.7109375" customWidth="1"/>
    <col min="100" max="100" width="19.7109375" customWidth="1"/>
    <col min="101" max="104" width="18.7109375" customWidth="1"/>
    <col min="105" max="105" width="8.7109375" customWidth="1"/>
    <col min="106" max="106" width="10.7109375" style="1" customWidth="1"/>
    <col min="107" max="107" width="11.140625" style="1" customWidth="1"/>
    <col min="108" max="113" width="10.7109375" style="1" customWidth="1"/>
    <col min="114" max="114" width="11.5703125" style="1" customWidth="1"/>
    <col min="115" max="151" width="10.7109375" style="1" customWidth="1"/>
  </cols>
  <sheetData>
    <row r="1" spans="1:151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122</v>
      </c>
      <c r="J1" s="4" t="s">
        <v>21</v>
      </c>
      <c r="K1" s="4" t="s">
        <v>231</v>
      </c>
      <c r="L1" s="4" t="s">
        <v>131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65</v>
      </c>
      <c r="R1" s="224" t="s">
        <v>66</v>
      </c>
      <c r="S1" s="98" t="s">
        <v>38</v>
      </c>
      <c r="T1" s="98" t="s">
        <v>416</v>
      </c>
      <c r="U1" s="104" t="s">
        <v>241</v>
      </c>
      <c r="V1" s="104" t="s">
        <v>238</v>
      </c>
      <c r="W1" s="105" t="s">
        <v>239</v>
      </c>
      <c r="X1" s="104" t="s">
        <v>240</v>
      </c>
      <c r="Y1" s="19" t="s">
        <v>67</v>
      </c>
      <c r="Z1" s="17" t="s">
        <v>64</v>
      </c>
      <c r="AA1" s="142" t="s">
        <v>68</v>
      </c>
      <c r="AB1" s="371" t="s">
        <v>69</v>
      </c>
      <c r="AC1" s="371" t="s">
        <v>494</v>
      </c>
      <c r="AD1" s="158" t="s">
        <v>98</v>
      </c>
      <c r="AE1" s="22" t="s">
        <v>102</v>
      </c>
      <c r="AF1" s="95" t="s">
        <v>225</v>
      </c>
      <c r="AG1" s="95" t="s">
        <v>226</v>
      </c>
      <c r="AH1" s="95" t="s">
        <v>227</v>
      </c>
      <c r="AI1" s="95" t="s">
        <v>228</v>
      </c>
      <c r="AJ1" s="95" t="s">
        <v>229</v>
      </c>
      <c r="AK1" s="175" t="s">
        <v>274</v>
      </c>
      <c r="AL1" s="175" t="s">
        <v>402</v>
      </c>
      <c r="AM1" s="175" t="s">
        <v>403</v>
      </c>
      <c r="AN1" s="175" t="s">
        <v>271</v>
      </c>
      <c r="AO1" s="175" t="s">
        <v>441</v>
      </c>
      <c r="AP1" s="176" t="s">
        <v>98</v>
      </c>
      <c r="AQ1" s="176" t="s">
        <v>404</v>
      </c>
      <c r="AR1" s="4" t="s">
        <v>78</v>
      </c>
      <c r="AS1" s="4" t="s">
        <v>46</v>
      </c>
      <c r="AT1" s="4" t="s">
        <v>156</v>
      </c>
      <c r="AU1" s="4" t="s">
        <v>79</v>
      </c>
      <c r="AV1" s="165" t="s">
        <v>27</v>
      </c>
      <c r="AW1" s="165" t="s">
        <v>44</v>
      </c>
      <c r="AX1" s="4" t="s">
        <v>77</v>
      </c>
      <c r="AY1" s="38" t="s">
        <v>286</v>
      </c>
      <c r="AZ1" s="38" t="s">
        <v>315</v>
      </c>
      <c r="BA1" s="38" t="s">
        <v>576</v>
      </c>
      <c r="BB1" s="38" t="s">
        <v>284</v>
      </c>
      <c r="BC1" s="80" t="s">
        <v>283</v>
      </c>
      <c r="BD1" s="39" t="s">
        <v>182</v>
      </c>
      <c r="BE1" s="39" t="s">
        <v>400</v>
      </c>
      <c r="BF1" s="39" t="s">
        <v>43</v>
      </c>
      <c r="BG1" s="39" t="s">
        <v>401</v>
      </c>
      <c r="BH1" s="144" t="s">
        <v>247</v>
      </c>
      <c r="BI1" s="144" t="s">
        <v>382</v>
      </c>
      <c r="BJ1" s="39" t="s">
        <v>71</v>
      </c>
      <c r="BK1" s="51" t="s">
        <v>465</v>
      </c>
      <c r="BL1" s="51" t="s">
        <v>466</v>
      </c>
      <c r="BM1" s="16" t="s">
        <v>72</v>
      </c>
      <c r="BN1" s="16" t="s">
        <v>159</v>
      </c>
      <c r="BO1" s="16" t="s">
        <v>73</v>
      </c>
      <c r="BP1" s="16" t="s">
        <v>577</v>
      </c>
      <c r="BQ1" s="16" t="s">
        <v>298</v>
      </c>
      <c r="BR1" s="343" t="s">
        <v>74</v>
      </c>
      <c r="BS1" s="343" t="s">
        <v>578</v>
      </c>
      <c r="BT1" s="216" t="s">
        <v>463</v>
      </c>
      <c r="BU1" s="216" t="s">
        <v>464</v>
      </c>
      <c r="BV1" s="16" t="s">
        <v>60</v>
      </c>
      <c r="BW1" s="4" t="s">
        <v>76</v>
      </c>
      <c r="BX1" s="4" t="s">
        <v>80</v>
      </c>
      <c r="BY1" s="42" t="s">
        <v>379</v>
      </c>
      <c r="BZ1" s="42" t="s">
        <v>237</v>
      </c>
      <c r="CA1" s="43" t="s">
        <v>132</v>
      </c>
      <c r="CB1" s="111" t="s">
        <v>479</v>
      </c>
      <c r="CC1" s="42" t="s">
        <v>480</v>
      </c>
      <c r="CD1" s="43" t="s">
        <v>278</v>
      </c>
      <c r="CE1" s="43" t="s">
        <v>310</v>
      </c>
      <c r="CF1" s="43" t="s">
        <v>309</v>
      </c>
      <c r="CG1" s="43" t="s">
        <v>275</v>
      </c>
      <c r="CH1" s="173" t="s">
        <v>164</v>
      </c>
      <c r="CI1" s="120" t="s">
        <v>142</v>
      </c>
      <c r="CJ1" s="119" t="s">
        <v>145</v>
      </c>
      <c r="CK1" s="119" t="s">
        <v>143</v>
      </c>
      <c r="CL1" s="119" t="s">
        <v>146</v>
      </c>
      <c r="CM1" s="338" t="s">
        <v>451</v>
      </c>
      <c r="CN1" s="338" t="s">
        <v>452</v>
      </c>
      <c r="CO1" s="372" t="s">
        <v>144</v>
      </c>
      <c r="CP1" s="46" t="s">
        <v>169</v>
      </c>
      <c r="CQ1" s="46" t="s">
        <v>457</v>
      </c>
      <c r="CR1" s="172" t="s">
        <v>397</v>
      </c>
      <c r="CS1" s="172" t="s">
        <v>132</v>
      </c>
      <c r="CT1" s="44" t="s">
        <v>348</v>
      </c>
      <c r="CU1" s="44" t="s">
        <v>349</v>
      </c>
      <c r="CV1" s="341" t="s">
        <v>430</v>
      </c>
      <c r="CW1" s="43" t="s">
        <v>414</v>
      </c>
      <c r="CX1" s="43" t="s">
        <v>415</v>
      </c>
      <c r="CY1" s="43" t="s">
        <v>180</v>
      </c>
      <c r="CZ1" s="118" t="s">
        <v>25</v>
      </c>
      <c r="DA1" s="293" t="s">
        <v>14</v>
      </c>
      <c r="DB1" s="294" t="s">
        <v>621</v>
      </c>
      <c r="DC1" s="294" t="s">
        <v>20</v>
      </c>
      <c r="DD1" s="294" t="s">
        <v>1</v>
      </c>
      <c r="DE1" s="294" t="s">
        <v>0</v>
      </c>
      <c r="DF1" s="294" t="s">
        <v>29</v>
      </c>
      <c r="DG1" s="294" t="s">
        <v>40</v>
      </c>
      <c r="DH1" s="294" t="s">
        <v>2</v>
      </c>
      <c r="DI1" s="294" t="s">
        <v>3</v>
      </c>
      <c r="DJ1" s="294" t="s">
        <v>89</v>
      </c>
      <c r="DK1" s="294" t="s">
        <v>622</v>
      </c>
      <c r="DL1" s="294" t="s">
        <v>683</v>
      </c>
      <c r="DM1" s="294" t="s">
        <v>30</v>
      </c>
      <c r="DN1" s="294" t="s">
        <v>624</v>
      </c>
      <c r="DO1" s="294" t="s">
        <v>684</v>
      </c>
      <c r="DP1" s="294" t="s">
        <v>685</v>
      </c>
      <c r="DQ1" s="294" t="s">
        <v>63</v>
      </c>
      <c r="DR1" s="294" t="s">
        <v>264</v>
      </c>
      <c r="DS1" s="294" t="s">
        <v>4</v>
      </c>
      <c r="DT1" s="294" t="s">
        <v>179</v>
      </c>
      <c r="DU1" s="294" t="s">
        <v>166</v>
      </c>
      <c r="DV1" s="294" t="s">
        <v>646</v>
      </c>
      <c r="DW1" s="294" t="s">
        <v>11</v>
      </c>
      <c r="DX1" s="294" t="s">
        <v>17</v>
      </c>
      <c r="DY1" s="294" t="s">
        <v>187</v>
      </c>
      <c r="DZ1" s="294" t="s">
        <v>15</v>
      </c>
      <c r="EA1" s="294" t="s">
        <v>16</v>
      </c>
      <c r="EB1" s="294" t="s">
        <v>649</v>
      </c>
      <c r="EC1" s="294" t="s">
        <v>648</v>
      </c>
      <c r="ED1" s="294" t="s">
        <v>8</v>
      </c>
      <c r="EE1" s="294" t="s">
        <v>9</v>
      </c>
      <c r="EF1" s="294" t="s">
        <v>189</v>
      </c>
      <c r="EG1" s="294" t="s">
        <v>190</v>
      </c>
      <c r="EH1" s="294" t="s">
        <v>104</v>
      </c>
      <c r="EI1" s="294" t="s">
        <v>636</v>
      </c>
      <c r="EJ1" s="294" t="s">
        <v>48</v>
      </c>
      <c r="EK1" s="294" t="s">
        <v>253</v>
      </c>
      <c r="EL1" s="294" t="s">
        <v>41</v>
      </c>
      <c r="EM1" s="294" t="s">
        <v>236</v>
      </c>
      <c r="EN1" s="294" t="s">
        <v>49</v>
      </c>
      <c r="EO1" s="294" t="s">
        <v>647</v>
      </c>
      <c r="EP1" s="294" t="s">
        <v>165</v>
      </c>
      <c r="EQ1" s="294" t="s">
        <v>686</v>
      </c>
      <c r="ER1" s="294" t="s">
        <v>5</v>
      </c>
      <c r="ES1" s="294" t="s">
        <v>103</v>
      </c>
      <c r="ET1" s="294" t="s">
        <v>18</v>
      </c>
      <c r="EU1" s="295" t="s">
        <v>643</v>
      </c>
    </row>
    <row r="2" spans="1:151" ht="24.95" customHeight="1" thickBot="1" x14ac:dyDescent="0.3">
      <c r="A2" s="29" t="str">
        <f t="shared" ref="A2:A11" si="0">ROW()-1 &amp; "º"</f>
        <v>1º</v>
      </c>
      <c r="B2" s="69" t="str">
        <f t="shared" ref="B2:B11" si="1">DC2</f>
        <v>Cauan Barros</v>
      </c>
      <c r="C2" s="86" t="str">
        <f t="shared" ref="C2:C11" si="2">DB2</f>
        <v>BRA</v>
      </c>
      <c r="D2" s="99" t="str">
        <f t="shared" ref="D2:D11" si="3">DG2</f>
        <v>Pé Direito</v>
      </c>
      <c r="E2" s="28" t="str">
        <f t="shared" ref="E2:E11" si="4">DE2</f>
        <v>Vasco da Gama</v>
      </c>
      <c r="F2" s="168">
        <f t="shared" ref="F2:F11" si="5">IFERROR(SUBSTITUTE(DF2," cm","")/100,0)</f>
        <v>1.83</v>
      </c>
      <c r="G2" s="36">
        <f t="shared" ref="G2:G11" si="6">DD2</f>
        <v>22</v>
      </c>
      <c r="H2" s="335" t="str">
        <f t="shared" ref="H2:H11" si="7">DI2</f>
        <v>32,5m € p/m</v>
      </c>
      <c r="I2" s="35">
        <f t="shared" ref="I2:I11" si="8">IF(DJ2="-", "Sem Data Final", DJ2)</f>
        <v>47483</v>
      </c>
      <c r="J2" s="202" t="str">
        <f t="shared" ref="J2:J11" si="9">DH2</f>
        <v>4,9M € - 9,2M €</v>
      </c>
      <c r="K2" s="96">
        <f t="shared" ref="K2:K11" si="10">AVERAGE(L:L)</f>
        <v>31.868888888888886</v>
      </c>
      <c r="L2" s="146">
        <f t="shared" ref="L2:L11" si="11">DK2/90</f>
        <v>31.522222222222222</v>
      </c>
      <c r="M2" s="146">
        <f t="shared" ref="M2:M11" si="12">IF(ISERROR(FIND("(",DL2)), VALUE(DL2), VALUE(LEFT(DL2,FIND("(",DL2)-2)) + VALUE(MID(DL2,FIND("(",DL2)+1,FIND(")",DL2)-FIND("(",DL2)-1)))</f>
        <v>42</v>
      </c>
      <c r="N2" s="146">
        <f t="shared" ref="N2:N11" si="13">IFERROR(DK2/M2,0)</f>
        <v>67.547619047619051</v>
      </c>
      <c r="O2" s="187">
        <f t="shared" ref="O2:O11" si="14">IFERROR(IF(ISERROR(FIND("(",DL2)), "100%", TEXT(VALUE(LEFT(DL2,FIND("(",DL2)-2)) / (VALUE(LEFT(DL2,FIND("(",DL2)-2)) + VALUE(MID(DL2,FIND("(",DL2)+1,FIND(")",DL2)-FIND("(",DL2)-1))),"0%")),0)*1</f>
        <v>0.76</v>
      </c>
      <c r="P2" s="2">
        <f t="shared" ref="P2:P11" si="15">DO2</f>
        <v>5</v>
      </c>
      <c r="Q2" s="2">
        <f t="shared" ref="Q2:Q11" si="16">DP2</f>
        <v>4</v>
      </c>
      <c r="R2" s="2">
        <f t="shared" ref="R2:R11" si="17">IFERROR(P2+Q2,0)</f>
        <v>9</v>
      </c>
      <c r="S2" s="6">
        <f t="shared" ref="S2:S11" si="18">DM2</f>
        <v>1</v>
      </c>
      <c r="T2" s="21">
        <f t="shared" ref="T2:T11" si="19">IFERROR((S2*1)/L2,0)</f>
        <v>3.1723651744800845E-2</v>
      </c>
      <c r="U2" s="56">
        <f t="shared" ref="U2:U11" si="20">ER2</f>
        <v>0</v>
      </c>
      <c r="V2" s="56">
        <f t="shared" ref="V2:V11" si="21">ES2</f>
        <v>0</v>
      </c>
      <c r="W2" s="56">
        <f t="shared" ref="W2:W11" si="22">IFERROR(U2-V2,0)</f>
        <v>0</v>
      </c>
      <c r="X2" s="60">
        <f t="shared" ref="X2:X11" si="23">IFERROR((V2*1)/U2,0.0000001)</f>
        <v>9.9999999999999995E-8</v>
      </c>
      <c r="Y2" s="2">
        <f t="shared" ref="Y2:Y11" si="24">DQ2</f>
        <v>4</v>
      </c>
      <c r="Z2" s="2">
        <f t="shared" ref="Z2:Z11" si="25">DR2</f>
        <v>0</v>
      </c>
      <c r="AA2" s="2">
        <f t="shared" ref="AA2:AA11" si="26">IFERROR(DQ2+DR2,0)</f>
        <v>4</v>
      </c>
      <c r="AB2" s="360">
        <f t="shared" ref="AB2:AB11" si="27">DV2</f>
        <v>19</v>
      </c>
      <c r="AC2" s="334">
        <f t="shared" ref="AC2:AC11" si="28">IFERROR(AB2/L2,0)</f>
        <v>0.60274938315121607</v>
      </c>
      <c r="AD2" s="2">
        <f t="shared" ref="AD2:AD11" si="29">AB2-(Y2+Z2)</f>
        <v>15</v>
      </c>
      <c r="AE2" s="21">
        <f t="shared" ref="AE2:AE11" si="30">IFERROR((AA2*1)/AB2,0)</f>
        <v>0.21052631578947367</v>
      </c>
      <c r="AF2" s="211">
        <f t="shared" ref="AF2:AF11" si="31">EF2</f>
        <v>193</v>
      </c>
      <c r="AG2" s="199">
        <f t="shared" ref="AG2:AG11" si="32">IFERROR(AF2/L2,0)</f>
        <v>6.1226647867465633</v>
      </c>
      <c r="AH2" s="211">
        <f t="shared" ref="AH2:AH11" si="33">EG2</f>
        <v>46</v>
      </c>
      <c r="AI2" s="199">
        <f t="shared" ref="AI2:AI11" si="34">IFERROR(AH2/L2,0)</f>
        <v>1.4592879802608389</v>
      </c>
      <c r="AJ2" s="21">
        <f t="shared" ref="AJ2:AJ11" si="35">IFERROR(AH2/AF2,0)</f>
        <v>0.23834196891191708</v>
      </c>
      <c r="AK2" s="6">
        <f t="shared" ref="AK2:AK11" si="36">IFERROR(DW2+EH2+DV2,0)</f>
        <v>166</v>
      </c>
      <c r="AL2" s="5">
        <f t="shared" ref="AL2:AL11" si="37">IFERROR(AK2/L2,0)</f>
        <v>5.2661261896369407</v>
      </c>
      <c r="AM2" s="6">
        <f t="shared" ref="AM2:AM11" si="38">IFERROR(DX2+EI2+EJ2,0)</f>
        <v>100</v>
      </c>
      <c r="AN2" s="5">
        <f t="shared" ref="AN2:AN11" si="39">IFERROR(AM2/L2,0)</f>
        <v>3.1723651744800847</v>
      </c>
      <c r="AO2" s="21">
        <f t="shared" ref="AO2:AO11" si="40">IFERROR((AM2*1)/AK2,0)</f>
        <v>0.60240963855421692</v>
      </c>
      <c r="AP2" s="2">
        <f t="shared" ref="AP2:AP11" si="41">IFERROR(DV2-DQ2-DR2,0)</f>
        <v>15</v>
      </c>
      <c r="AQ2" s="21">
        <f t="shared" ref="AQ2:AQ11" si="42">IFERROR((AP2*1)/DV2,0)</f>
        <v>0.78947368421052633</v>
      </c>
      <c r="AR2" s="6">
        <f t="shared" ref="AR2:AR11" si="43">DZ2</f>
        <v>1857</v>
      </c>
      <c r="AS2" s="6">
        <f t="shared" ref="AS2:AS11" si="44">EA2</f>
        <v>1693</v>
      </c>
      <c r="AT2" s="5">
        <f t="shared" ref="AT2:AT11" si="45">IFERROR((AS2/L2),0)</f>
        <v>53.708142403947832</v>
      </c>
      <c r="AU2" s="5">
        <f t="shared" ref="AU2:AU11" si="46">IFERROR((AS2-AV2)/(DK2/90),0)</f>
        <v>48.505463517800493</v>
      </c>
      <c r="AV2" s="6">
        <f t="shared" ref="AV2:AV11" si="47">AR2-AS2</f>
        <v>164</v>
      </c>
      <c r="AW2" s="5">
        <f t="shared" ref="AW2:AW11" si="48">IFERROR(AV2/L2,0)</f>
        <v>5.2026788861473383</v>
      </c>
      <c r="AX2" s="20">
        <f t="shared" ref="AX2:AX11" si="49">IFERROR((EA2*1)/DZ2,0)</f>
        <v>0.91168551427032851</v>
      </c>
      <c r="AY2" s="336">
        <f t="shared" ref="AY2:AY11" si="50">(DZ2-EC2)</f>
        <v>1630</v>
      </c>
      <c r="AZ2" s="5">
        <f t="shared" ref="AZ2:AZ11" si="51">IFERROR(AY2/L2,0)</f>
        <v>51.709552344025376</v>
      </c>
      <c r="BA2" s="6">
        <f t="shared" ref="BA2:BA11" si="52">EC2</f>
        <v>227</v>
      </c>
      <c r="BB2" s="5">
        <f t="shared" ref="BB2:BB11" si="53">IFERROR(BA2/L2,0)</f>
        <v>7.2012689460697921</v>
      </c>
      <c r="BC2" s="21">
        <f t="shared" ref="BC2:BC11" si="54">IFERROR((BA2*1)/AY2,0)</f>
        <v>0.1392638036809816</v>
      </c>
      <c r="BD2" s="6">
        <f t="shared" ref="BD2:BD11" si="55">EH2+DV2</f>
        <v>65</v>
      </c>
      <c r="BE2" s="5">
        <f t="shared" ref="BE2:BE11" si="56">IFERROR(BD2/L2,0)</f>
        <v>2.0620373634120548</v>
      </c>
      <c r="BF2" s="6">
        <f t="shared" ref="BF2:BF11" si="57">EI2</f>
        <v>31</v>
      </c>
      <c r="BG2" s="5">
        <f t="shared" ref="BG2:BG11" si="58">IFERROR(BF2/L2,0)</f>
        <v>0.98343320408882617</v>
      </c>
      <c r="BH2" s="6">
        <f t="shared" ref="BH2:BH11" si="59">EH2-EI2</f>
        <v>15</v>
      </c>
      <c r="BI2" s="5">
        <f t="shared" ref="BI2:BI11" si="60">IFERROR(BH2/L2,0)</f>
        <v>0.47585477617201272</v>
      </c>
      <c r="BJ2" s="21">
        <f t="shared" ref="BJ2:BJ11" si="61">IFERROR((BF2*1)/BD2,0)</f>
        <v>0.47692307692307695</v>
      </c>
      <c r="BK2" s="6">
        <f t="shared" ref="BK2:BK11" si="62">EJ2</f>
        <v>5</v>
      </c>
      <c r="BL2" s="5">
        <f t="shared" ref="BL2:BL11" si="63">IFERROR(BK2/L2,0)</f>
        <v>0.15861825872400423</v>
      </c>
      <c r="BM2" s="6">
        <f t="shared" ref="BM2:BM11" si="64">DW2</f>
        <v>101</v>
      </c>
      <c r="BN2" s="5">
        <f t="shared" ref="BN2:BN11" si="65">IFERROR(BM2/L2,0)</f>
        <v>3.2040888262248854</v>
      </c>
      <c r="BO2" s="6">
        <f t="shared" ref="BO2:BO11" si="66">DX2</f>
        <v>64</v>
      </c>
      <c r="BP2" s="5">
        <f t="shared" ref="BP2:BP11" si="67">IFERROR(BO2/L2,0)</f>
        <v>2.0303137116672541</v>
      </c>
      <c r="BQ2" s="21">
        <f t="shared" ref="BQ2:BQ11" si="68">IFERROR(DX2/DW2,0)</f>
        <v>0.63366336633663367</v>
      </c>
      <c r="BR2" s="6">
        <f t="shared" ref="BR2:BR11" si="69">DW2-DX2</f>
        <v>37</v>
      </c>
      <c r="BS2" s="5">
        <f t="shared" ref="BS2:BS11" si="70">IFERROR(BR2/L2,0)</f>
        <v>1.1737751145576314</v>
      </c>
      <c r="BT2" s="6">
        <f t="shared" ref="BT2:BT11" si="71">IFERROR((BU2*L2),0)</f>
        <v>12.60888888888889</v>
      </c>
      <c r="BU2" s="5">
        <f t="shared" ref="BU2:BU11" si="72">DY2</f>
        <v>0.4</v>
      </c>
      <c r="BV2" s="21">
        <f t="shared" ref="BV2:BV11" si="73">IFERROR((BO2*1)/BM2,0)</f>
        <v>0.63366336633663367</v>
      </c>
      <c r="BW2" s="2">
        <f t="shared" ref="BW2:BW11" si="74">EB2</f>
        <v>40</v>
      </c>
      <c r="BX2" s="5">
        <f t="shared" ref="BX2:BX11" si="75">IFERROR(BW2/L2,0)</f>
        <v>1.2689460697920338</v>
      </c>
      <c r="BY2" s="6">
        <f t="shared" ref="BY2:BY11" si="76">EL2+EK2+EM2+EJ2</f>
        <v>127</v>
      </c>
      <c r="BZ2" s="5">
        <f t="shared" ref="BZ2:BZ11" si="77">IFERROR(BY2/L2,0)</f>
        <v>4.0289037715897074</v>
      </c>
      <c r="CA2" s="5">
        <f t="shared" ref="CA2:CA11" si="78">IFERROR((DS2+EB2+DP2)/L2,0)</f>
        <v>1.7130771942192458</v>
      </c>
      <c r="CB2" s="6">
        <f t="shared" ref="CB2:CB11" si="79">SUM(EI:EI)</f>
        <v>268</v>
      </c>
      <c r="CC2" s="337">
        <f t="shared" ref="CC2:CC11" si="80">IFERROR((EI2*1)/CB2,0)</f>
        <v>0.11567164179104478</v>
      </c>
      <c r="CD2" s="6">
        <f t="shared" ref="CD2:CD11" si="81">EM2+EL2+EN2+EK2</f>
        <v>149</v>
      </c>
      <c r="CE2" s="5">
        <f t="shared" ref="CE2:CE11" si="82">IFERROR(CD2/L2,0)</f>
        <v>4.7268241099753263</v>
      </c>
      <c r="CF2" s="6">
        <f t="shared" ref="CF2:CF11" si="83">EG2+EI2+(EJ2*0.5)</f>
        <v>79.5</v>
      </c>
      <c r="CG2" s="5">
        <f t="shared" ref="CG2:CG11" si="84">IFERROR(CF2/L2,0)</f>
        <v>2.5220303137116673</v>
      </c>
      <c r="CH2" s="62">
        <f t="shared" ref="CH2:CH11" si="85">EP2</f>
        <v>8.6</v>
      </c>
      <c r="CI2" s="61">
        <f t="shared" ref="CI2:CI11" si="86">IFERROR((DN2*3)+(DQ2*1.5)+(DR2*2)+EH2+EL2+EN2+EK2+EM2+DV2,0)</f>
        <v>220</v>
      </c>
      <c r="CJ2" s="62">
        <f t="shared" ref="CJ2:CJ11" si="87">IFERROR(CI2/L2,0)</f>
        <v>6.979203383856186</v>
      </c>
      <c r="CK2" s="61">
        <f t="shared" ref="CK2:CK11" si="88">IFERROR(EI2+EL2+EJ2+EN2+EK2+EM2+(BT2*0.5),0)</f>
        <v>191.30444444444444</v>
      </c>
      <c r="CL2" s="62">
        <f t="shared" ref="CL2:CL11" si="89">IFERROR(CK2/L2,0)</f>
        <v>6.0688755727881567</v>
      </c>
      <c r="CM2" s="339">
        <f t="shared" ref="CM2:CM11" si="90">IFERROR((DN2*3)+(DQ2*1.25)+(DR2*2)+DV2,0)</f>
        <v>24</v>
      </c>
      <c r="CN2" s="340">
        <f t="shared" ref="CN2:CN11" si="91">CM2/L2</f>
        <v>0.76136764187522032</v>
      </c>
      <c r="CO2" s="373">
        <f t="shared" ref="CO2:CO11" si="92">IFERROR(CK2/CI2,0)</f>
        <v>0.86956565656565654</v>
      </c>
      <c r="CP2" s="194">
        <f t="shared" ref="CP2:CP11" si="93">IFERROR(SUBSTITUTE(DU2,".","," ),0)*1</f>
        <v>4.57</v>
      </c>
      <c r="CQ2" s="194">
        <f t="shared" ref="CQ2:CQ11" si="94">IFERROR(CP2/EB2,0)</f>
        <v>0.11425</v>
      </c>
      <c r="CR2" s="6">
        <f t="shared" ref="CR2:CR11" si="95">IFERROR(EB2+DS2,0)</f>
        <v>50</v>
      </c>
      <c r="CS2" s="62">
        <f t="shared" ref="CS2:CS11" si="96">IFERROR(CR2/L2,0)</f>
        <v>1.5861825872400424</v>
      </c>
      <c r="CT2" s="5">
        <f t="shared" ref="CT2:CT11" si="97">IFERROR(VALUE(SUBSTITUTE(ET2, " km", "")),0)</f>
        <v>371.3</v>
      </c>
      <c r="CU2" s="5">
        <f t="shared" ref="CU2:CU11" si="98">IFERROR(CT2/L2,0)</f>
        <v>11.778991892844555</v>
      </c>
      <c r="CV2" s="342">
        <f t="shared" ref="CV2:CV11" si="99">IFERROR((((CT2*1000)/(DK2*60))*3600)/1000,0)</f>
        <v>7.8526612618963689</v>
      </c>
      <c r="CW2" s="183">
        <f t="shared" ref="CW2:CW11" si="100">IFERROR((DZ2-EA2)+(DW2-DX2)+(ED2-EE2),0)</f>
        <v>222</v>
      </c>
      <c r="CX2" s="117">
        <f t="shared" ref="CX2:CX11" si="101">IFERROR(CW2/L2,0)</f>
        <v>7.0426506873457875</v>
      </c>
      <c r="CY2" s="117">
        <f t="shared" ref="CY2:CY11" si="102">DT2</f>
        <v>6.3</v>
      </c>
      <c r="CZ2" s="117">
        <f t="shared" ref="CZ2:CZ11" si="103">IFERROR(VALUE(SUBSTITUTE(EU2, ".", ",")),0)</f>
        <v>6.98</v>
      </c>
      <c r="DA2" s="300"/>
      <c r="DB2" s="296" t="s">
        <v>13</v>
      </c>
      <c r="DC2" s="296" t="s">
        <v>891</v>
      </c>
      <c r="DD2" s="296">
        <v>22</v>
      </c>
      <c r="DE2" s="296" t="s">
        <v>583</v>
      </c>
      <c r="DF2" s="296" t="s">
        <v>586</v>
      </c>
      <c r="DG2" s="296" t="s">
        <v>644</v>
      </c>
      <c r="DH2" s="296" t="s">
        <v>892</v>
      </c>
      <c r="DI2" s="296" t="s">
        <v>667</v>
      </c>
      <c r="DJ2" s="297">
        <v>47483</v>
      </c>
      <c r="DK2" s="296">
        <v>2837</v>
      </c>
      <c r="DL2" s="296" t="s">
        <v>893</v>
      </c>
      <c r="DM2" s="296">
        <v>1</v>
      </c>
      <c r="DN2" s="296">
        <v>0</v>
      </c>
      <c r="DO2" s="296">
        <v>5</v>
      </c>
      <c r="DP2" s="296">
        <v>4</v>
      </c>
      <c r="DQ2" s="296">
        <v>4</v>
      </c>
      <c r="DR2" s="296">
        <v>0</v>
      </c>
      <c r="DS2" s="296">
        <v>10</v>
      </c>
      <c r="DT2" s="296">
        <v>6.3</v>
      </c>
      <c r="DU2" s="296" t="s">
        <v>894</v>
      </c>
      <c r="DV2" s="296">
        <v>19</v>
      </c>
      <c r="DW2" s="296">
        <v>101</v>
      </c>
      <c r="DX2" s="296">
        <v>64</v>
      </c>
      <c r="DY2" s="296">
        <v>0.4</v>
      </c>
      <c r="DZ2" s="296">
        <v>1857</v>
      </c>
      <c r="EA2" s="296">
        <v>1693</v>
      </c>
      <c r="EB2" s="296">
        <v>40</v>
      </c>
      <c r="EC2" s="296">
        <v>227</v>
      </c>
      <c r="ED2" s="296">
        <v>39</v>
      </c>
      <c r="EE2" s="296">
        <v>18</v>
      </c>
      <c r="EF2" s="296">
        <v>193</v>
      </c>
      <c r="EG2" s="296">
        <v>46</v>
      </c>
      <c r="EH2" s="296">
        <v>46</v>
      </c>
      <c r="EI2" s="296">
        <v>31</v>
      </c>
      <c r="EJ2" s="296">
        <v>5</v>
      </c>
      <c r="EK2" s="296">
        <v>17</v>
      </c>
      <c r="EL2" s="296">
        <v>91</v>
      </c>
      <c r="EM2" s="296">
        <v>14</v>
      </c>
      <c r="EN2" s="296">
        <v>27</v>
      </c>
      <c r="EO2" s="296">
        <v>8</v>
      </c>
      <c r="EP2" s="296">
        <v>8.6</v>
      </c>
      <c r="EQ2" s="296">
        <v>0</v>
      </c>
      <c r="ER2" s="296">
        <v>0</v>
      </c>
      <c r="ES2" s="296">
        <v>0</v>
      </c>
      <c r="ET2" s="296" t="s">
        <v>895</v>
      </c>
      <c r="EU2" s="301">
        <v>6.98</v>
      </c>
    </row>
    <row r="3" spans="1:151" ht="24.95" customHeight="1" thickBot="1" x14ac:dyDescent="0.3">
      <c r="A3" s="29" t="str">
        <f t="shared" si="0"/>
        <v>2º</v>
      </c>
      <c r="B3" s="69" t="str">
        <f t="shared" si="1"/>
        <v>Felipe Amaral</v>
      </c>
      <c r="C3" s="86" t="str">
        <f t="shared" si="2"/>
        <v>BRA</v>
      </c>
      <c r="D3" s="99" t="str">
        <f t="shared" si="3"/>
        <v>Pé Direito</v>
      </c>
      <c r="E3" s="28" t="str">
        <f t="shared" si="4"/>
        <v>América Mineiro</v>
      </c>
      <c r="F3" s="168">
        <f t="shared" si="5"/>
        <v>1.74</v>
      </c>
      <c r="G3" s="36">
        <f t="shared" si="6"/>
        <v>23</v>
      </c>
      <c r="H3" s="335" t="str">
        <f t="shared" si="7"/>
        <v>6,5m € p/m</v>
      </c>
      <c r="I3" s="35">
        <f t="shared" si="8"/>
        <v>47848</v>
      </c>
      <c r="J3" s="202" t="str">
        <f t="shared" si="9"/>
        <v>350m € - 3,4M €</v>
      </c>
      <c r="K3" s="96">
        <f t="shared" si="10"/>
        <v>31.868888888888886</v>
      </c>
      <c r="L3" s="146">
        <f t="shared" si="11"/>
        <v>33.611111111111114</v>
      </c>
      <c r="M3" s="146">
        <f t="shared" si="12"/>
        <v>38</v>
      </c>
      <c r="N3" s="146">
        <f t="shared" si="13"/>
        <v>79.60526315789474</v>
      </c>
      <c r="O3" s="187">
        <f t="shared" si="14"/>
        <v>0.87</v>
      </c>
      <c r="P3" s="2">
        <f t="shared" si="15"/>
        <v>1</v>
      </c>
      <c r="Q3" s="2">
        <f t="shared" si="16"/>
        <v>5</v>
      </c>
      <c r="R3" s="2">
        <f t="shared" si="17"/>
        <v>6</v>
      </c>
      <c r="S3" s="6">
        <f t="shared" si="18"/>
        <v>2</v>
      </c>
      <c r="T3" s="21">
        <f t="shared" si="19"/>
        <v>5.9504132231404952E-2</v>
      </c>
      <c r="U3" s="56">
        <f t="shared" si="20"/>
        <v>0</v>
      </c>
      <c r="V3" s="56">
        <f t="shared" si="21"/>
        <v>0</v>
      </c>
      <c r="W3" s="56">
        <f t="shared" si="22"/>
        <v>0</v>
      </c>
      <c r="X3" s="60">
        <f t="shared" si="23"/>
        <v>9.9999999999999995E-8</v>
      </c>
      <c r="Y3" s="2">
        <f t="shared" si="24"/>
        <v>3</v>
      </c>
      <c r="Z3" s="2">
        <f t="shared" si="25"/>
        <v>0</v>
      </c>
      <c r="AA3" s="2">
        <f t="shared" si="26"/>
        <v>3</v>
      </c>
      <c r="AB3" s="360">
        <f t="shared" si="27"/>
        <v>18</v>
      </c>
      <c r="AC3" s="334">
        <f t="shared" si="28"/>
        <v>0.53553719008264455</v>
      </c>
      <c r="AD3" s="2">
        <f t="shared" si="29"/>
        <v>15</v>
      </c>
      <c r="AE3" s="21">
        <f t="shared" si="30"/>
        <v>0.16666666666666666</v>
      </c>
      <c r="AF3" s="211">
        <f t="shared" si="31"/>
        <v>185</v>
      </c>
      <c r="AG3" s="199">
        <f t="shared" si="32"/>
        <v>5.5041322314049586</v>
      </c>
      <c r="AH3" s="211">
        <f t="shared" si="33"/>
        <v>47</v>
      </c>
      <c r="AI3" s="199">
        <f t="shared" si="34"/>
        <v>1.3983471074380165</v>
      </c>
      <c r="AJ3" s="21">
        <f t="shared" si="35"/>
        <v>0.25405405405405407</v>
      </c>
      <c r="AK3" s="6">
        <f t="shared" si="36"/>
        <v>109</v>
      </c>
      <c r="AL3" s="5">
        <f t="shared" si="37"/>
        <v>3.24297520661157</v>
      </c>
      <c r="AM3" s="6">
        <f t="shared" si="38"/>
        <v>45</v>
      </c>
      <c r="AN3" s="5">
        <f t="shared" si="39"/>
        <v>1.3388429752066116</v>
      </c>
      <c r="AO3" s="21">
        <f t="shared" si="40"/>
        <v>0.41284403669724773</v>
      </c>
      <c r="AP3" s="2">
        <f t="shared" si="41"/>
        <v>15</v>
      </c>
      <c r="AQ3" s="21">
        <f t="shared" si="42"/>
        <v>0.83333333333333337</v>
      </c>
      <c r="AR3" s="6">
        <f t="shared" si="43"/>
        <v>1732</v>
      </c>
      <c r="AS3" s="6">
        <f t="shared" si="44"/>
        <v>1576</v>
      </c>
      <c r="AT3" s="5">
        <f t="shared" si="45"/>
        <v>46.889256198347105</v>
      </c>
      <c r="AU3" s="5">
        <f t="shared" si="46"/>
        <v>42.247933884297517</v>
      </c>
      <c r="AV3" s="6">
        <f t="shared" si="47"/>
        <v>156</v>
      </c>
      <c r="AW3" s="5">
        <f t="shared" si="48"/>
        <v>4.6413223140495861</v>
      </c>
      <c r="AX3" s="20">
        <f t="shared" si="49"/>
        <v>0.90993071593533492</v>
      </c>
      <c r="AY3" s="336">
        <f t="shared" si="50"/>
        <v>1543</v>
      </c>
      <c r="AZ3" s="5">
        <f t="shared" si="51"/>
        <v>45.907438016528921</v>
      </c>
      <c r="BA3" s="6">
        <f t="shared" si="52"/>
        <v>189</v>
      </c>
      <c r="BB3" s="5">
        <f t="shared" si="53"/>
        <v>5.6231404958677684</v>
      </c>
      <c r="BC3" s="21">
        <f t="shared" si="54"/>
        <v>0.12248865845755022</v>
      </c>
      <c r="BD3" s="6">
        <f t="shared" si="55"/>
        <v>61</v>
      </c>
      <c r="BE3" s="5">
        <f t="shared" si="56"/>
        <v>1.8148760330578511</v>
      </c>
      <c r="BF3" s="6">
        <f t="shared" si="57"/>
        <v>25</v>
      </c>
      <c r="BG3" s="5">
        <f t="shared" si="58"/>
        <v>0.74380165289256195</v>
      </c>
      <c r="BH3" s="6">
        <f t="shared" si="59"/>
        <v>18</v>
      </c>
      <c r="BI3" s="5">
        <f t="shared" si="60"/>
        <v>0.53553719008264455</v>
      </c>
      <c r="BJ3" s="21">
        <f t="shared" si="61"/>
        <v>0.4098360655737705</v>
      </c>
      <c r="BK3" s="6">
        <f t="shared" si="62"/>
        <v>2</v>
      </c>
      <c r="BL3" s="5">
        <f t="shared" si="63"/>
        <v>5.9504132231404952E-2</v>
      </c>
      <c r="BM3" s="6">
        <f t="shared" si="64"/>
        <v>48</v>
      </c>
      <c r="BN3" s="5">
        <f t="shared" si="65"/>
        <v>1.428099173553719</v>
      </c>
      <c r="BO3" s="6">
        <f t="shared" si="66"/>
        <v>18</v>
      </c>
      <c r="BP3" s="5">
        <f t="shared" si="67"/>
        <v>0.53553719008264455</v>
      </c>
      <c r="BQ3" s="21">
        <f t="shared" si="68"/>
        <v>0.375</v>
      </c>
      <c r="BR3" s="6">
        <f t="shared" si="69"/>
        <v>30</v>
      </c>
      <c r="BS3" s="5">
        <f t="shared" si="70"/>
        <v>0.89256198347107429</v>
      </c>
      <c r="BT3" s="6">
        <f t="shared" si="71"/>
        <v>3.3611111111111116</v>
      </c>
      <c r="BU3" s="5">
        <f t="shared" si="72"/>
        <v>0.1</v>
      </c>
      <c r="BV3" s="21">
        <f t="shared" si="73"/>
        <v>0.375</v>
      </c>
      <c r="BW3" s="2">
        <f t="shared" si="74"/>
        <v>32</v>
      </c>
      <c r="BX3" s="5">
        <f t="shared" si="75"/>
        <v>0.95206611570247923</v>
      </c>
      <c r="BY3" s="6">
        <f t="shared" si="76"/>
        <v>107</v>
      </c>
      <c r="BZ3" s="5">
        <f t="shared" si="77"/>
        <v>3.1834710743801651</v>
      </c>
      <c r="CA3" s="5">
        <f t="shared" si="78"/>
        <v>1.3983471074380165</v>
      </c>
      <c r="CB3" s="6">
        <f t="shared" si="79"/>
        <v>268</v>
      </c>
      <c r="CC3" s="337">
        <f t="shared" si="80"/>
        <v>9.3283582089552244E-2</v>
      </c>
      <c r="CD3" s="6">
        <f t="shared" si="81"/>
        <v>140</v>
      </c>
      <c r="CE3" s="5">
        <f t="shared" si="82"/>
        <v>4.1652892561983466</v>
      </c>
      <c r="CF3" s="6">
        <f t="shared" si="83"/>
        <v>73</v>
      </c>
      <c r="CG3" s="5">
        <f t="shared" si="84"/>
        <v>2.1719008264462807</v>
      </c>
      <c r="CH3" s="62">
        <f t="shared" si="85"/>
        <v>11.7</v>
      </c>
      <c r="CI3" s="61">
        <f t="shared" si="86"/>
        <v>205.5</v>
      </c>
      <c r="CJ3" s="62">
        <f t="shared" si="87"/>
        <v>6.1140495867768587</v>
      </c>
      <c r="CK3" s="61">
        <f t="shared" si="88"/>
        <v>168.68055555555554</v>
      </c>
      <c r="CL3" s="62">
        <f t="shared" si="89"/>
        <v>5.018595041322313</v>
      </c>
      <c r="CM3" s="339">
        <f t="shared" si="90"/>
        <v>21.75</v>
      </c>
      <c r="CN3" s="340">
        <f t="shared" si="91"/>
        <v>0.64710743801652881</v>
      </c>
      <c r="CO3" s="373">
        <f t="shared" si="92"/>
        <v>0.82082995404163284</v>
      </c>
      <c r="CP3" s="194">
        <f t="shared" si="93"/>
        <v>5.1100000000000003</v>
      </c>
      <c r="CQ3" s="194">
        <f t="shared" si="94"/>
        <v>0.15968750000000001</v>
      </c>
      <c r="CR3" s="6">
        <f t="shared" si="95"/>
        <v>42</v>
      </c>
      <c r="CS3" s="62">
        <f t="shared" si="96"/>
        <v>1.2495867768595039</v>
      </c>
      <c r="CT3" s="5">
        <f t="shared" si="97"/>
        <v>379.6</v>
      </c>
      <c r="CU3" s="5">
        <f t="shared" si="98"/>
        <v>11.293884297520661</v>
      </c>
      <c r="CV3" s="342">
        <f t="shared" si="99"/>
        <v>7.5292561983471069</v>
      </c>
      <c r="CW3" s="183">
        <f t="shared" si="100"/>
        <v>199</v>
      </c>
      <c r="CX3" s="117">
        <f t="shared" si="101"/>
        <v>5.9206611570247931</v>
      </c>
      <c r="CY3" s="117">
        <f t="shared" si="102"/>
        <v>6.3</v>
      </c>
      <c r="CZ3" s="117">
        <f t="shared" si="103"/>
        <v>6.82</v>
      </c>
      <c r="DA3" s="300"/>
      <c r="DB3" s="296" t="s">
        <v>13</v>
      </c>
      <c r="DC3" s="296" t="s">
        <v>841</v>
      </c>
      <c r="DD3" s="296">
        <v>23</v>
      </c>
      <c r="DE3" s="296" t="s">
        <v>773</v>
      </c>
      <c r="DF3" s="296" t="s">
        <v>777</v>
      </c>
      <c r="DG3" s="296" t="s">
        <v>644</v>
      </c>
      <c r="DH3" s="296" t="s">
        <v>842</v>
      </c>
      <c r="DI3" s="296" t="s">
        <v>843</v>
      </c>
      <c r="DJ3" s="297">
        <v>47848</v>
      </c>
      <c r="DK3" s="296">
        <v>3025</v>
      </c>
      <c r="DL3" s="296" t="s">
        <v>844</v>
      </c>
      <c r="DM3" s="296">
        <v>2</v>
      </c>
      <c r="DN3" s="296">
        <v>0</v>
      </c>
      <c r="DO3" s="296">
        <v>1</v>
      </c>
      <c r="DP3" s="296">
        <v>5</v>
      </c>
      <c r="DQ3" s="296">
        <v>3</v>
      </c>
      <c r="DR3" s="296">
        <v>0</v>
      </c>
      <c r="DS3" s="296">
        <v>10</v>
      </c>
      <c r="DT3" s="296">
        <v>6.3</v>
      </c>
      <c r="DU3" s="296" t="s">
        <v>845</v>
      </c>
      <c r="DV3" s="296">
        <v>18</v>
      </c>
      <c r="DW3" s="296">
        <v>48</v>
      </c>
      <c r="DX3" s="296">
        <v>18</v>
      </c>
      <c r="DY3" s="296">
        <v>0.1</v>
      </c>
      <c r="DZ3" s="296">
        <v>1732</v>
      </c>
      <c r="EA3" s="296">
        <v>1576</v>
      </c>
      <c r="EB3" s="296">
        <v>32</v>
      </c>
      <c r="EC3" s="296">
        <v>189</v>
      </c>
      <c r="ED3" s="296">
        <v>19</v>
      </c>
      <c r="EE3" s="296">
        <v>6</v>
      </c>
      <c r="EF3" s="296">
        <v>185</v>
      </c>
      <c r="EG3" s="296">
        <v>47</v>
      </c>
      <c r="EH3" s="296">
        <v>43</v>
      </c>
      <c r="EI3" s="296">
        <v>25</v>
      </c>
      <c r="EJ3" s="296">
        <v>2</v>
      </c>
      <c r="EK3" s="296">
        <v>12</v>
      </c>
      <c r="EL3" s="296">
        <v>88</v>
      </c>
      <c r="EM3" s="296">
        <v>5</v>
      </c>
      <c r="EN3" s="296">
        <v>35</v>
      </c>
      <c r="EO3" s="296">
        <v>21</v>
      </c>
      <c r="EP3" s="296">
        <v>11.7</v>
      </c>
      <c r="EQ3" s="296">
        <v>0</v>
      </c>
      <c r="ER3" s="296">
        <v>0</v>
      </c>
      <c r="ES3" s="296">
        <v>0</v>
      </c>
      <c r="ET3" s="296" t="s">
        <v>846</v>
      </c>
      <c r="EU3" s="301">
        <v>6.82</v>
      </c>
    </row>
    <row r="4" spans="1:151" ht="24.95" customHeight="1" thickBot="1" x14ac:dyDescent="0.3">
      <c r="A4" s="29" t="str">
        <f t="shared" si="0"/>
        <v>3º</v>
      </c>
      <c r="B4" s="69" t="str">
        <f t="shared" si="1"/>
        <v>Ignacio Sosa</v>
      </c>
      <c r="C4" s="86" t="str">
        <f t="shared" si="2"/>
        <v>URU</v>
      </c>
      <c r="D4" s="99" t="str">
        <f t="shared" si="3"/>
        <v>Pé Direito</v>
      </c>
      <c r="E4" s="28" t="str">
        <f t="shared" si="4"/>
        <v>Bragantino</v>
      </c>
      <c r="F4" s="168">
        <f t="shared" si="5"/>
        <v>1.75</v>
      </c>
      <c r="G4" s="36">
        <f t="shared" si="6"/>
        <v>23</v>
      </c>
      <c r="H4" s="335" t="str">
        <f t="shared" si="7"/>
        <v>4,7m € p/m</v>
      </c>
      <c r="I4" s="35">
        <f t="shared" si="8"/>
        <v>47848</v>
      </c>
      <c r="J4" s="202" t="str">
        <f t="shared" si="9"/>
        <v>400m € - 4M €</v>
      </c>
      <c r="K4" s="96">
        <f t="shared" si="10"/>
        <v>31.868888888888886</v>
      </c>
      <c r="L4" s="146">
        <f t="shared" si="11"/>
        <v>31.822222222222223</v>
      </c>
      <c r="M4" s="146">
        <f t="shared" si="12"/>
        <v>48</v>
      </c>
      <c r="N4" s="146">
        <f t="shared" si="13"/>
        <v>59.666666666666664</v>
      </c>
      <c r="O4" s="187">
        <f t="shared" si="14"/>
        <v>0.79</v>
      </c>
      <c r="P4" s="2">
        <f t="shared" si="15"/>
        <v>0</v>
      </c>
      <c r="Q4" s="2">
        <f t="shared" si="16"/>
        <v>5</v>
      </c>
      <c r="R4" s="2">
        <f t="shared" si="17"/>
        <v>5</v>
      </c>
      <c r="S4" s="6">
        <f t="shared" si="18"/>
        <v>1</v>
      </c>
      <c r="T4" s="21">
        <f t="shared" si="19"/>
        <v>3.1424581005586594E-2</v>
      </c>
      <c r="U4" s="56">
        <f t="shared" si="20"/>
        <v>0</v>
      </c>
      <c r="V4" s="56">
        <f t="shared" si="21"/>
        <v>0</v>
      </c>
      <c r="W4" s="56">
        <f t="shared" si="22"/>
        <v>0</v>
      </c>
      <c r="X4" s="60">
        <f t="shared" si="23"/>
        <v>9.9999999999999995E-8</v>
      </c>
      <c r="Y4" s="2">
        <f t="shared" si="24"/>
        <v>1</v>
      </c>
      <c r="Z4" s="2">
        <f t="shared" si="25"/>
        <v>0</v>
      </c>
      <c r="AA4" s="2">
        <f t="shared" si="26"/>
        <v>1</v>
      </c>
      <c r="AB4" s="360">
        <f t="shared" si="27"/>
        <v>18</v>
      </c>
      <c r="AC4" s="334">
        <f t="shared" si="28"/>
        <v>0.56564245810055869</v>
      </c>
      <c r="AD4" s="2">
        <f t="shared" si="29"/>
        <v>17</v>
      </c>
      <c r="AE4" s="21">
        <f t="shared" si="30"/>
        <v>5.5555555555555552E-2</v>
      </c>
      <c r="AF4" s="211">
        <f t="shared" si="31"/>
        <v>241</v>
      </c>
      <c r="AG4" s="199">
        <f t="shared" si="32"/>
        <v>7.5733240223463687</v>
      </c>
      <c r="AH4" s="211">
        <f t="shared" si="33"/>
        <v>50</v>
      </c>
      <c r="AI4" s="199">
        <f t="shared" si="34"/>
        <v>1.5712290502793296</v>
      </c>
      <c r="AJ4" s="21">
        <f t="shared" si="35"/>
        <v>0.2074688796680498</v>
      </c>
      <c r="AK4" s="6">
        <f t="shared" si="36"/>
        <v>118</v>
      </c>
      <c r="AL4" s="5">
        <f t="shared" si="37"/>
        <v>3.7081005586592179</v>
      </c>
      <c r="AM4" s="6">
        <f t="shared" si="38"/>
        <v>58</v>
      </c>
      <c r="AN4" s="5">
        <f t="shared" si="39"/>
        <v>1.8226256983240223</v>
      </c>
      <c r="AO4" s="21">
        <f t="shared" si="40"/>
        <v>0.49152542372881358</v>
      </c>
      <c r="AP4" s="2">
        <f t="shared" si="41"/>
        <v>17</v>
      </c>
      <c r="AQ4" s="21">
        <f t="shared" si="42"/>
        <v>0.94444444444444442</v>
      </c>
      <c r="AR4" s="6">
        <f t="shared" si="43"/>
        <v>2708</v>
      </c>
      <c r="AS4" s="6">
        <f t="shared" si="44"/>
        <v>2494</v>
      </c>
      <c r="AT4" s="5">
        <f t="shared" si="45"/>
        <v>78.372905027932958</v>
      </c>
      <c r="AU4" s="5">
        <f t="shared" si="46"/>
        <v>71.648044692737429</v>
      </c>
      <c r="AV4" s="6">
        <f t="shared" si="47"/>
        <v>214</v>
      </c>
      <c r="AW4" s="5">
        <f t="shared" si="48"/>
        <v>6.7248603351955305</v>
      </c>
      <c r="AX4" s="20">
        <f t="shared" si="49"/>
        <v>0.92097488921713444</v>
      </c>
      <c r="AY4" s="336">
        <f t="shared" si="50"/>
        <v>2362</v>
      </c>
      <c r="AZ4" s="5">
        <f t="shared" si="51"/>
        <v>74.22486033519553</v>
      </c>
      <c r="BA4" s="6">
        <f t="shared" si="52"/>
        <v>346</v>
      </c>
      <c r="BB4" s="5">
        <f t="shared" si="53"/>
        <v>10.87290502793296</v>
      </c>
      <c r="BC4" s="21">
        <f t="shared" si="54"/>
        <v>0.14648602878916173</v>
      </c>
      <c r="BD4" s="6">
        <f t="shared" si="55"/>
        <v>74</v>
      </c>
      <c r="BE4" s="5">
        <f t="shared" si="56"/>
        <v>2.3254189944134076</v>
      </c>
      <c r="BF4" s="6">
        <f t="shared" si="57"/>
        <v>35</v>
      </c>
      <c r="BG4" s="5">
        <f t="shared" si="58"/>
        <v>1.0998603351955307</v>
      </c>
      <c r="BH4" s="6">
        <f t="shared" si="59"/>
        <v>21</v>
      </c>
      <c r="BI4" s="5">
        <f t="shared" si="60"/>
        <v>0.65991620111731841</v>
      </c>
      <c r="BJ4" s="21">
        <f t="shared" si="61"/>
        <v>0.47297297297297297</v>
      </c>
      <c r="BK4" s="6">
        <f t="shared" si="62"/>
        <v>4</v>
      </c>
      <c r="BL4" s="5">
        <f t="shared" si="63"/>
        <v>0.12569832402234637</v>
      </c>
      <c r="BM4" s="6">
        <f t="shared" si="64"/>
        <v>44</v>
      </c>
      <c r="BN4" s="5">
        <f t="shared" si="65"/>
        <v>1.3826815642458101</v>
      </c>
      <c r="BO4" s="6">
        <f t="shared" si="66"/>
        <v>19</v>
      </c>
      <c r="BP4" s="5">
        <f t="shared" si="67"/>
        <v>0.59706703910614523</v>
      </c>
      <c r="BQ4" s="21">
        <f t="shared" si="68"/>
        <v>0.43181818181818182</v>
      </c>
      <c r="BR4" s="6">
        <f t="shared" si="69"/>
        <v>25</v>
      </c>
      <c r="BS4" s="5">
        <f t="shared" si="70"/>
        <v>0.78561452513966479</v>
      </c>
      <c r="BT4" s="6">
        <f t="shared" si="71"/>
        <v>3.1822222222222223</v>
      </c>
      <c r="BU4" s="5">
        <f t="shared" si="72"/>
        <v>0.1</v>
      </c>
      <c r="BV4" s="21">
        <f t="shared" si="73"/>
        <v>0.43181818181818182</v>
      </c>
      <c r="BW4" s="2">
        <f t="shared" si="74"/>
        <v>59</v>
      </c>
      <c r="BX4" s="5">
        <f t="shared" si="75"/>
        <v>1.854050279329609</v>
      </c>
      <c r="BY4" s="6">
        <f t="shared" si="76"/>
        <v>116</v>
      </c>
      <c r="BZ4" s="5">
        <f t="shared" si="77"/>
        <v>3.6452513966480447</v>
      </c>
      <c r="CA4" s="5">
        <f t="shared" si="78"/>
        <v>2.3254189944134076</v>
      </c>
      <c r="CB4" s="6">
        <f t="shared" si="79"/>
        <v>268</v>
      </c>
      <c r="CC4" s="337">
        <f t="shared" si="80"/>
        <v>0.13059701492537312</v>
      </c>
      <c r="CD4" s="6">
        <f t="shared" si="81"/>
        <v>136</v>
      </c>
      <c r="CE4" s="5">
        <f t="shared" si="82"/>
        <v>4.2737430167597763</v>
      </c>
      <c r="CF4" s="6">
        <f t="shared" si="83"/>
        <v>87</v>
      </c>
      <c r="CG4" s="5">
        <f t="shared" si="84"/>
        <v>2.7339385474860336</v>
      </c>
      <c r="CH4" s="62">
        <f t="shared" si="85"/>
        <v>6.9</v>
      </c>
      <c r="CI4" s="61">
        <f t="shared" si="86"/>
        <v>220.5</v>
      </c>
      <c r="CJ4" s="62">
        <f t="shared" si="87"/>
        <v>6.9291201117318435</v>
      </c>
      <c r="CK4" s="61">
        <f t="shared" si="88"/>
        <v>176.5911111111111</v>
      </c>
      <c r="CL4" s="62">
        <f t="shared" si="89"/>
        <v>5.5493016759776532</v>
      </c>
      <c r="CM4" s="339">
        <f t="shared" si="90"/>
        <v>28.25</v>
      </c>
      <c r="CN4" s="340">
        <f t="shared" si="91"/>
        <v>0.88774441340782118</v>
      </c>
      <c r="CO4" s="373">
        <f t="shared" si="92"/>
        <v>0.80086671705719326</v>
      </c>
      <c r="CP4" s="194">
        <f t="shared" si="93"/>
        <v>5.69</v>
      </c>
      <c r="CQ4" s="194">
        <f t="shared" si="94"/>
        <v>9.6440677966101701E-2</v>
      </c>
      <c r="CR4" s="6">
        <f t="shared" si="95"/>
        <v>69</v>
      </c>
      <c r="CS4" s="62">
        <f t="shared" si="96"/>
        <v>2.1682960893854748</v>
      </c>
      <c r="CT4" s="5">
        <f t="shared" si="97"/>
        <v>395.5</v>
      </c>
      <c r="CU4" s="5">
        <f t="shared" si="98"/>
        <v>12.428421787709498</v>
      </c>
      <c r="CV4" s="342">
        <f t="shared" si="99"/>
        <v>8.285614525139664</v>
      </c>
      <c r="CW4" s="183">
        <f t="shared" si="100"/>
        <v>269</v>
      </c>
      <c r="CX4" s="117">
        <f t="shared" si="101"/>
        <v>8.453212290502794</v>
      </c>
      <c r="CY4" s="117">
        <f t="shared" si="102"/>
        <v>8.1</v>
      </c>
      <c r="CZ4" s="117">
        <f t="shared" si="103"/>
        <v>6.9</v>
      </c>
      <c r="DA4" s="302" t="s">
        <v>640</v>
      </c>
      <c r="DB4" s="298" t="s">
        <v>594</v>
      </c>
      <c r="DC4" s="298" t="s">
        <v>852</v>
      </c>
      <c r="DD4" s="298">
        <v>23</v>
      </c>
      <c r="DE4" s="298" t="s">
        <v>555</v>
      </c>
      <c r="DF4" s="298" t="s">
        <v>588</v>
      </c>
      <c r="DG4" s="298" t="s">
        <v>644</v>
      </c>
      <c r="DH4" s="298" t="s">
        <v>853</v>
      </c>
      <c r="DI4" s="298" t="s">
        <v>666</v>
      </c>
      <c r="DJ4" s="299">
        <v>47848</v>
      </c>
      <c r="DK4" s="298">
        <v>2864</v>
      </c>
      <c r="DL4" s="298" t="s">
        <v>854</v>
      </c>
      <c r="DM4" s="298">
        <v>1</v>
      </c>
      <c r="DN4" s="298">
        <v>3</v>
      </c>
      <c r="DO4" s="298">
        <v>0</v>
      </c>
      <c r="DP4" s="298">
        <v>5</v>
      </c>
      <c r="DQ4" s="298">
        <v>1</v>
      </c>
      <c r="DR4" s="298">
        <v>0</v>
      </c>
      <c r="DS4" s="298">
        <v>10</v>
      </c>
      <c r="DT4" s="298">
        <v>8.1</v>
      </c>
      <c r="DU4" s="298" t="s">
        <v>855</v>
      </c>
      <c r="DV4" s="298">
        <v>18</v>
      </c>
      <c r="DW4" s="298">
        <v>44</v>
      </c>
      <c r="DX4" s="298">
        <v>19</v>
      </c>
      <c r="DY4" s="298">
        <v>0.1</v>
      </c>
      <c r="DZ4" s="298">
        <v>2708</v>
      </c>
      <c r="EA4" s="298">
        <v>2494</v>
      </c>
      <c r="EB4" s="298">
        <v>59</v>
      </c>
      <c r="EC4" s="298">
        <v>346</v>
      </c>
      <c r="ED4" s="298">
        <v>50</v>
      </c>
      <c r="EE4" s="298">
        <v>20</v>
      </c>
      <c r="EF4" s="298">
        <v>241</v>
      </c>
      <c r="EG4" s="298">
        <v>50</v>
      </c>
      <c r="EH4" s="298">
        <v>56</v>
      </c>
      <c r="EI4" s="298">
        <v>35</v>
      </c>
      <c r="EJ4" s="298">
        <v>4</v>
      </c>
      <c r="EK4" s="298">
        <v>22</v>
      </c>
      <c r="EL4" s="298">
        <v>74</v>
      </c>
      <c r="EM4" s="298">
        <v>16</v>
      </c>
      <c r="EN4" s="298">
        <v>24</v>
      </c>
      <c r="EO4" s="298">
        <v>9</v>
      </c>
      <c r="EP4" s="298">
        <v>6.9</v>
      </c>
      <c r="EQ4" s="298">
        <v>0</v>
      </c>
      <c r="ER4" s="298">
        <v>0</v>
      </c>
      <c r="ES4" s="298">
        <v>0</v>
      </c>
      <c r="ET4" s="298" t="s">
        <v>856</v>
      </c>
      <c r="EU4" s="303">
        <v>6.9</v>
      </c>
    </row>
    <row r="5" spans="1:151" ht="24.95" customHeight="1" thickBot="1" x14ac:dyDescent="0.3">
      <c r="A5" s="29" t="str">
        <f t="shared" si="0"/>
        <v>4º</v>
      </c>
      <c r="B5" s="69" t="str">
        <f t="shared" si="1"/>
        <v>Jhojan Torres</v>
      </c>
      <c r="C5" s="86" t="str">
        <f t="shared" si="2"/>
        <v>COL</v>
      </c>
      <c r="D5" s="99" t="str">
        <f t="shared" si="3"/>
        <v>Pé Direito</v>
      </c>
      <c r="E5" s="28" t="str">
        <f t="shared" si="4"/>
        <v>Independiente Santa Fe</v>
      </c>
      <c r="F5" s="168">
        <f t="shared" si="5"/>
        <v>1.78</v>
      </c>
      <c r="G5" s="36">
        <f t="shared" si="6"/>
        <v>23</v>
      </c>
      <c r="H5" s="335" t="str">
        <f t="shared" si="7"/>
        <v>22m € p/m</v>
      </c>
      <c r="I5" s="35">
        <f t="shared" si="8"/>
        <v>46752</v>
      </c>
      <c r="J5" s="202" t="str">
        <f t="shared" si="9"/>
        <v>750m € - 1,7M €</v>
      </c>
      <c r="K5" s="96">
        <f t="shared" si="10"/>
        <v>31.868888888888886</v>
      </c>
      <c r="L5" s="146">
        <f t="shared" si="11"/>
        <v>36.333333333333336</v>
      </c>
      <c r="M5" s="146">
        <f t="shared" si="12"/>
        <v>41</v>
      </c>
      <c r="N5" s="146">
        <f t="shared" si="13"/>
        <v>79.756097560975604</v>
      </c>
      <c r="O5" s="187">
        <f t="shared" si="14"/>
        <v>0.9</v>
      </c>
      <c r="P5" s="2">
        <f t="shared" si="15"/>
        <v>2</v>
      </c>
      <c r="Q5" s="2">
        <f t="shared" si="16"/>
        <v>5</v>
      </c>
      <c r="R5" s="2">
        <f t="shared" si="17"/>
        <v>7</v>
      </c>
      <c r="S5" s="6">
        <f t="shared" si="18"/>
        <v>0</v>
      </c>
      <c r="T5" s="21">
        <f t="shared" si="19"/>
        <v>0</v>
      </c>
      <c r="U5" s="56">
        <f t="shared" si="20"/>
        <v>0</v>
      </c>
      <c r="V5" s="56">
        <f t="shared" si="21"/>
        <v>0</v>
      </c>
      <c r="W5" s="56">
        <f t="shared" si="22"/>
        <v>0</v>
      </c>
      <c r="X5" s="60">
        <f t="shared" si="23"/>
        <v>9.9999999999999995E-8</v>
      </c>
      <c r="Y5" s="2">
        <f t="shared" si="24"/>
        <v>11</v>
      </c>
      <c r="Z5" s="2">
        <f t="shared" si="25"/>
        <v>0</v>
      </c>
      <c r="AA5" s="2">
        <f t="shared" si="26"/>
        <v>11</v>
      </c>
      <c r="AB5" s="360">
        <f t="shared" si="27"/>
        <v>31</v>
      </c>
      <c r="AC5" s="334">
        <f t="shared" si="28"/>
        <v>0.85321100917431192</v>
      </c>
      <c r="AD5" s="2">
        <f t="shared" si="29"/>
        <v>20</v>
      </c>
      <c r="AE5" s="21">
        <f t="shared" si="30"/>
        <v>0.35483870967741937</v>
      </c>
      <c r="AF5" s="211">
        <f t="shared" si="31"/>
        <v>132</v>
      </c>
      <c r="AG5" s="199">
        <f t="shared" si="32"/>
        <v>3.6330275229357798</v>
      </c>
      <c r="AH5" s="211">
        <f t="shared" si="33"/>
        <v>33</v>
      </c>
      <c r="AI5" s="199">
        <f t="shared" si="34"/>
        <v>0.90825688073394495</v>
      </c>
      <c r="AJ5" s="21">
        <f t="shared" si="35"/>
        <v>0.25</v>
      </c>
      <c r="AK5" s="6">
        <f t="shared" si="36"/>
        <v>102</v>
      </c>
      <c r="AL5" s="5">
        <f t="shared" si="37"/>
        <v>2.807339449541284</v>
      </c>
      <c r="AM5" s="6">
        <f t="shared" si="38"/>
        <v>39</v>
      </c>
      <c r="AN5" s="5">
        <f t="shared" si="39"/>
        <v>1.073394495412844</v>
      </c>
      <c r="AO5" s="21">
        <f t="shared" si="40"/>
        <v>0.38235294117647056</v>
      </c>
      <c r="AP5" s="2">
        <f t="shared" si="41"/>
        <v>20</v>
      </c>
      <c r="AQ5" s="21">
        <f t="shared" si="42"/>
        <v>0.64516129032258063</v>
      </c>
      <c r="AR5" s="6">
        <f t="shared" si="43"/>
        <v>1275</v>
      </c>
      <c r="AS5" s="6">
        <f t="shared" si="44"/>
        <v>1158</v>
      </c>
      <c r="AT5" s="5">
        <f t="shared" si="45"/>
        <v>31.87155963302752</v>
      </c>
      <c r="AU5" s="5">
        <f t="shared" si="46"/>
        <v>28.651376146788991</v>
      </c>
      <c r="AV5" s="6">
        <f t="shared" si="47"/>
        <v>117</v>
      </c>
      <c r="AW5" s="5">
        <f t="shared" si="48"/>
        <v>3.2201834862385317</v>
      </c>
      <c r="AX5" s="20">
        <f t="shared" si="49"/>
        <v>0.90823529411764703</v>
      </c>
      <c r="AY5" s="336">
        <f t="shared" si="50"/>
        <v>1173</v>
      </c>
      <c r="AZ5" s="5">
        <f t="shared" si="51"/>
        <v>32.284403669724767</v>
      </c>
      <c r="BA5" s="6">
        <f t="shared" si="52"/>
        <v>102</v>
      </c>
      <c r="BB5" s="5">
        <f t="shared" si="53"/>
        <v>2.807339449541284</v>
      </c>
      <c r="BC5" s="21">
        <f t="shared" si="54"/>
        <v>8.6956521739130432E-2</v>
      </c>
      <c r="BD5" s="6">
        <f t="shared" si="55"/>
        <v>58</v>
      </c>
      <c r="BE5" s="5">
        <f t="shared" si="56"/>
        <v>1.5963302752293578</v>
      </c>
      <c r="BF5" s="6">
        <f t="shared" si="57"/>
        <v>21</v>
      </c>
      <c r="BG5" s="5">
        <f t="shared" si="58"/>
        <v>0.57798165137614677</v>
      </c>
      <c r="BH5" s="6">
        <f t="shared" si="59"/>
        <v>6</v>
      </c>
      <c r="BI5" s="5">
        <f t="shared" si="60"/>
        <v>0.16513761467889906</v>
      </c>
      <c r="BJ5" s="21">
        <f t="shared" si="61"/>
        <v>0.36206896551724138</v>
      </c>
      <c r="BK5" s="6">
        <f t="shared" si="62"/>
        <v>0</v>
      </c>
      <c r="BL5" s="5">
        <f t="shared" si="63"/>
        <v>0</v>
      </c>
      <c r="BM5" s="6">
        <f t="shared" si="64"/>
        <v>44</v>
      </c>
      <c r="BN5" s="5">
        <f t="shared" si="65"/>
        <v>1.2110091743119265</v>
      </c>
      <c r="BO5" s="6">
        <f t="shared" si="66"/>
        <v>18</v>
      </c>
      <c r="BP5" s="5">
        <f t="shared" si="67"/>
        <v>0.49541284403669722</v>
      </c>
      <c r="BQ5" s="21">
        <f t="shared" si="68"/>
        <v>0.40909090909090912</v>
      </c>
      <c r="BR5" s="6">
        <f t="shared" si="69"/>
        <v>26</v>
      </c>
      <c r="BS5" s="5">
        <f t="shared" si="70"/>
        <v>0.71559633027522929</v>
      </c>
      <c r="BT5" s="6">
        <f t="shared" si="71"/>
        <v>3.6333333333333337</v>
      </c>
      <c r="BU5" s="5">
        <f t="shared" si="72"/>
        <v>0.1</v>
      </c>
      <c r="BV5" s="21">
        <f t="shared" si="73"/>
        <v>0.40909090909090912</v>
      </c>
      <c r="BW5" s="2">
        <f t="shared" si="74"/>
        <v>19</v>
      </c>
      <c r="BX5" s="5">
        <f t="shared" si="75"/>
        <v>0.52293577981651373</v>
      </c>
      <c r="BY5" s="6">
        <f t="shared" si="76"/>
        <v>70</v>
      </c>
      <c r="BZ5" s="5">
        <f t="shared" si="77"/>
        <v>1.9266055045871557</v>
      </c>
      <c r="CA5" s="5">
        <f t="shared" si="78"/>
        <v>0.74311926605504586</v>
      </c>
      <c r="CB5" s="6">
        <f t="shared" si="79"/>
        <v>268</v>
      </c>
      <c r="CC5" s="337">
        <f t="shared" si="80"/>
        <v>7.8358208955223885E-2</v>
      </c>
      <c r="CD5" s="6">
        <f t="shared" si="81"/>
        <v>84</v>
      </c>
      <c r="CE5" s="5">
        <f t="shared" si="82"/>
        <v>2.3119266055045871</v>
      </c>
      <c r="CF5" s="6">
        <f t="shared" si="83"/>
        <v>54</v>
      </c>
      <c r="CG5" s="5">
        <f t="shared" si="84"/>
        <v>1.4862385321100917</v>
      </c>
      <c r="CH5" s="62">
        <f t="shared" si="85"/>
        <v>12.2</v>
      </c>
      <c r="CI5" s="61">
        <f t="shared" si="86"/>
        <v>158.5</v>
      </c>
      <c r="CJ5" s="62">
        <f t="shared" si="87"/>
        <v>4.3623853211009171</v>
      </c>
      <c r="CK5" s="61">
        <f t="shared" si="88"/>
        <v>106.81666666666666</v>
      </c>
      <c r="CL5" s="62">
        <f t="shared" si="89"/>
        <v>2.9399082568807335</v>
      </c>
      <c r="CM5" s="339">
        <f t="shared" si="90"/>
        <v>44.75</v>
      </c>
      <c r="CN5" s="340">
        <f t="shared" si="91"/>
        <v>1.2316513761467889</v>
      </c>
      <c r="CO5" s="373">
        <f t="shared" si="92"/>
        <v>0.67392218717139851</v>
      </c>
      <c r="CP5" s="194">
        <f t="shared" si="93"/>
        <v>4.7300000000000004</v>
      </c>
      <c r="CQ5" s="194">
        <f t="shared" si="94"/>
        <v>0.24894736842105267</v>
      </c>
      <c r="CR5" s="6">
        <f t="shared" si="95"/>
        <v>22</v>
      </c>
      <c r="CS5" s="62">
        <f t="shared" si="96"/>
        <v>0.60550458715596323</v>
      </c>
      <c r="CT5" s="5">
        <f t="shared" si="97"/>
        <v>243.9</v>
      </c>
      <c r="CU5" s="5">
        <f t="shared" si="98"/>
        <v>6.7128440366972475</v>
      </c>
      <c r="CV5" s="342">
        <f t="shared" si="99"/>
        <v>4.475229357798165</v>
      </c>
      <c r="CW5" s="183">
        <f t="shared" si="100"/>
        <v>169</v>
      </c>
      <c r="CX5" s="117">
        <f t="shared" si="101"/>
        <v>4.6513761467889907</v>
      </c>
      <c r="CY5" s="117">
        <f t="shared" si="102"/>
        <v>9.1</v>
      </c>
      <c r="CZ5" s="117">
        <f t="shared" si="103"/>
        <v>6.69</v>
      </c>
      <c r="DA5" s="300" t="s">
        <v>19</v>
      </c>
      <c r="DB5" s="296" t="s">
        <v>553</v>
      </c>
      <c r="DC5" s="296" t="s">
        <v>877</v>
      </c>
      <c r="DD5" s="296">
        <v>23</v>
      </c>
      <c r="DE5" s="296" t="s">
        <v>878</v>
      </c>
      <c r="DF5" s="296" t="s">
        <v>550</v>
      </c>
      <c r="DG5" s="296" t="s">
        <v>644</v>
      </c>
      <c r="DH5" s="296" t="s">
        <v>879</v>
      </c>
      <c r="DI5" s="296" t="s">
        <v>880</v>
      </c>
      <c r="DJ5" s="297">
        <v>46752</v>
      </c>
      <c r="DK5" s="296">
        <v>3270</v>
      </c>
      <c r="DL5" s="296" t="s">
        <v>881</v>
      </c>
      <c r="DM5" s="296">
        <v>0</v>
      </c>
      <c r="DN5" s="296">
        <v>0</v>
      </c>
      <c r="DO5" s="296">
        <v>2</v>
      </c>
      <c r="DP5" s="296">
        <v>5</v>
      </c>
      <c r="DQ5" s="296">
        <v>11</v>
      </c>
      <c r="DR5" s="296">
        <v>0</v>
      </c>
      <c r="DS5" s="296">
        <v>3</v>
      </c>
      <c r="DT5" s="296">
        <v>9.1</v>
      </c>
      <c r="DU5" s="296" t="s">
        <v>882</v>
      </c>
      <c r="DV5" s="296">
        <v>31</v>
      </c>
      <c r="DW5" s="296">
        <v>44</v>
      </c>
      <c r="DX5" s="296">
        <v>18</v>
      </c>
      <c r="DY5" s="296">
        <v>0.1</v>
      </c>
      <c r="DZ5" s="296">
        <v>1275</v>
      </c>
      <c r="EA5" s="296">
        <v>1158</v>
      </c>
      <c r="EB5" s="296">
        <v>19</v>
      </c>
      <c r="EC5" s="296">
        <v>102</v>
      </c>
      <c r="ED5" s="296">
        <v>43</v>
      </c>
      <c r="EE5" s="296">
        <v>17</v>
      </c>
      <c r="EF5" s="296">
        <v>132</v>
      </c>
      <c r="EG5" s="296">
        <v>33</v>
      </c>
      <c r="EH5" s="296">
        <v>27</v>
      </c>
      <c r="EI5" s="296">
        <v>21</v>
      </c>
      <c r="EJ5" s="296">
        <v>0</v>
      </c>
      <c r="EK5" s="296">
        <v>7</v>
      </c>
      <c r="EL5" s="296">
        <v>60</v>
      </c>
      <c r="EM5" s="296">
        <v>3</v>
      </c>
      <c r="EN5" s="296">
        <v>14</v>
      </c>
      <c r="EO5" s="296">
        <v>12</v>
      </c>
      <c r="EP5" s="296">
        <v>12.2</v>
      </c>
      <c r="EQ5" s="296">
        <v>0</v>
      </c>
      <c r="ER5" s="296">
        <v>0</v>
      </c>
      <c r="ES5" s="296">
        <v>0</v>
      </c>
      <c r="ET5" s="296" t="s">
        <v>883</v>
      </c>
      <c r="EU5" s="301">
        <v>6.69</v>
      </c>
    </row>
    <row r="6" spans="1:151" ht="24.95" customHeight="1" thickBot="1" x14ac:dyDescent="0.3">
      <c r="A6" s="29" t="str">
        <f t="shared" si="0"/>
        <v>5º</v>
      </c>
      <c r="B6" s="69" t="str">
        <f t="shared" si="1"/>
        <v>João Tavares</v>
      </c>
      <c r="C6" s="86" t="str">
        <f t="shared" si="2"/>
        <v>BRA</v>
      </c>
      <c r="D6" s="99" t="str">
        <f t="shared" si="3"/>
        <v>Pé Direito</v>
      </c>
      <c r="E6" s="28" t="str">
        <f t="shared" si="4"/>
        <v>Londrina</v>
      </c>
      <c r="F6" s="168">
        <f t="shared" si="5"/>
        <v>1.89</v>
      </c>
      <c r="G6" s="36">
        <f t="shared" si="6"/>
        <v>22</v>
      </c>
      <c r="H6" s="335" t="str">
        <f t="shared" si="7"/>
        <v>1,1m € p/m</v>
      </c>
      <c r="I6" s="35">
        <f t="shared" si="8"/>
        <v>47118</v>
      </c>
      <c r="J6" s="202" t="str">
        <f t="shared" si="9"/>
        <v>55m € - 550m €</v>
      </c>
      <c r="K6" s="96">
        <f t="shared" si="10"/>
        <v>31.868888888888886</v>
      </c>
      <c r="L6" s="146">
        <f t="shared" si="11"/>
        <v>27.1</v>
      </c>
      <c r="M6" s="146">
        <f t="shared" si="12"/>
        <v>41</v>
      </c>
      <c r="N6" s="146">
        <f t="shared" si="13"/>
        <v>59.487804878048777</v>
      </c>
      <c r="O6" s="187">
        <f t="shared" si="14"/>
        <v>0.8</v>
      </c>
      <c r="P6" s="2">
        <f t="shared" si="15"/>
        <v>1</v>
      </c>
      <c r="Q6" s="2">
        <f t="shared" si="16"/>
        <v>3</v>
      </c>
      <c r="R6" s="2">
        <f t="shared" si="17"/>
        <v>4</v>
      </c>
      <c r="S6" s="6">
        <f t="shared" si="18"/>
        <v>1</v>
      </c>
      <c r="T6" s="21">
        <f t="shared" si="19"/>
        <v>3.6900369003690037E-2</v>
      </c>
      <c r="U6" s="56">
        <f t="shared" si="20"/>
        <v>0</v>
      </c>
      <c r="V6" s="56">
        <f t="shared" si="21"/>
        <v>0</v>
      </c>
      <c r="W6" s="56">
        <f t="shared" si="22"/>
        <v>0</v>
      </c>
      <c r="X6" s="60">
        <f t="shared" si="23"/>
        <v>9.9999999999999995E-8</v>
      </c>
      <c r="Y6" s="2">
        <f t="shared" si="24"/>
        <v>5</v>
      </c>
      <c r="Z6" s="2">
        <f t="shared" si="25"/>
        <v>0</v>
      </c>
      <c r="AA6" s="2">
        <f t="shared" si="26"/>
        <v>5</v>
      </c>
      <c r="AB6" s="360">
        <f t="shared" si="27"/>
        <v>34</v>
      </c>
      <c r="AC6" s="334">
        <f t="shared" si="28"/>
        <v>1.2546125461254611</v>
      </c>
      <c r="AD6" s="2">
        <f t="shared" si="29"/>
        <v>29</v>
      </c>
      <c r="AE6" s="21">
        <f t="shared" si="30"/>
        <v>0.14705882352941177</v>
      </c>
      <c r="AF6" s="211">
        <f t="shared" si="31"/>
        <v>158</v>
      </c>
      <c r="AG6" s="199">
        <f t="shared" si="32"/>
        <v>5.8302583025830259</v>
      </c>
      <c r="AH6" s="211">
        <f t="shared" si="33"/>
        <v>34</v>
      </c>
      <c r="AI6" s="199">
        <f t="shared" si="34"/>
        <v>1.2546125461254611</v>
      </c>
      <c r="AJ6" s="21">
        <f t="shared" si="35"/>
        <v>0.21518987341772153</v>
      </c>
      <c r="AK6" s="6">
        <f t="shared" si="36"/>
        <v>159</v>
      </c>
      <c r="AL6" s="5">
        <f t="shared" si="37"/>
        <v>5.8671586715867159</v>
      </c>
      <c r="AM6" s="6">
        <f t="shared" si="38"/>
        <v>74</v>
      </c>
      <c r="AN6" s="5">
        <f t="shared" si="39"/>
        <v>2.7306273062730626</v>
      </c>
      <c r="AO6" s="21">
        <f t="shared" si="40"/>
        <v>0.46540880503144655</v>
      </c>
      <c r="AP6" s="2">
        <f t="shared" si="41"/>
        <v>29</v>
      </c>
      <c r="AQ6" s="21">
        <f t="shared" si="42"/>
        <v>0.8529411764705882</v>
      </c>
      <c r="AR6" s="6">
        <f t="shared" si="43"/>
        <v>1436</v>
      </c>
      <c r="AS6" s="6">
        <f t="shared" si="44"/>
        <v>1260</v>
      </c>
      <c r="AT6" s="5">
        <f t="shared" si="45"/>
        <v>46.494464944649444</v>
      </c>
      <c r="AU6" s="5">
        <f t="shared" si="46"/>
        <v>40</v>
      </c>
      <c r="AV6" s="6">
        <f t="shared" si="47"/>
        <v>176</v>
      </c>
      <c r="AW6" s="5">
        <f t="shared" si="48"/>
        <v>6.4944649446494465</v>
      </c>
      <c r="AX6" s="20">
        <f t="shared" si="49"/>
        <v>0.87743732590529244</v>
      </c>
      <c r="AY6" s="336">
        <f t="shared" si="50"/>
        <v>1298</v>
      </c>
      <c r="AZ6" s="5">
        <f t="shared" si="51"/>
        <v>47.896678966789665</v>
      </c>
      <c r="BA6" s="6">
        <f t="shared" si="52"/>
        <v>138</v>
      </c>
      <c r="BB6" s="5">
        <f t="shared" si="53"/>
        <v>5.0922509225092245</v>
      </c>
      <c r="BC6" s="21">
        <f t="shared" si="54"/>
        <v>0.10631741140215717</v>
      </c>
      <c r="BD6" s="6">
        <f t="shared" si="55"/>
        <v>64</v>
      </c>
      <c r="BE6" s="5">
        <f t="shared" si="56"/>
        <v>2.3616236162361623</v>
      </c>
      <c r="BF6" s="6">
        <f t="shared" si="57"/>
        <v>17</v>
      </c>
      <c r="BG6" s="5">
        <f t="shared" si="58"/>
        <v>0.62730627306273057</v>
      </c>
      <c r="BH6" s="6">
        <f t="shared" si="59"/>
        <v>13</v>
      </c>
      <c r="BI6" s="5">
        <f t="shared" si="60"/>
        <v>0.47970479704797048</v>
      </c>
      <c r="BJ6" s="21">
        <f t="shared" si="61"/>
        <v>0.265625</v>
      </c>
      <c r="BK6" s="6">
        <f t="shared" si="62"/>
        <v>1</v>
      </c>
      <c r="BL6" s="5">
        <f t="shared" si="63"/>
        <v>3.6900369003690037E-2</v>
      </c>
      <c r="BM6" s="6">
        <f t="shared" si="64"/>
        <v>95</v>
      </c>
      <c r="BN6" s="5">
        <f t="shared" si="65"/>
        <v>3.5055350553505535</v>
      </c>
      <c r="BO6" s="6">
        <f t="shared" si="66"/>
        <v>56</v>
      </c>
      <c r="BP6" s="5">
        <f t="shared" si="67"/>
        <v>2.0664206642066421</v>
      </c>
      <c r="BQ6" s="21">
        <f t="shared" si="68"/>
        <v>0.58947368421052626</v>
      </c>
      <c r="BR6" s="6">
        <f t="shared" si="69"/>
        <v>39</v>
      </c>
      <c r="BS6" s="5">
        <f t="shared" si="70"/>
        <v>1.4391143911439113</v>
      </c>
      <c r="BT6" s="6">
        <f t="shared" si="71"/>
        <v>8.1300000000000008</v>
      </c>
      <c r="BU6" s="5">
        <f t="shared" si="72"/>
        <v>0.3</v>
      </c>
      <c r="BV6" s="21">
        <f t="shared" si="73"/>
        <v>0.58947368421052626</v>
      </c>
      <c r="BW6" s="2">
        <f t="shared" si="74"/>
        <v>24</v>
      </c>
      <c r="BX6" s="5">
        <f t="shared" si="75"/>
        <v>0.88560885608856088</v>
      </c>
      <c r="BY6" s="6">
        <f t="shared" si="76"/>
        <v>96</v>
      </c>
      <c r="BZ6" s="5">
        <f t="shared" si="77"/>
        <v>3.5424354243542435</v>
      </c>
      <c r="CA6" s="5">
        <f t="shared" si="78"/>
        <v>1.1439114391143912</v>
      </c>
      <c r="CB6" s="6">
        <f t="shared" si="79"/>
        <v>268</v>
      </c>
      <c r="CC6" s="337">
        <f t="shared" si="80"/>
        <v>6.3432835820895525E-2</v>
      </c>
      <c r="CD6" s="6">
        <f t="shared" si="81"/>
        <v>123</v>
      </c>
      <c r="CE6" s="5">
        <f t="shared" si="82"/>
        <v>4.5387453874538739</v>
      </c>
      <c r="CF6" s="6">
        <f t="shared" si="83"/>
        <v>51.5</v>
      </c>
      <c r="CG6" s="5">
        <f t="shared" si="84"/>
        <v>1.9003690036900367</v>
      </c>
      <c r="CH6" s="62">
        <f t="shared" si="85"/>
        <v>10.1</v>
      </c>
      <c r="CI6" s="61">
        <f t="shared" si="86"/>
        <v>194.5</v>
      </c>
      <c r="CJ6" s="62">
        <f t="shared" si="87"/>
        <v>7.1771217712177116</v>
      </c>
      <c r="CK6" s="61">
        <f t="shared" si="88"/>
        <v>145.065</v>
      </c>
      <c r="CL6" s="62">
        <f t="shared" si="89"/>
        <v>5.3529520295202948</v>
      </c>
      <c r="CM6" s="339">
        <f t="shared" si="90"/>
        <v>40.25</v>
      </c>
      <c r="CN6" s="340">
        <f t="shared" si="91"/>
        <v>1.485239852398524</v>
      </c>
      <c r="CO6" s="373">
        <f t="shared" si="92"/>
        <v>0.74583547557840613</v>
      </c>
      <c r="CP6" s="194">
        <f t="shared" si="93"/>
        <v>4.13</v>
      </c>
      <c r="CQ6" s="194">
        <f t="shared" si="94"/>
        <v>0.17208333333333334</v>
      </c>
      <c r="CR6" s="6">
        <f t="shared" si="95"/>
        <v>28</v>
      </c>
      <c r="CS6" s="62">
        <f t="shared" si="96"/>
        <v>1.033210332103321</v>
      </c>
      <c r="CT6" s="5">
        <f t="shared" si="97"/>
        <v>326.5</v>
      </c>
      <c r="CU6" s="5">
        <f t="shared" si="98"/>
        <v>12.047970479704796</v>
      </c>
      <c r="CV6" s="342">
        <f t="shared" si="99"/>
        <v>8.031980319803198</v>
      </c>
      <c r="CW6" s="183">
        <f t="shared" si="100"/>
        <v>225</v>
      </c>
      <c r="CX6" s="117">
        <f t="shared" si="101"/>
        <v>8.3025830258302573</v>
      </c>
      <c r="CY6" s="117">
        <f t="shared" si="102"/>
        <v>7.6</v>
      </c>
      <c r="CZ6" s="117">
        <f t="shared" si="103"/>
        <v>6.83</v>
      </c>
      <c r="DA6" s="302"/>
      <c r="DB6" s="298" t="s">
        <v>13</v>
      </c>
      <c r="DC6" s="298" t="s">
        <v>885</v>
      </c>
      <c r="DD6" s="298">
        <v>22</v>
      </c>
      <c r="DE6" s="298" t="s">
        <v>770</v>
      </c>
      <c r="DF6" s="298" t="s">
        <v>593</v>
      </c>
      <c r="DG6" s="298" t="s">
        <v>644</v>
      </c>
      <c r="DH6" s="298" t="s">
        <v>886</v>
      </c>
      <c r="DI6" s="298" t="s">
        <v>887</v>
      </c>
      <c r="DJ6" s="299">
        <v>47118</v>
      </c>
      <c r="DK6" s="298">
        <v>2439</v>
      </c>
      <c r="DL6" s="298" t="s">
        <v>888</v>
      </c>
      <c r="DM6" s="298">
        <v>1</v>
      </c>
      <c r="DN6" s="298">
        <v>0</v>
      </c>
      <c r="DO6" s="298">
        <v>1</v>
      </c>
      <c r="DP6" s="298">
        <v>3</v>
      </c>
      <c r="DQ6" s="298">
        <v>5</v>
      </c>
      <c r="DR6" s="298">
        <v>0</v>
      </c>
      <c r="DS6" s="298">
        <v>4</v>
      </c>
      <c r="DT6" s="298">
        <v>7.6</v>
      </c>
      <c r="DU6" s="298" t="s">
        <v>889</v>
      </c>
      <c r="DV6" s="298">
        <v>34</v>
      </c>
      <c r="DW6" s="298">
        <v>95</v>
      </c>
      <c r="DX6" s="298">
        <v>56</v>
      </c>
      <c r="DY6" s="298">
        <v>0.3</v>
      </c>
      <c r="DZ6" s="298">
        <v>1436</v>
      </c>
      <c r="EA6" s="298">
        <v>1260</v>
      </c>
      <c r="EB6" s="298">
        <v>24</v>
      </c>
      <c r="EC6" s="298">
        <v>138</v>
      </c>
      <c r="ED6" s="298">
        <v>14</v>
      </c>
      <c r="EE6" s="298">
        <v>4</v>
      </c>
      <c r="EF6" s="298">
        <v>158</v>
      </c>
      <c r="EG6" s="298">
        <v>34</v>
      </c>
      <c r="EH6" s="298">
        <v>30</v>
      </c>
      <c r="EI6" s="298">
        <v>17</v>
      </c>
      <c r="EJ6" s="298">
        <v>1</v>
      </c>
      <c r="EK6" s="298">
        <v>13</v>
      </c>
      <c r="EL6" s="298">
        <v>75</v>
      </c>
      <c r="EM6" s="298">
        <v>7</v>
      </c>
      <c r="EN6" s="298">
        <v>28</v>
      </c>
      <c r="EO6" s="298">
        <v>10</v>
      </c>
      <c r="EP6" s="298">
        <v>10.1</v>
      </c>
      <c r="EQ6" s="298">
        <v>0</v>
      </c>
      <c r="ER6" s="298">
        <v>0</v>
      </c>
      <c r="ES6" s="298">
        <v>0</v>
      </c>
      <c r="ET6" s="298" t="s">
        <v>890</v>
      </c>
      <c r="EU6" s="303">
        <v>6.83</v>
      </c>
    </row>
    <row r="7" spans="1:151" ht="24.95" customHeight="1" thickBot="1" x14ac:dyDescent="0.3">
      <c r="A7" s="29" t="str">
        <f t="shared" si="0"/>
        <v>6º</v>
      </c>
      <c r="B7" s="69" t="str">
        <f t="shared" si="1"/>
        <v>Johan Caicedo</v>
      </c>
      <c r="C7" s="86" t="str">
        <f t="shared" si="2"/>
        <v>COL</v>
      </c>
      <c r="D7" s="99" t="str">
        <f t="shared" si="3"/>
        <v>Pé Direito</v>
      </c>
      <c r="E7" s="28" t="str">
        <f t="shared" si="4"/>
        <v>Deportivo Pasto</v>
      </c>
      <c r="F7" s="168">
        <f t="shared" si="5"/>
        <v>1.83</v>
      </c>
      <c r="G7" s="36">
        <f t="shared" si="6"/>
        <v>22</v>
      </c>
      <c r="H7" s="335" t="str">
        <f t="shared" si="7"/>
        <v>10,25m € p/m</v>
      </c>
      <c r="I7" s="35">
        <f t="shared" si="8"/>
        <v>46752</v>
      </c>
      <c r="J7" s="202" t="str">
        <f t="shared" si="9"/>
        <v>1,6M € - 3,4M €</v>
      </c>
      <c r="K7" s="96">
        <f t="shared" si="10"/>
        <v>31.868888888888886</v>
      </c>
      <c r="L7" s="146">
        <f t="shared" si="11"/>
        <v>29.155555555555555</v>
      </c>
      <c r="M7" s="146">
        <f t="shared" si="12"/>
        <v>34</v>
      </c>
      <c r="N7" s="146">
        <f t="shared" si="13"/>
        <v>77.17647058823529</v>
      </c>
      <c r="O7" s="187">
        <f t="shared" si="14"/>
        <v>0.94</v>
      </c>
      <c r="P7" s="2">
        <f t="shared" si="15"/>
        <v>1</v>
      </c>
      <c r="Q7" s="2">
        <f t="shared" si="16"/>
        <v>3</v>
      </c>
      <c r="R7" s="2">
        <f t="shared" si="17"/>
        <v>4</v>
      </c>
      <c r="S7" s="6">
        <f t="shared" si="18"/>
        <v>2</v>
      </c>
      <c r="T7" s="21">
        <f t="shared" si="19"/>
        <v>6.8597560975609762E-2</v>
      </c>
      <c r="U7" s="56">
        <f t="shared" si="20"/>
        <v>0</v>
      </c>
      <c r="V7" s="56">
        <f t="shared" si="21"/>
        <v>0</v>
      </c>
      <c r="W7" s="56">
        <f t="shared" si="22"/>
        <v>0</v>
      </c>
      <c r="X7" s="60">
        <f t="shared" si="23"/>
        <v>9.9999999999999995E-8</v>
      </c>
      <c r="Y7" s="2">
        <f t="shared" si="24"/>
        <v>6</v>
      </c>
      <c r="Z7" s="2">
        <f t="shared" si="25"/>
        <v>1</v>
      </c>
      <c r="AA7" s="2">
        <f t="shared" si="26"/>
        <v>7</v>
      </c>
      <c r="AB7" s="360">
        <f t="shared" si="27"/>
        <v>32</v>
      </c>
      <c r="AC7" s="334">
        <f t="shared" si="28"/>
        <v>1.0975609756097562</v>
      </c>
      <c r="AD7" s="2">
        <f t="shared" si="29"/>
        <v>25</v>
      </c>
      <c r="AE7" s="21">
        <f t="shared" si="30"/>
        <v>0.21875</v>
      </c>
      <c r="AF7" s="211">
        <f t="shared" si="31"/>
        <v>172</v>
      </c>
      <c r="AG7" s="199">
        <f t="shared" si="32"/>
        <v>5.899390243902439</v>
      </c>
      <c r="AH7" s="211">
        <f t="shared" si="33"/>
        <v>55</v>
      </c>
      <c r="AI7" s="199">
        <f t="shared" si="34"/>
        <v>1.8864329268292683</v>
      </c>
      <c r="AJ7" s="21">
        <f t="shared" si="35"/>
        <v>0.31976744186046513</v>
      </c>
      <c r="AK7" s="6">
        <f t="shared" si="36"/>
        <v>150</v>
      </c>
      <c r="AL7" s="5">
        <f t="shared" si="37"/>
        <v>5.1448170731707314</v>
      </c>
      <c r="AM7" s="6">
        <f t="shared" si="38"/>
        <v>78</v>
      </c>
      <c r="AN7" s="5">
        <f t="shared" si="39"/>
        <v>2.6753048780487805</v>
      </c>
      <c r="AO7" s="21">
        <f t="shared" si="40"/>
        <v>0.52</v>
      </c>
      <c r="AP7" s="2">
        <f t="shared" si="41"/>
        <v>25</v>
      </c>
      <c r="AQ7" s="21">
        <f t="shared" si="42"/>
        <v>0.78125</v>
      </c>
      <c r="AR7" s="6">
        <f t="shared" si="43"/>
        <v>1600</v>
      </c>
      <c r="AS7" s="6">
        <f t="shared" si="44"/>
        <v>1434</v>
      </c>
      <c r="AT7" s="5">
        <f t="shared" si="45"/>
        <v>49.184451219512198</v>
      </c>
      <c r="AU7" s="5">
        <f t="shared" si="46"/>
        <v>43.490853658536587</v>
      </c>
      <c r="AV7" s="6">
        <f t="shared" si="47"/>
        <v>166</v>
      </c>
      <c r="AW7" s="5">
        <f t="shared" si="48"/>
        <v>5.6935975609756095</v>
      </c>
      <c r="AX7" s="20">
        <f t="shared" si="49"/>
        <v>0.89624999999999999</v>
      </c>
      <c r="AY7" s="336">
        <f t="shared" si="50"/>
        <v>1489</v>
      </c>
      <c r="AZ7" s="5">
        <f t="shared" si="51"/>
        <v>51.070884146341463</v>
      </c>
      <c r="BA7" s="6">
        <f t="shared" si="52"/>
        <v>111</v>
      </c>
      <c r="BB7" s="5">
        <f t="shared" si="53"/>
        <v>3.8071646341463414</v>
      </c>
      <c r="BC7" s="21">
        <f t="shared" si="54"/>
        <v>7.4546675621222303E-2</v>
      </c>
      <c r="BD7" s="6">
        <f t="shared" si="55"/>
        <v>87</v>
      </c>
      <c r="BE7" s="5">
        <f t="shared" si="56"/>
        <v>2.9839939024390243</v>
      </c>
      <c r="BF7" s="6">
        <f t="shared" si="57"/>
        <v>38</v>
      </c>
      <c r="BG7" s="5">
        <f t="shared" si="58"/>
        <v>1.3033536585365855</v>
      </c>
      <c r="BH7" s="6">
        <f t="shared" si="59"/>
        <v>17</v>
      </c>
      <c r="BI7" s="5">
        <f t="shared" si="60"/>
        <v>0.58307926829268297</v>
      </c>
      <c r="BJ7" s="21">
        <f t="shared" si="61"/>
        <v>0.43678160919540232</v>
      </c>
      <c r="BK7" s="6">
        <f t="shared" si="62"/>
        <v>4</v>
      </c>
      <c r="BL7" s="5">
        <f t="shared" si="63"/>
        <v>0.13719512195121952</v>
      </c>
      <c r="BM7" s="6">
        <f t="shared" si="64"/>
        <v>63</v>
      </c>
      <c r="BN7" s="5">
        <f t="shared" si="65"/>
        <v>2.1608231707317072</v>
      </c>
      <c r="BO7" s="6">
        <f t="shared" si="66"/>
        <v>36</v>
      </c>
      <c r="BP7" s="5">
        <f t="shared" si="67"/>
        <v>1.2347560975609757</v>
      </c>
      <c r="BQ7" s="21">
        <f t="shared" si="68"/>
        <v>0.5714285714285714</v>
      </c>
      <c r="BR7" s="6">
        <f t="shared" si="69"/>
        <v>27</v>
      </c>
      <c r="BS7" s="5">
        <f t="shared" si="70"/>
        <v>0.92606707317073167</v>
      </c>
      <c r="BT7" s="6">
        <f t="shared" si="71"/>
        <v>11.662222222222223</v>
      </c>
      <c r="BU7" s="5">
        <f t="shared" si="72"/>
        <v>0.4</v>
      </c>
      <c r="BV7" s="21">
        <f t="shared" si="73"/>
        <v>0.5714285714285714</v>
      </c>
      <c r="BW7" s="2">
        <f t="shared" si="74"/>
        <v>25</v>
      </c>
      <c r="BX7" s="5">
        <f t="shared" si="75"/>
        <v>0.85746951219512202</v>
      </c>
      <c r="BY7" s="6">
        <f t="shared" si="76"/>
        <v>83</v>
      </c>
      <c r="BZ7" s="5">
        <f t="shared" si="77"/>
        <v>2.8467987804878048</v>
      </c>
      <c r="CA7" s="5">
        <f t="shared" si="78"/>
        <v>1.0975609756097562</v>
      </c>
      <c r="CB7" s="6">
        <f t="shared" si="79"/>
        <v>268</v>
      </c>
      <c r="CC7" s="337">
        <f t="shared" si="80"/>
        <v>0.1417910447761194</v>
      </c>
      <c r="CD7" s="6">
        <f t="shared" si="81"/>
        <v>104</v>
      </c>
      <c r="CE7" s="5">
        <f t="shared" si="82"/>
        <v>3.5670731707317076</v>
      </c>
      <c r="CF7" s="6">
        <f t="shared" si="83"/>
        <v>95</v>
      </c>
      <c r="CG7" s="5">
        <f t="shared" si="84"/>
        <v>3.2583841463414633</v>
      </c>
      <c r="CH7" s="62">
        <f t="shared" si="85"/>
        <v>12.3</v>
      </c>
      <c r="CI7" s="61">
        <f t="shared" si="86"/>
        <v>202</v>
      </c>
      <c r="CJ7" s="62">
        <f t="shared" si="87"/>
        <v>6.9283536585365857</v>
      </c>
      <c r="CK7" s="61">
        <f t="shared" si="88"/>
        <v>151.83111111111111</v>
      </c>
      <c r="CL7" s="62">
        <f t="shared" si="89"/>
        <v>5.2076219512195125</v>
      </c>
      <c r="CM7" s="339">
        <f t="shared" si="90"/>
        <v>41.5</v>
      </c>
      <c r="CN7" s="340">
        <f t="shared" si="91"/>
        <v>1.4233993902439024</v>
      </c>
      <c r="CO7" s="373">
        <f t="shared" si="92"/>
        <v>0.75163916391639163</v>
      </c>
      <c r="CP7" s="194">
        <f t="shared" si="93"/>
        <v>2.29</v>
      </c>
      <c r="CQ7" s="194">
        <f t="shared" si="94"/>
        <v>9.1600000000000001E-2</v>
      </c>
      <c r="CR7" s="6">
        <f t="shared" si="95"/>
        <v>29</v>
      </c>
      <c r="CS7" s="62">
        <f t="shared" si="96"/>
        <v>0.99466463414634143</v>
      </c>
      <c r="CT7" s="5">
        <f t="shared" si="97"/>
        <v>330.2</v>
      </c>
      <c r="CU7" s="5">
        <f t="shared" si="98"/>
        <v>11.325457317073171</v>
      </c>
      <c r="CV7" s="342">
        <f t="shared" si="99"/>
        <v>7.55030487804878</v>
      </c>
      <c r="CW7" s="183">
        <f t="shared" si="100"/>
        <v>204</v>
      </c>
      <c r="CX7" s="117">
        <f t="shared" si="101"/>
        <v>6.9969512195121952</v>
      </c>
      <c r="CY7" s="117">
        <f t="shared" si="102"/>
        <v>7.4</v>
      </c>
      <c r="CZ7" s="117">
        <f t="shared" si="103"/>
        <v>6.76</v>
      </c>
      <c r="DA7" s="302"/>
      <c r="DB7" s="298" t="s">
        <v>553</v>
      </c>
      <c r="DC7" s="298" t="s">
        <v>857</v>
      </c>
      <c r="DD7" s="298">
        <v>22</v>
      </c>
      <c r="DE7" s="298" t="s">
        <v>858</v>
      </c>
      <c r="DF7" s="298" t="s">
        <v>586</v>
      </c>
      <c r="DG7" s="298" t="s">
        <v>644</v>
      </c>
      <c r="DH7" s="298" t="s">
        <v>859</v>
      </c>
      <c r="DI7" s="298" t="s">
        <v>860</v>
      </c>
      <c r="DJ7" s="299">
        <v>46752</v>
      </c>
      <c r="DK7" s="298">
        <v>2624</v>
      </c>
      <c r="DL7" s="298" t="s">
        <v>861</v>
      </c>
      <c r="DM7" s="298">
        <v>2</v>
      </c>
      <c r="DN7" s="298">
        <v>0</v>
      </c>
      <c r="DO7" s="298">
        <v>1</v>
      </c>
      <c r="DP7" s="298">
        <v>3</v>
      </c>
      <c r="DQ7" s="298">
        <v>6</v>
      </c>
      <c r="DR7" s="298">
        <v>1</v>
      </c>
      <c r="DS7" s="298">
        <v>4</v>
      </c>
      <c r="DT7" s="298">
        <v>7.4</v>
      </c>
      <c r="DU7" s="298" t="s">
        <v>862</v>
      </c>
      <c r="DV7" s="298">
        <v>32</v>
      </c>
      <c r="DW7" s="298">
        <v>63</v>
      </c>
      <c r="DX7" s="298">
        <v>36</v>
      </c>
      <c r="DY7" s="298">
        <v>0.4</v>
      </c>
      <c r="DZ7" s="298">
        <v>1600</v>
      </c>
      <c r="EA7" s="298">
        <v>1434</v>
      </c>
      <c r="EB7" s="298">
        <v>25</v>
      </c>
      <c r="EC7" s="298">
        <v>111</v>
      </c>
      <c r="ED7" s="298">
        <v>12</v>
      </c>
      <c r="EE7" s="298">
        <v>1</v>
      </c>
      <c r="EF7" s="298">
        <v>172</v>
      </c>
      <c r="EG7" s="298">
        <v>55</v>
      </c>
      <c r="EH7" s="298">
        <v>55</v>
      </c>
      <c r="EI7" s="298">
        <v>38</v>
      </c>
      <c r="EJ7" s="298">
        <v>4</v>
      </c>
      <c r="EK7" s="298">
        <v>4</v>
      </c>
      <c r="EL7" s="298">
        <v>72</v>
      </c>
      <c r="EM7" s="298">
        <v>3</v>
      </c>
      <c r="EN7" s="298">
        <v>25</v>
      </c>
      <c r="EO7" s="298">
        <v>27</v>
      </c>
      <c r="EP7" s="298">
        <v>12.3</v>
      </c>
      <c r="EQ7" s="298">
        <v>0</v>
      </c>
      <c r="ER7" s="298">
        <v>0</v>
      </c>
      <c r="ES7" s="298">
        <v>0</v>
      </c>
      <c r="ET7" s="298" t="s">
        <v>863</v>
      </c>
      <c r="EU7" s="303">
        <v>6.76</v>
      </c>
    </row>
    <row r="8" spans="1:151" ht="24.95" customHeight="1" thickBot="1" x14ac:dyDescent="0.3">
      <c r="A8" s="29" t="str">
        <f t="shared" si="0"/>
        <v>7º</v>
      </c>
      <c r="B8" s="69" t="str">
        <f t="shared" si="1"/>
        <v>José Mercado</v>
      </c>
      <c r="C8" s="86" t="str">
        <f t="shared" si="2"/>
        <v>COL</v>
      </c>
      <c r="D8" s="99" t="str">
        <f t="shared" si="3"/>
        <v>Pé Direito</v>
      </c>
      <c r="E8" s="28" t="str">
        <f t="shared" si="4"/>
        <v>Unión Magdalena</v>
      </c>
      <c r="F8" s="168">
        <f t="shared" si="5"/>
        <v>1.74</v>
      </c>
      <c r="G8" s="36">
        <f t="shared" si="6"/>
        <v>23</v>
      </c>
      <c r="H8" s="335" t="str">
        <f t="shared" si="7"/>
        <v>3,5m € p/m</v>
      </c>
      <c r="I8" s="35">
        <f t="shared" si="8"/>
        <v>46752</v>
      </c>
      <c r="J8" s="202" t="str">
        <f t="shared" si="9"/>
        <v>375m € - 1,3M €</v>
      </c>
      <c r="K8" s="96">
        <f t="shared" si="10"/>
        <v>31.868888888888886</v>
      </c>
      <c r="L8" s="146">
        <f t="shared" si="11"/>
        <v>31.133333333333333</v>
      </c>
      <c r="M8" s="146">
        <f t="shared" si="12"/>
        <v>38</v>
      </c>
      <c r="N8" s="146">
        <f t="shared" si="13"/>
        <v>73.736842105263165</v>
      </c>
      <c r="O8" s="187">
        <f t="shared" si="14"/>
        <v>0.89</v>
      </c>
      <c r="P8" s="2">
        <f t="shared" si="15"/>
        <v>2</v>
      </c>
      <c r="Q8" s="2">
        <f t="shared" si="16"/>
        <v>4</v>
      </c>
      <c r="R8" s="2">
        <f t="shared" si="17"/>
        <v>6</v>
      </c>
      <c r="S8" s="6">
        <f t="shared" si="18"/>
        <v>0</v>
      </c>
      <c r="T8" s="21">
        <f t="shared" si="19"/>
        <v>0</v>
      </c>
      <c r="U8" s="56">
        <f t="shared" si="20"/>
        <v>0</v>
      </c>
      <c r="V8" s="56">
        <f t="shared" si="21"/>
        <v>0</v>
      </c>
      <c r="W8" s="56">
        <f t="shared" si="22"/>
        <v>0</v>
      </c>
      <c r="X8" s="60">
        <f t="shared" si="23"/>
        <v>9.9999999999999995E-8</v>
      </c>
      <c r="Y8" s="2">
        <f t="shared" si="24"/>
        <v>3</v>
      </c>
      <c r="Z8" s="2">
        <f t="shared" si="25"/>
        <v>0</v>
      </c>
      <c r="AA8" s="2">
        <f t="shared" si="26"/>
        <v>3</v>
      </c>
      <c r="AB8" s="360">
        <f t="shared" si="27"/>
        <v>6</v>
      </c>
      <c r="AC8" s="334">
        <f t="shared" si="28"/>
        <v>0.19271948608137046</v>
      </c>
      <c r="AD8" s="2">
        <f t="shared" si="29"/>
        <v>3</v>
      </c>
      <c r="AE8" s="21">
        <f t="shared" si="30"/>
        <v>0.5</v>
      </c>
      <c r="AF8" s="211">
        <f t="shared" si="31"/>
        <v>24</v>
      </c>
      <c r="AG8" s="199">
        <f t="shared" si="32"/>
        <v>0.77087794432548185</v>
      </c>
      <c r="AH8" s="211">
        <f t="shared" si="33"/>
        <v>9</v>
      </c>
      <c r="AI8" s="199">
        <f t="shared" si="34"/>
        <v>0.28907922912205569</v>
      </c>
      <c r="AJ8" s="21">
        <f t="shared" si="35"/>
        <v>0.375</v>
      </c>
      <c r="AK8" s="6">
        <f t="shared" si="36"/>
        <v>23</v>
      </c>
      <c r="AL8" s="5">
        <f t="shared" si="37"/>
        <v>0.73875802997858675</v>
      </c>
      <c r="AM8" s="6">
        <f t="shared" si="38"/>
        <v>5</v>
      </c>
      <c r="AN8" s="5">
        <f t="shared" si="39"/>
        <v>0.16059957173447537</v>
      </c>
      <c r="AO8" s="21">
        <f t="shared" si="40"/>
        <v>0.21739130434782608</v>
      </c>
      <c r="AP8" s="2">
        <f t="shared" si="41"/>
        <v>3</v>
      </c>
      <c r="AQ8" s="21">
        <f t="shared" si="42"/>
        <v>0.5</v>
      </c>
      <c r="AR8" s="6">
        <f t="shared" si="43"/>
        <v>251</v>
      </c>
      <c r="AS8" s="6">
        <f t="shared" si="44"/>
        <v>222</v>
      </c>
      <c r="AT8" s="5">
        <f t="shared" si="45"/>
        <v>7.1306209850107072</v>
      </c>
      <c r="AU8" s="5">
        <f t="shared" si="46"/>
        <v>6.1991434689507496</v>
      </c>
      <c r="AV8" s="6">
        <f t="shared" si="47"/>
        <v>29</v>
      </c>
      <c r="AW8" s="5">
        <f t="shared" si="48"/>
        <v>0.93147751605995721</v>
      </c>
      <c r="AX8" s="20">
        <f t="shared" si="49"/>
        <v>0.8844621513944223</v>
      </c>
      <c r="AY8" s="336">
        <f t="shared" si="50"/>
        <v>230</v>
      </c>
      <c r="AZ8" s="5">
        <f t="shared" si="51"/>
        <v>7.3875802997858671</v>
      </c>
      <c r="BA8" s="6">
        <f t="shared" si="52"/>
        <v>21</v>
      </c>
      <c r="BB8" s="5">
        <f t="shared" si="53"/>
        <v>0.67451820128479656</v>
      </c>
      <c r="BC8" s="21">
        <f t="shared" si="54"/>
        <v>9.1304347826086957E-2</v>
      </c>
      <c r="BD8" s="6">
        <f t="shared" si="55"/>
        <v>14</v>
      </c>
      <c r="BE8" s="5">
        <f t="shared" si="56"/>
        <v>0.44967880085653106</v>
      </c>
      <c r="BF8" s="6">
        <f t="shared" si="57"/>
        <v>2</v>
      </c>
      <c r="BG8" s="5">
        <f t="shared" si="58"/>
        <v>6.4239828693790149E-2</v>
      </c>
      <c r="BH8" s="6">
        <f t="shared" si="59"/>
        <v>6</v>
      </c>
      <c r="BI8" s="5">
        <f t="shared" si="60"/>
        <v>0.19271948608137046</v>
      </c>
      <c r="BJ8" s="21">
        <f t="shared" si="61"/>
        <v>0.14285714285714285</v>
      </c>
      <c r="BK8" s="6">
        <f t="shared" si="62"/>
        <v>0</v>
      </c>
      <c r="BL8" s="5">
        <f t="shared" si="63"/>
        <v>0</v>
      </c>
      <c r="BM8" s="6">
        <f t="shared" si="64"/>
        <v>9</v>
      </c>
      <c r="BN8" s="5">
        <f t="shared" si="65"/>
        <v>0.28907922912205569</v>
      </c>
      <c r="BO8" s="6">
        <f t="shared" si="66"/>
        <v>3</v>
      </c>
      <c r="BP8" s="5">
        <f t="shared" si="67"/>
        <v>9.6359743040685231E-2</v>
      </c>
      <c r="BQ8" s="21">
        <f t="shared" si="68"/>
        <v>0.33333333333333331</v>
      </c>
      <c r="BR8" s="6">
        <f t="shared" si="69"/>
        <v>6</v>
      </c>
      <c r="BS8" s="5">
        <f t="shared" si="70"/>
        <v>0.19271948608137046</v>
      </c>
      <c r="BT8" s="6">
        <f t="shared" si="71"/>
        <v>0</v>
      </c>
      <c r="BU8" s="5">
        <f t="shared" si="72"/>
        <v>0</v>
      </c>
      <c r="BV8" s="21">
        <f t="shared" si="73"/>
        <v>0.33333333333333331</v>
      </c>
      <c r="BW8" s="2">
        <f t="shared" si="74"/>
        <v>24</v>
      </c>
      <c r="BX8" s="5">
        <f t="shared" si="75"/>
        <v>0.77087794432548185</v>
      </c>
      <c r="BY8" s="6">
        <f t="shared" si="76"/>
        <v>12</v>
      </c>
      <c r="BZ8" s="5">
        <f t="shared" si="77"/>
        <v>0.38543897216274092</v>
      </c>
      <c r="CA8" s="5">
        <f t="shared" si="78"/>
        <v>1.2526766595289078</v>
      </c>
      <c r="CB8" s="6">
        <f t="shared" si="79"/>
        <v>268</v>
      </c>
      <c r="CC8" s="337">
        <f t="shared" si="80"/>
        <v>7.462686567164179E-3</v>
      </c>
      <c r="CD8" s="6">
        <f t="shared" si="81"/>
        <v>14</v>
      </c>
      <c r="CE8" s="5">
        <f t="shared" si="82"/>
        <v>0.44967880085653106</v>
      </c>
      <c r="CF8" s="6">
        <f t="shared" si="83"/>
        <v>11</v>
      </c>
      <c r="CG8" s="5">
        <f t="shared" si="84"/>
        <v>0.35331905781584583</v>
      </c>
      <c r="CH8" s="62">
        <f t="shared" si="85"/>
        <v>12.6</v>
      </c>
      <c r="CI8" s="61">
        <f t="shared" si="86"/>
        <v>32.5</v>
      </c>
      <c r="CJ8" s="62">
        <f t="shared" si="87"/>
        <v>1.04389721627409</v>
      </c>
      <c r="CK8" s="61">
        <f t="shared" si="88"/>
        <v>16</v>
      </c>
      <c r="CL8" s="62">
        <f t="shared" si="89"/>
        <v>0.51391862955032119</v>
      </c>
      <c r="CM8" s="339">
        <f t="shared" si="90"/>
        <v>9.75</v>
      </c>
      <c r="CN8" s="340">
        <f t="shared" si="91"/>
        <v>0.31316916488222696</v>
      </c>
      <c r="CO8" s="373">
        <f t="shared" si="92"/>
        <v>0.49230769230769234</v>
      </c>
      <c r="CP8" s="194">
        <f t="shared" si="93"/>
        <v>6.87</v>
      </c>
      <c r="CQ8" s="194">
        <f t="shared" si="94"/>
        <v>0.28625</v>
      </c>
      <c r="CR8" s="6">
        <f t="shared" si="95"/>
        <v>35</v>
      </c>
      <c r="CS8" s="62">
        <f t="shared" si="96"/>
        <v>1.1241970021413277</v>
      </c>
      <c r="CT8" s="5">
        <f t="shared" si="97"/>
        <v>38.1</v>
      </c>
      <c r="CU8" s="5">
        <f t="shared" si="98"/>
        <v>1.2237687366167025</v>
      </c>
      <c r="CV8" s="342">
        <f t="shared" si="99"/>
        <v>0.81584582441113496</v>
      </c>
      <c r="CW8" s="183">
        <f t="shared" si="100"/>
        <v>54</v>
      </c>
      <c r="CX8" s="117">
        <f t="shared" si="101"/>
        <v>1.734475374732334</v>
      </c>
      <c r="CY8" s="117">
        <f t="shared" si="102"/>
        <v>13.3</v>
      </c>
      <c r="CZ8" s="117">
        <f t="shared" si="103"/>
        <v>6.52</v>
      </c>
      <c r="DA8" s="300"/>
      <c r="DB8" s="296" t="s">
        <v>553</v>
      </c>
      <c r="DC8" s="296" t="s">
        <v>870</v>
      </c>
      <c r="DD8" s="296">
        <v>23</v>
      </c>
      <c r="DE8" s="296" t="s">
        <v>871</v>
      </c>
      <c r="DF8" s="296" t="s">
        <v>777</v>
      </c>
      <c r="DG8" s="296" t="s">
        <v>644</v>
      </c>
      <c r="DH8" s="296" t="s">
        <v>872</v>
      </c>
      <c r="DI8" s="296" t="s">
        <v>873</v>
      </c>
      <c r="DJ8" s="297">
        <v>46752</v>
      </c>
      <c r="DK8" s="296">
        <v>2802</v>
      </c>
      <c r="DL8" s="296" t="s">
        <v>874</v>
      </c>
      <c r="DM8" s="296">
        <v>0</v>
      </c>
      <c r="DN8" s="296">
        <v>0</v>
      </c>
      <c r="DO8" s="296">
        <v>2</v>
      </c>
      <c r="DP8" s="296">
        <v>4</v>
      </c>
      <c r="DQ8" s="296">
        <v>3</v>
      </c>
      <c r="DR8" s="296">
        <v>0</v>
      </c>
      <c r="DS8" s="296">
        <v>11</v>
      </c>
      <c r="DT8" s="296">
        <v>13.3</v>
      </c>
      <c r="DU8" s="296" t="s">
        <v>875</v>
      </c>
      <c r="DV8" s="296">
        <v>6</v>
      </c>
      <c r="DW8" s="296">
        <v>9</v>
      </c>
      <c r="DX8" s="296">
        <v>3</v>
      </c>
      <c r="DY8" s="296">
        <v>0</v>
      </c>
      <c r="DZ8" s="296">
        <v>251</v>
      </c>
      <c r="EA8" s="296">
        <v>222</v>
      </c>
      <c r="EB8" s="296">
        <v>24</v>
      </c>
      <c r="EC8" s="296">
        <v>21</v>
      </c>
      <c r="ED8" s="296">
        <v>30</v>
      </c>
      <c r="EE8" s="296">
        <v>11</v>
      </c>
      <c r="EF8" s="296">
        <v>24</v>
      </c>
      <c r="EG8" s="296">
        <v>9</v>
      </c>
      <c r="EH8" s="296">
        <v>8</v>
      </c>
      <c r="EI8" s="296">
        <v>2</v>
      </c>
      <c r="EJ8" s="296">
        <v>0</v>
      </c>
      <c r="EK8" s="296">
        <v>1</v>
      </c>
      <c r="EL8" s="296">
        <v>11</v>
      </c>
      <c r="EM8" s="296">
        <v>0</v>
      </c>
      <c r="EN8" s="296">
        <v>2</v>
      </c>
      <c r="EO8" s="296">
        <v>12</v>
      </c>
      <c r="EP8" s="296">
        <v>12.6</v>
      </c>
      <c r="EQ8" s="296">
        <v>0</v>
      </c>
      <c r="ER8" s="296">
        <v>0</v>
      </c>
      <c r="ES8" s="296">
        <v>0</v>
      </c>
      <c r="ET8" s="296" t="s">
        <v>876</v>
      </c>
      <c r="EU8" s="301">
        <v>6.52</v>
      </c>
    </row>
    <row r="9" spans="1:151" ht="24.95" customHeight="1" thickBot="1" x14ac:dyDescent="0.3">
      <c r="A9" s="29" t="str">
        <f t="shared" si="0"/>
        <v>8º</v>
      </c>
      <c r="B9" s="69" t="str">
        <f t="shared" si="1"/>
        <v>Sergio Vásquez</v>
      </c>
      <c r="C9" s="86" t="str">
        <f t="shared" si="2"/>
        <v>ECU</v>
      </c>
      <c r="D9" s="99" t="str">
        <f t="shared" si="3"/>
        <v>Pé Direito</v>
      </c>
      <c r="E9" s="28" t="str">
        <f t="shared" si="4"/>
        <v>Orense</v>
      </c>
      <c r="F9" s="168">
        <f t="shared" si="5"/>
        <v>1.8</v>
      </c>
      <c r="G9" s="36">
        <f t="shared" si="6"/>
        <v>22</v>
      </c>
      <c r="H9" s="335" t="str">
        <f t="shared" si="7"/>
        <v>6,25m € p/m</v>
      </c>
      <c r="I9" s="35">
        <f t="shared" si="8"/>
        <v>47452</v>
      </c>
      <c r="J9" s="202" t="str">
        <f t="shared" si="9"/>
        <v>325m € - 3,2M €</v>
      </c>
      <c r="K9" s="96">
        <f t="shared" si="10"/>
        <v>31.868888888888886</v>
      </c>
      <c r="L9" s="146">
        <f t="shared" si="11"/>
        <v>34.511111111111113</v>
      </c>
      <c r="M9" s="146">
        <f t="shared" si="12"/>
        <v>35</v>
      </c>
      <c r="N9" s="146">
        <f t="shared" si="13"/>
        <v>88.742857142857147</v>
      </c>
      <c r="O9" s="187">
        <f t="shared" si="14"/>
        <v>1</v>
      </c>
      <c r="P9" s="2">
        <f t="shared" si="15"/>
        <v>0</v>
      </c>
      <c r="Q9" s="2">
        <f t="shared" si="16"/>
        <v>5</v>
      </c>
      <c r="R9" s="2">
        <f t="shared" si="17"/>
        <v>5</v>
      </c>
      <c r="S9" s="6">
        <f t="shared" si="18"/>
        <v>0</v>
      </c>
      <c r="T9" s="21">
        <f t="shared" si="19"/>
        <v>0</v>
      </c>
      <c r="U9" s="56">
        <f t="shared" si="20"/>
        <v>0</v>
      </c>
      <c r="V9" s="56">
        <f t="shared" si="21"/>
        <v>0</v>
      </c>
      <c r="W9" s="56">
        <f t="shared" si="22"/>
        <v>0</v>
      </c>
      <c r="X9" s="60">
        <f t="shared" si="23"/>
        <v>9.9999999999999995E-8</v>
      </c>
      <c r="Y9" s="2">
        <f t="shared" si="24"/>
        <v>7</v>
      </c>
      <c r="Z9" s="2">
        <f t="shared" si="25"/>
        <v>0</v>
      </c>
      <c r="AA9" s="2">
        <f t="shared" si="26"/>
        <v>7</v>
      </c>
      <c r="AB9" s="360">
        <f t="shared" si="27"/>
        <v>35</v>
      </c>
      <c r="AC9" s="334">
        <f t="shared" si="28"/>
        <v>1.0141661300708307</v>
      </c>
      <c r="AD9" s="2">
        <f t="shared" si="29"/>
        <v>28</v>
      </c>
      <c r="AE9" s="21">
        <f t="shared" si="30"/>
        <v>0.2</v>
      </c>
      <c r="AF9" s="211">
        <f t="shared" si="31"/>
        <v>209</v>
      </c>
      <c r="AG9" s="199">
        <f t="shared" si="32"/>
        <v>6.0560206052801027</v>
      </c>
      <c r="AH9" s="211">
        <f t="shared" si="33"/>
        <v>46</v>
      </c>
      <c r="AI9" s="199">
        <f t="shared" si="34"/>
        <v>1.3329040566645203</v>
      </c>
      <c r="AJ9" s="21">
        <f t="shared" si="35"/>
        <v>0.22009569377990432</v>
      </c>
      <c r="AK9" s="6">
        <f t="shared" si="36"/>
        <v>189</v>
      </c>
      <c r="AL9" s="5">
        <f t="shared" si="37"/>
        <v>5.4764971023824849</v>
      </c>
      <c r="AM9" s="6">
        <f t="shared" si="38"/>
        <v>95</v>
      </c>
      <c r="AN9" s="5">
        <f t="shared" si="39"/>
        <v>2.7527366387636829</v>
      </c>
      <c r="AO9" s="21">
        <f t="shared" si="40"/>
        <v>0.50264550264550267</v>
      </c>
      <c r="AP9" s="2">
        <f t="shared" si="41"/>
        <v>28</v>
      </c>
      <c r="AQ9" s="21">
        <f t="shared" si="42"/>
        <v>0.8</v>
      </c>
      <c r="AR9" s="6">
        <f t="shared" si="43"/>
        <v>1842</v>
      </c>
      <c r="AS9" s="6">
        <f t="shared" si="44"/>
        <v>1695</v>
      </c>
      <c r="AT9" s="5">
        <f t="shared" si="45"/>
        <v>49.11461687057308</v>
      </c>
      <c r="AU9" s="5">
        <f t="shared" si="46"/>
        <v>44.855119124275596</v>
      </c>
      <c r="AV9" s="6">
        <f t="shared" si="47"/>
        <v>147</v>
      </c>
      <c r="AW9" s="5">
        <f t="shared" si="48"/>
        <v>4.2594977462974883</v>
      </c>
      <c r="AX9" s="20">
        <f t="shared" si="49"/>
        <v>0.92019543973941365</v>
      </c>
      <c r="AY9" s="336">
        <f t="shared" si="50"/>
        <v>1611</v>
      </c>
      <c r="AZ9" s="5">
        <f t="shared" si="51"/>
        <v>46.680618158403085</v>
      </c>
      <c r="BA9" s="6">
        <f t="shared" si="52"/>
        <v>231</v>
      </c>
      <c r="BB9" s="5">
        <f t="shared" si="53"/>
        <v>6.6934964584674823</v>
      </c>
      <c r="BC9" s="21">
        <f t="shared" si="54"/>
        <v>0.14338919925512103</v>
      </c>
      <c r="BD9" s="6">
        <f t="shared" si="55"/>
        <v>89</v>
      </c>
      <c r="BE9" s="5">
        <f t="shared" si="56"/>
        <v>2.5788795878943978</v>
      </c>
      <c r="BF9" s="6">
        <f t="shared" si="57"/>
        <v>46</v>
      </c>
      <c r="BG9" s="5">
        <f t="shared" si="58"/>
        <v>1.3329040566645203</v>
      </c>
      <c r="BH9" s="6">
        <f t="shared" si="59"/>
        <v>8</v>
      </c>
      <c r="BI9" s="5">
        <f t="shared" si="60"/>
        <v>0.231809401159047</v>
      </c>
      <c r="BJ9" s="21">
        <f t="shared" si="61"/>
        <v>0.5168539325842697</v>
      </c>
      <c r="BK9" s="6">
        <f t="shared" si="62"/>
        <v>3</v>
      </c>
      <c r="BL9" s="5">
        <f t="shared" si="63"/>
        <v>8.692852543464262E-2</v>
      </c>
      <c r="BM9" s="6">
        <f t="shared" si="64"/>
        <v>100</v>
      </c>
      <c r="BN9" s="5">
        <f t="shared" si="65"/>
        <v>2.8976175144880876</v>
      </c>
      <c r="BO9" s="6">
        <f t="shared" si="66"/>
        <v>46</v>
      </c>
      <c r="BP9" s="5">
        <f t="shared" si="67"/>
        <v>1.3329040566645203</v>
      </c>
      <c r="BQ9" s="21">
        <f t="shared" si="68"/>
        <v>0.46</v>
      </c>
      <c r="BR9" s="6">
        <f t="shared" si="69"/>
        <v>54</v>
      </c>
      <c r="BS9" s="5">
        <f t="shared" si="70"/>
        <v>1.5647134578235673</v>
      </c>
      <c r="BT9" s="6">
        <f t="shared" si="71"/>
        <v>10.353333333333333</v>
      </c>
      <c r="BU9" s="5">
        <f t="shared" si="72"/>
        <v>0.3</v>
      </c>
      <c r="BV9" s="21">
        <f t="shared" si="73"/>
        <v>0.46</v>
      </c>
      <c r="BW9" s="2">
        <f t="shared" si="74"/>
        <v>30</v>
      </c>
      <c r="BX9" s="5">
        <f t="shared" si="75"/>
        <v>0.86928525434642623</v>
      </c>
      <c r="BY9" s="6">
        <f t="shared" si="76"/>
        <v>116</v>
      </c>
      <c r="BZ9" s="5">
        <f t="shared" si="77"/>
        <v>3.3612363168061816</v>
      </c>
      <c r="CA9" s="5">
        <f t="shared" si="78"/>
        <v>1.1880231809401158</v>
      </c>
      <c r="CB9" s="6">
        <f t="shared" si="79"/>
        <v>268</v>
      </c>
      <c r="CC9" s="337">
        <f t="shared" si="80"/>
        <v>0.17164179104477612</v>
      </c>
      <c r="CD9" s="6">
        <f t="shared" si="81"/>
        <v>143</v>
      </c>
      <c r="CE9" s="5">
        <f t="shared" si="82"/>
        <v>4.1435930457179646</v>
      </c>
      <c r="CF9" s="6">
        <f t="shared" si="83"/>
        <v>93.5</v>
      </c>
      <c r="CG9" s="5">
        <f t="shared" si="84"/>
        <v>2.709272376046362</v>
      </c>
      <c r="CH9" s="62">
        <f t="shared" si="85"/>
        <v>13</v>
      </c>
      <c r="CI9" s="61">
        <f t="shared" si="86"/>
        <v>242.5</v>
      </c>
      <c r="CJ9" s="62">
        <f t="shared" si="87"/>
        <v>7.0267224726336117</v>
      </c>
      <c r="CK9" s="61">
        <f t="shared" si="88"/>
        <v>197.17666666666668</v>
      </c>
      <c r="CL9" s="62">
        <f t="shared" si="89"/>
        <v>5.713425627817128</v>
      </c>
      <c r="CM9" s="339">
        <f t="shared" si="90"/>
        <v>43.75</v>
      </c>
      <c r="CN9" s="340">
        <f t="shared" si="91"/>
        <v>1.2677076625885382</v>
      </c>
      <c r="CO9" s="373">
        <f t="shared" si="92"/>
        <v>0.81309965635738835</v>
      </c>
      <c r="CP9" s="194">
        <f t="shared" si="93"/>
        <v>2.71</v>
      </c>
      <c r="CQ9" s="194">
        <f t="shared" si="94"/>
        <v>9.0333333333333335E-2</v>
      </c>
      <c r="CR9" s="6">
        <f t="shared" si="95"/>
        <v>36</v>
      </c>
      <c r="CS9" s="62">
        <f t="shared" si="96"/>
        <v>1.0431423052157114</v>
      </c>
      <c r="CT9" s="5">
        <f t="shared" si="97"/>
        <v>393.1</v>
      </c>
      <c r="CU9" s="5">
        <f t="shared" si="98"/>
        <v>11.390534449452673</v>
      </c>
      <c r="CV9" s="342">
        <f t="shared" si="99"/>
        <v>7.5936896329684487</v>
      </c>
      <c r="CW9" s="183">
        <f t="shared" si="100"/>
        <v>221</v>
      </c>
      <c r="CX9" s="117">
        <f t="shared" si="101"/>
        <v>6.403734707018673</v>
      </c>
      <c r="CY9" s="117">
        <f t="shared" si="102"/>
        <v>6.5</v>
      </c>
      <c r="CZ9" s="117">
        <f t="shared" si="103"/>
        <v>6.91</v>
      </c>
      <c r="DA9" s="302"/>
      <c r="DB9" s="298" t="s">
        <v>864</v>
      </c>
      <c r="DC9" s="298" t="s">
        <v>865</v>
      </c>
      <c r="DD9" s="298">
        <v>22</v>
      </c>
      <c r="DE9" s="298" t="s">
        <v>866</v>
      </c>
      <c r="DF9" s="298" t="s">
        <v>589</v>
      </c>
      <c r="DG9" s="298" t="s">
        <v>644</v>
      </c>
      <c r="DH9" s="298" t="s">
        <v>867</v>
      </c>
      <c r="DI9" s="298" t="s">
        <v>681</v>
      </c>
      <c r="DJ9" s="299">
        <v>47452</v>
      </c>
      <c r="DK9" s="298">
        <v>3106</v>
      </c>
      <c r="DL9" s="298">
        <v>35</v>
      </c>
      <c r="DM9" s="298">
        <v>0</v>
      </c>
      <c r="DN9" s="298">
        <v>0</v>
      </c>
      <c r="DO9" s="298">
        <v>0</v>
      </c>
      <c r="DP9" s="298">
        <v>5</v>
      </c>
      <c r="DQ9" s="298">
        <v>7</v>
      </c>
      <c r="DR9" s="298">
        <v>0</v>
      </c>
      <c r="DS9" s="298">
        <v>6</v>
      </c>
      <c r="DT9" s="298">
        <v>6.5</v>
      </c>
      <c r="DU9" s="298" t="s">
        <v>868</v>
      </c>
      <c r="DV9" s="298">
        <v>35</v>
      </c>
      <c r="DW9" s="298">
        <v>100</v>
      </c>
      <c r="DX9" s="298">
        <v>46</v>
      </c>
      <c r="DY9" s="298">
        <v>0.3</v>
      </c>
      <c r="DZ9" s="298">
        <v>1842</v>
      </c>
      <c r="EA9" s="298">
        <v>1695</v>
      </c>
      <c r="EB9" s="298">
        <v>30</v>
      </c>
      <c r="EC9" s="298">
        <v>231</v>
      </c>
      <c r="ED9" s="298">
        <v>23</v>
      </c>
      <c r="EE9" s="298">
        <v>3</v>
      </c>
      <c r="EF9" s="298">
        <v>209</v>
      </c>
      <c r="EG9" s="298">
        <v>46</v>
      </c>
      <c r="EH9" s="298">
        <v>54</v>
      </c>
      <c r="EI9" s="298">
        <v>46</v>
      </c>
      <c r="EJ9" s="298">
        <v>3</v>
      </c>
      <c r="EK9" s="298">
        <v>17</v>
      </c>
      <c r="EL9" s="298">
        <v>84</v>
      </c>
      <c r="EM9" s="298">
        <v>12</v>
      </c>
      <c r="EN9" s="298">
        <v>30</v>
      </c>
      <c r="EO9" s="298">
        <v>17</v>
      </c>
      <c r="EP9" s="298">
        <v>13</v>
      </c>
      <c r="EQ9" s="298">
        <v>0</v>
      </c>
      <c r="ER9" s="298">
        <v>0</v>
      </c>
      <c r="ES9" s="298">
        <v>0</v>
      </c>
      <c r="ET9" s="298" t="s">
        <v>869</v>
      </c>
      <c r="EU9" s="303">
        <v>6.91</v>
      </c>
    </row>
    <row r="10" spans="1:151" ht="24.95" customHeight="1" thickBot="1" x14ac:dyDescent="0.3">
      <c r="A10" s="29" t="str">
        <f t="shared" si="0"/>
        <v>9º</v>
      </c>
      <c r="B10" s="69" t="str">
        <f t="shared" si="1"/>
        <v>Vicente Pizarro</v>
      </c>
      <c r="C10" s="86" t="str">
        <f t="shared" si="2"/>
        <v>CHI</v>
      </c>
      <c r="D10" s="99" t="str">
        <f t="shared" si="3"/>
        <v>Pé Esquerdo</v>
      </c>
      <c r="E10" s="28" t="str">
        <f t="shared" si="4"/>
        <v>Rosario Central</v>
      </c>
      <c r="F10" s="168">
        <f t="shared" si="5"/>
        <v>1.73</v>
      </c>
      <c r="G10" s="36">
        <f t="shared" si="6"/>
        <v>23</v>
      </c>
      <c r="H10" s="335" t="str">
        <f t="shared" si="7"/>
        <v>6m € p/m</v>
      </c>
      <c r="I10" s="35">
        <f t="shared" si="8"/>
        <v>47483</v>
      </c>
      <c r="J10" s="202" t="str">
        <f t="shared" si="9"/>
        <v>500m € - 5,2M €</v>
      </c>
      <c r="K10" s="96">
        <f t="shared" si="10"/>
        <v>31.868888888888886</v>
      </c>
      <c r="L10" s="146">
        <f t="shared" si="11"/>
        <v>32.944444444444443</v>
      </c>
      <c r="M10" s="146">
        <f t="shared" si="12"/>
        <v>39</v>
      </c>
      <c r="N10" s="146">
        <f t="shared" si="13"/>
        <v>76.025641025641022</v>
      </c>
      <c r="O10" s="187">
        <f t="shared" si="14"/>
        <v>0.92</v>
      </c>
      <c r="P10" s="2">
        <f t="shared" si="15"/>
        <v>1</v>
      </c>
      <c r="Q10" s="2">
        <f t="shared" si="16"/>
        <v>5</v>
      </c>
      <c r="R10" s="2">
        <f t="shared" si="17"/>
        <v>6</v>
      </c>
      <c r="S10" s="6">
        <f t="shared" si="18"/>
        <v>1</v>
      </c>
      <c r="T10" s="21">
        <f t="shared" si="19"/>
        <v>3.0354131534569985E-2</v>
      </c>
      <c r="U10" s="56">
        <f t="shared" si="20"/>
        <v>0</v>
      </c>
      <c r="V10" s="56">
        <f t="shared" si="21"/>
        <v>0</v>
      </c>
      <c r="W10" s="56">
        <f t="shared" si="22"/>
        <v>0</v>
      </c>
      <c r="X10" s="60">
        <f t="shared" si="23"/>
        <v>9.9999999999999995E-8</v>
      </c>
      <c r="Y10" s="2">
        <f t="shared" si="24"/>
        <v>1</v>
      </c>
      <c r="Z10" s="2">
        <f t="shared" si="25"/>
        <v>0</v>
      </c>
      <c r="AA10" s="2">
        <f t="shared" si="26"/>
        <v>1</v>
      </c>
      <c r="AB10" s="360">
        <f t="shared" si="27"/>
        <v>5</v>
      </c>
      <c r="AC10" s="334">
        <f t="shared" si="28"/>
        <v>0.15177065767284992</v>
      </c>
      <c r="AD10" s="2">
        <f t="shared" si="29"/>
        <v>4</v>
      </c>
      <c r="AE10" s="21">
        <f t="shared" si="30"/>
        <v>0.2</v>
      </c>
      <c r="AF10" s="211">
        <f t="shared" si="31"/>
        <v>150</v>
      </c>
      <c r="AG10" s="199">
        <f t="shared" si="32"/>
        <v>4.5531197301854975</v>
      </c>
      <c r="AH10" s="211">
        <f t="shared" si="33"/>
        <v>47</v>
      </c>
      <c r="AI10" s="199">
        <f t="shared" si="34"/>
        <v>1.4266441821247893</v>
      </c>
      <c r="AJ10" s="21">
        <f t="shared" si="35"/>
        <v>0.31333333333333335</v>
      </c>
      <c r="AK10" s="6">
        <f t="shared" si="36"/>
        <v>87</v>
      </c>
      <c r="AL10" s="5">
        <f t="shared" si="37"/>
        <v>2.6408094435075888</v>
      </c>
      <c r="AM10" s="6">
        <f t="shared" si="38"/>
        <v>46</v>
      </c>
      <c r="AN10" s="5">
        <f t="shared" si="39"/>
        <v>1.3962900505902194</v>
      </c>
      <c r="AO10" s="21">
        <f t="shared" si="40"/>
        <v>0.52873563218390807</v>
      </c>
      <c r="AP10" s="2">
        <f t="shared" si="41"/>
        <v>4</v>
      </c>
      <c r="AQ10" s="21">
        <f t="shared" si="42"/>
        <v>0.8</v>
      </c>
      <c r="AR10" s="6">
        <f t="shared" si="43"/>
        <v>1386</v>
      </c>
      <c r="AS10" s="6">
        <f t="shared" si="44"/>
        <v>1283</v>
      </c>
      <c r="AT10" s="5">
        <f t="shared" si="45"/>
        <v>38.94435075885329</v>
      </c>
      <c r="AU10" s="5">
        <f t="shared" si="46"/>
        <v>35.817875210792579</v>
      </c>
      <c r="AV10" s="6">
        <f t="shared" si="47"/>
        <v>103</v>
      </c>
      <c r="AW10" s="5">
        <f t="shared" si="48"/>
        <v>3.1264755480607085</v>
      </c>
      <c r="AX10" s="20">
        <f t="shared" si="49"/>
        <v>0.92568542568542567</v>
      </c>
      <c r="AY10" s="336">
        <f t="shared" si="50"/>
        <v>1238</v>
      </c>
      <c r="AZ10" s="5">
        <f t="shared" si="51"/>
        <v>37.578414839797638</v>
      </c>
      <c r="BA10" s="6">
        <f t="shared" si="52"/>
        <v>148</v>
      </c>
      <c r="BB10" s="5">
        <f t="shared" si="53"/>
        <v>4.4924114671163577</v>
      </c>
      <c r="BC10" s="21">
        <f t="shared" si="54"/>
        <v>0.11954765751211632</v>
      </c>
      <c r="BD10" s="6">
        <f t="shared" si="55"/>
        <v>57</v>
      </c>
      <c r="BE10" s="5">
        <f t="shared" si="56"/>
        <v>1.7301854974704891</v>
      </c>
      <c r="BF10" s="6">
        <f t="shared" si="57"/>
        <v>29</v>
      </c>
      <c r="BG10" s="5">
        <f t="shared" si="58"/>
        <v>0.8802698145025295</v>
      </c>
      <c r="BH10" s="6">
        <f t="shared" si="59"/>
        <v>23</v>
      </c>
      <c r="BI10" s="5">
        <f t="shared" si="60"/>
        <v>0.69814502529510969</v>
      </c>
      <c r="BJ10" s="21">
        <f t="shared" si="61"/>
        <v>0.50877192982456143</v>
      </c>
      <c r="BK10" s="6">
        <f t="shared" si="62"/>
        <v>7</v>
      </c>
      <c r="BL10" s="5">
        <f t="shared" si="63"/>
        <v>0.2124789207419899</v>
      </c>
      <c r="BM10" s="6">
        <f t="shared" si="64"/>
        <v>30</v>
      </c>
      <c r="BN10" s="5">
        <f t="shared" si="65"/>
        <v>0.91062394603709951</v>
      </c>
      <c r="BO10" s="6">
        <f t="shared" si="66"/>
        <v>10</v>
      </c>
      <c r="BP10" s="5">
        <f t="shared" si="67"/>
        <v>0.30354131534569984</v>
      </c>
      <c r="BQ10" s="21">
        <f t="shared" si="68"/>
        <v>0.33333333333333331</v>
      </c>
      <c r="BR10" s="6">
        <f t="shared" si="69"/>
        <v>20</v>
      </c>
      <c r="BS10" s="5">
        <f t="shared" si="70"/>
        <v>0.60708263069139967</v>
      </c>
      <c r="BT10" s="6">
        <f t="shared" si="71"/>
        <v>0</v>
      </c>
      <c r="BU10" s="5">
        <f t="shared" si="72"/>
        <v>0</v>
      </c>
      <c r="BV10" s="21">
        <f t="shared" si="73"/>
        <v>0.33333333333333331</v>
      </c>
      <c r="BW10" s="2">
        <f t="shared" si="74"/>
        <v>29</v>
      </c>
      <c r="BX10" s="5">
        <f t="shared" si="75"/>
        <v>0.8802698145025295</v>
      </c>
      <c r="BY10" s="6">
        <f t="shared" si="76"/>
        <v>101</v>
      </c>
      <c r="BZ10" s="5">
        <f t="shared" si="77"/>
        <v>3.0657672849915683</v>
      </c>
      <c r="CA10" s="5">
        <f t="shared" si="78"/>
        <v>1.2748735244519394</v>
      </c>
      <c r="CB10" s="6">
        <f t="shared" si="79"/>
        <v>268</v>
      </c>
      <c r="CC10" s="337">
        <f t="shared" si="80"/>
        <v>0.10820895522388059</v>
      </c>
      <c r="CD10" s="6">
        <f t="shared" si="81"/>
        <v>114</v>
      </c>
      <c r="CE10" s="5">
        <f t="shared" si="82"/>
        <v>3.4603709949409782</v>
      </c>
      <c r="CF10" s="6">
        <f t="shared" si="83"/>
        <v>79.5</v>
      </c>
      <c r="CG10" s="5">
        <f t="shared" si="84"/>
        <v>2.4131534569983137</v>
      </c>
      <c r="CH10" s="62">
        <f t="shared" si="85"/>
        <v>10.6</v>
      </c>
      <c r="CI10" s="61">
        <f t="shared" si="86"/>
        <v>175.5</v>
      </c>
      <c r="CJ10" s="62">
        <f t="shared" si="87"/>
        <v>5.3271500843170321</v>
      </c>
      <c r="CK10" s="61">
        <f t="shared" si="88"/>
        <v>150</v>
      </c>
      <c r="CL10" s="62">
        <f t="shared" si="89"/>
        <v>4.5531197301854975</v>
      </c>
      <c r="CM10" s="339">
        <f t="shared" si="90"/>
        <v>9.25</v>
      </c>
      <c r="CN10" s="340">
        <f t="shared" si="91"/>
        <v>0.28077571669477236</v>
      </c>
      <c r="CO10" s="373">
        <f t="shared" si="92"/>
        <v>0.85470085470085466</v>
      </c>
      <c r="CP10" s="194">
        <f t="shared" si="93"/>
        <v>3.74</v>
      </c>
      <c r="CQ10" s="194">
        <f t="shared" si="94"/>
        <v>0.12896551724137931</v>
      </c>
      <c r="CR10" s="6">
        <f t="shared" si="95"/>
        <v>37</v>
      </c>
      <c r="CS10" s="62">
        <f t="shared" si="96"/>
        <v>1.1231028667790894</v>
      </c>
      <c r="CT10" s="5">
        <f t="shared" si="97"/>
        <v>302.39999999999998</v>
      </c>
      <c r="CU10" s="5">
        <f t="shared" si="98"/>
        <v>9.1790893760539625</v>
      </c>
      <c r="CV10" s="342">
        <f t="shared" si="99"/>
        <v>6.1193929173693089</v>
      </c>
      <c r="CW10" s="183">
        <f t="shared" si="100"/>
        <v>140</v>
      </c>
      <c r="CX10" s="117">
        <f t="shared" si="101"/>
        <v>4.2495784148397977</v>
      </c>
      <c r="CY10" s="117">
        <f t="shared" si="102"/>
        <v>6.8</v>
      </c>
      <c r="CZ10" s="117">
        <f t="shared" si="103"/>
        <v>6.85</v>
      </c>
      <c r="DA10" s="302"/>
      <c r="DB10" s="298" t="s">
        <v>482</v>
      </c>
      <c r="DC10" s="298" t="s">
        <v>847</v>
      </c>
      <c r="DD10" s="298">
        <v>23</v>
      </c>
      <c r="DE10" s="298" t="s">
        <v>848</v>
      </c>
      <c r="DF10" s="298" t="s">
        <v>775</v>
      </c>
      <c r="DG10" s="298" t="s">
        <v>652</v>
      </c>
      <c r="DH10" s="298" t="s">
        <v>849</v>
      </c>
      <c r="DI10" s="298" t="s">
        <v>694</v>
      </c>
      <c r="DJ10" s="299">
        <v>47483</v>
      </c>
      <c r="DK10" s="298">
        <v>2965</v>
      </c>
      <c r="DL10" s="298" t="s">
        <v>850</v>
      </c>
      <c r="DM10" s="298">
        <v>1</v>
      </c>
      <c r="DN10" s="298">
        <v>1</v>
      </c>
      <c r="DO10" s="298">
        <v>1</v>
      </c>
      <c r="DP10" s="298">
        <v>5</v>
      </c>
      <c r="DQ10" s="298">
        <v>1</v>
      </c>
      <c r="DR10" s="298">
        <v>0</v>
      </c>
      <c r="DS10" s="298">
        <v>8</v>
      </c>
      <c r="DT10" s="298">
        <v>6.8</v>
      </c>
      <c r="DU10" s="298" t="s">
        <v>784</v>
      </c>
      <c r="DV10" s="298">
        <v>5</v>
      </c>
      <c r="DW10" s="298">
        <v>30</v>
      </c>
      <c r="DX10" s="298">
        <v>10</v>
      </c>
      <c r="DY10" s="298">
        <v>0</v>
      </c>
      <c r="DZ10" s="298">
        <v>1386</v>
      </c>
      <c r="EA10" s="298">
        <v>1283</v>
      </c>
      <c r="EB10" s="298">
        <v>29</v>
      </c>
      <c r="EC10" s="298">
        <v>148</v>
      </c>
      <c r="ED10" s="298">
        <v>21</v>
      </c>
      <c r="EE10" s="298">
        <v>4</v>
      </c>
      <c r="EF10" s="298">
        <v>150</v>
      </c>
      <c r="EG10" s="298">
        <v>47</v>
      </c>
      <c r="EH10" s="298">
        <v>52</v>
      </c>
      <c r="EI10" s="298">
        <v>29</v>
      </c>
      <c r="EJ10" s="298">
        <v>7</v>
      </c>
      <c r="EK10" s="298">
        <v>20</v>
      </c>
      <c r="EL10" s="298">
        <v>66</v>
      </c>
      <c r="EM10" s="298">
        <v>8</v>
      </c>
      <c r="EN10" s="298">
        <v>20</v>
      </c>
      <c r="EO10" s="298">
        <v>15</v>
      </c>
      <c r="EP10" s="298">
        <v>10.6</v>
      </c>
      <c r="EQ10" s="298">
        <v>0</v>
      </c>
      <c r="ER10" s="298">
        <v>0</v>
      </c>
      <c r="ES10" s="298">
        <v>0</v>
      </c>
      <c r="ET10" s="298" t="s">
        <v>851</v>
      </c>
      <c r="EU10" s="303">
        <v>6.85</v>
      </c>
    </row>
    <row r="11" spans="1:151" ht="24.95" customHeight="1" thickBot="1" x14ac:dyDescent="0.3">
      <c r="A11" s="29" t="str">
        <f t="shared" si="0"/>
        <v>10º</v>
      </c>
      <c r="B11" s="69" t="str">
        <f t="shared" si="1"/>
        <v>Zé Lucas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Sport Recife</v>
      </c>
      <c r="F11" s="168">
        <f t="shared" si="5"/>
        <v>1.75</v>
      </c>
      <c r="G11" s="36">
        <f t="shared" si="6"/>
        <v>18</v>
      </c>
      <c r="H11" s="335" t="str">
        <f t="shared" si="7"/>
        <v>1,6m € p/m</v>
      </c>
      <c r="I11" s="35">
        <f t="shared" si="8"/>
        <v>47118</v>
      </c>
      <c r="J11" s="202" t="str">
        <f t="shared" si="9"/>
        <v>1,6M €</v>
      </c>
      <c r="K11" s="96">
        <f t="shared" si="10"/>
        <v>31.868888888888886</v>
      </c>
      <c r="L11" s="146">
        <f t="shared" si="11"/>
        <v>30.555555555555557</v>
      </c>
      <c r="M11" s="146">
        <f t="shared" si="12"/>
        <v>41</v>
      </c>
      <c r="N11" s="146">
        <f t="shared" si="13"/>
        <v>67.073170731707322</v>
      </c>
      <c r="O11" s="187">
        <f t="shared" si="14"/>
        <v>0.83</v>
      </c>
      <c r="P11" s="2">
        <f t="shared" si="15"/>
        <v>3</v>
      </c>
      <c r="Q11" s="2">
        <f t="shared" si="16"/>
        <v>2</v>
      </c>
      <c r="R11" s="2">
        <f t="shared" si="17"/>
        <v>5</v>
      </c>
      <c r="S11" s="6">
        <f t="shared" si="18"/>
        <v>0</v>
      </c>
      <c r="T11" s="21">
        <f t="shared" si="19"/>
        <v>0</v>
      </c>
      <c r="U11" s="56">
        <f t="shared" si="20"/>
        <v>0</v>
      </c>
      <c r="V11" s="56">
        <f t="shared" si="21"/>
        <v>0</v>
      </c>
      <c r="W11" s="56">
        <f t="shared" si="22"/>
        <v>0</v>
      </c>
      <c r="X11" s="60">
        <f t="shared" si="23"/>
        <v>9.9999999999999995E-8</v>
      </c>
      <c r="Y11" s="2">
        <f t="shared" si="24"/>
        <v>3</v>
      </c>
      <c r="Z11" s="2">
        <f t="shared" si="25"/>
        <v>0</v>
      </c>
      <c r="AA11" s="2">
        <f t="shared" si="26"/>
        <v>3</v>
      </c>
      <c r="AB11" s="360">
        <f t="shared" si="27"/>
        <v>8</v>
      </c>
      <c r="AC11" s="334">
        <f t="shared" si="28"/>
        <v>0.26181818181818178</v>
      </c>
      <c r="AD11" s="2">
        <f t="shared" si="29"/>
        <v>5</v>
      </c>
      <c r="AE11" s="21">
        <f t="shared" si="30"/>
        <v>0.375</v>
      </c>
      <c r="AF11" s="211">
        <f t="shared" si="31"/>
        <v>220</v>
      </c>
      <c r="AG11" s="199">
        <f t="shared" si="32"/>
        <v>7.1999999999999993</v>
      </c>
      <c r="AH11" s="211">
        <f t="shared" si="33"/>
        <v>47</v>
      </c>
      <c r="AI11" s="199">
        <f t="shared" si="34"/>
        <v>1.5381818181818181</v>
      </c>
      <c r="AJ11" s="21">
        <f t="shared" si="35"/>
        <v>0.21363636363636362</v>
      </c>
      <c r="AK11" s="6">
        <f t="shared" si="36"/>
        <v>86</v>
      </c>
      <c r="AL11" s="5">
        <f t="shared" si="37"/>
        <v>2.8145454545454545</v>
      </c>
      <c r="AM11" s="6">
        <f t="shared" si="38"/>
        <v>44</v>
      </c>
      <c r="AN11" s="5">
        <f t="shared" si="39"/>
        <v>1.44</v>
      </c>
      <c r="AO11" s="21">
        <f t="shared" si="40"/>
        <v>0.51162790697674421</v>
      </c>
      <c r="AP11" s="2">
        <f t="shared" si="41"/>
        <v>5</v>
      </c>
      <c r="AQ11" s="21">
        <f t="shared" si="42"/>
        <v>0.625</v>
      </c>
      <c r="AR11" s="6">
        <f t="shared" si="43"/>
        <v>1937</v>
      </c>
      <c r="AS11" s="6">
        <f t="shared" si="44"/>
        <v>1773</v>
      </c>
      <c r="AT11" s="5">
        <f t="shared" si="45"/>
        <v>58.025454545454544</v>
      </c>
      <c r="AU11" s="5">
        <f t="shared" si="46"/>
        <v>52.658181818181816</v>
      </c>
      <c r="AV11" s="6">
        <f t="shared" si="47"/>
        <v>164</v>
      </c>
      <c r="AW11" s="5">
        <f t="shared" si="48"/>
        <v>5.3672727272727272</v>
      </c>
      <c r="AX11" s="20">
        <f t="shared" si="49"/>
        <v>0.91533298915849248</v>
      </c>
      <c r="AY11" s="336">
        <f t="shared" si="50"/>
        <v>1733</v>
      </c>
      <c r="AZ11" s="5">
        <f t="shared" si="51"/>
        <v>56.716363636363631</v>
      </c>
      <c r="BA11" s="6">
        <f t="shared" si="52"/>
        <v>204</v>
      </c>
      <c r="BB11" s="5">
        <f t="shared" si="53"/>
        <v>6.6763636363636358</v>
      </c>
      <c r="BC11" s="21">
        <f t="shared" si="54"/>
        <v>0.11771494518176573</v>
      </c>
      <c r="BD11" s="6">
        <f t="shared" si="55"/>
        <v>42</v>
      </c>
      <c r="BE11" s="5">
        <f t="shared" si="56"/>
        <v>1.3745454545454545</v>
      </c>
      <c r="BF11" s="6">
        <f t="shared" si="57"/>
        <v>24</v>
      </c>
      <c r="BG11" s="5">
        <f t="shared" si="58"/>
        <v>0.78545454545454541</v>
      </c>
      <c r="BH11" s="6">
        <f t="shared" si="59"/>
        <v>10</v>
      </c>
      <c r="BI11" s="5">
        <f t="shared" si="60"/>
        <v>0.32727272727272727</v>
      </c>
      <c r="BJ11" s="21">
        <f t="shared" si="61"/>
        <v>0.5714285714285714</v>
      </c>
      <c r="BK11" s="6">
        <f t="shared" si="62"/>
        <v>3</v>
      </c>
      <c r="BL11" s="5">
        <f t="shared" si="63"/>
        <v>9.8181818181818176E-2</v>
      </c>
      <c r="BM11" s="6">
        <f t="shared" si="64"/>
        <v>44</v>
      </c>
      <c r="BN11" s="5">
        <f t="shared" si="65"/>
        <v>1.44</v>
      </c>
      <c r="BO11" s="6">
        <f t="shared" si="66"/>
        <v>17</v>
      </c>
      <c r="BP11" s="5">
        <f t="shared" si="67"/>
        <v>0.55636363636363628</v>
      </c>
      <c r="BQ11" s="21">
        <f t="shared" si="68"/>
        <v>0.38636363636363635</v>
      </c>
      <c r="BR11" s="6">
        <f t="shared" si="69"/>
        <v>27</v>
      </c>
      <c r="BS11" s="5">
        <f t="shared" si="70"/>
        <v>0.88363636363636355</v>
      </c>
      <c r="BT11" s="6">
        <f t="shared" si="71"/>
        <v>3.0555555555555558</v>
      </c>
      <c r="BU11" s="5">
        <f t="shared" si="72"/>
        <v>0.1</v>
      </c>
      <c r="BV11" s="21">
        <f t="shared" si="73"/>
        <v>0.38636363636363635</v>
      </c>
      <c r="BW11" s="2">
        <f t="shared" si="74"/>
        <v>27</v>
      </c>
      <c r="BX11" s="5">
        <f t="shared" si="75"/>
        <v>0.88363636363636355</v>
      </c>
      <c r="BY11" s="6">
        <f t="shared" si="76"/>
        <v>124</v>
      </c>
      <c r="BZ11" s="5">
        <f t="shared" si="77"/>
        <v>4.0581818181818177</v>
      </c>
      <c r="CA11" s="5">
        <f t="shared" si="78"/>
        <v>1.2109090909090909</v>
      </c>
      <c r="CB11" s="6">
        <f t="shared" si="79"/>
        <v>268</v>
      </c>
      <c r="CC11" s="337">
        <f t="shared" si="80"/>
        <v>8.9552238805970144E-2</v>
      </c>
      <c r="CD11" s="6">
        <f t="shared" si="81"/>
        <v>144</v>
      </c>
      <c r="CE11" s="5">
        <f t="shared" si="82"/>
        <v>4.7127272727272729</v>
      </c>
      <c r="CF11" s="6">
        <f t="shared" si="83"/>
        <v>72.5</v>
      </c>
      <c r="CG11" s="5">
        <f t="shared" si="84"/>
        <v>2.3727272727272726</v>
      </c>
      <c r="CH11" s="62">
        <f t="shared" si="85"/>
        <v>10.9</v>
      </c>
      <c r="CI11" s="61">
        <f t="shared" si="86"/>
        <v>190.5</v>
      </c>
      <c r="CJ11" s="62">
        <f t="shared" si="87"/>
        <v>6.2345454545454544</v>
      </c>
      <c r="CK11" s="61">
        <f t="shared" si="88"/>
        <v>172.52777777777777</v>
      </c>
      <c r="CL11" s="62">
        <f t="shared" si="89"/>
        <v>5.6463636363636356</v>
      </c>
      <c r="CM11" s="339">
        <f t="shared" si="90"/>
        <v>11.75</v>
      </c>
      <c r="CN11" s="340">
        <f t="shared" si="91"/>
        <v>0.38454545454545452</v>
      </c>
      <c r="CO11" s="373">
        <f t="shared" si="92"/>
        <v>0.90565762613006706</v>
      </c>
      <c r="CP11" s="194">
        <f t="shared" si="93"/>
        <v>6.09</v>
      </c>
      <c r="CQ11" s="194">
        <f t="shared" si="94"/>
        <v>0.22555555555555554</v>
      </c>
      <c r="CR11" s="6">
        <f t="shared" si="95"/>
        <v>35</v>
      </c>
      <c r="CS11" s="62">
        <f t="shared" si="96"/>
        <v>1.1454545454545455</v>
      </c>
      <c r="CT11" s="5">
        <f t="shared" si="97"/>
        <v>360.8</v>
      </c>
      <c r="CU11" s="5">
        <f t="shared" si="98"/>
        <v>11.808</v>
      </c>
      <c r="CV11" s="342">
        <f t="shared" si="99"/>
        <v>7.871999999999999</v>
      </c>
      <c r="CW11" s="183">
        <f t="shared" si="100"/>
        <v>216</v>
      </c>
      <c r="CX11" s="117">
        <f t="shared" si="101"/>
        <v>7.0690909090909084</v>
      </c>
      <c r="CY11" s="117">
        <f t="shared" si="102"/>
        <v>6.4</v>
      </c>
      <c r="CZ11" s="117">
        <f t="shared" si="103"/>
        <v>6.85</v>
      </c>
      <c r="DA11" s="302"/>
      <c r="DB11" s="298" t="s">
        <v>13</v>
      </c>
      <c r="DC11" s="298" t="s">
        <v>896</v>
      </c>
      <c r="DD11" s="298">
        <v>18</v>
      </c>
      <c r="DE11" s="298" t="s">
        <v>897</v>
      </c>
      <c r="DF11" s="298" t="s">
        <v>588</v>
      </c>
      <c r="DG11" s="298" t="s">
        <v>644</v>
      </c>
      <c r="DH11" s="298" t="s">
        <v>898</v>
      </c>
      <c r="DI11" s="298" t="s">
        <v>884</v>
      </c>
      <c r="DJ11" s="299">
        <v>47118</v>
      </c>
      <c r="DK11" s="298">
        <v>2750</v>
      </c>
      <c r="DL11" s="298" t="s">
        <v>899</v>
      </c>
      <c r="DM11" s="298">
        <v>0</v>
      </c>
      <c r="DN11" s="298">
        <v>0</v>
      </c>
      <c r="DO11" s="298">
        <v>3</v>
      </c>
      <c r="DP11" s="298">
        <v>2</v>
      </c>
      <c r="DQ11" s="298">
        <v>3</v>
      </c>
      <c r="DR11" s="298">
        <v>0</v>
      </c>
      <c r="DS11" s="298">
        <v>8</v>
      </c>
      <c r="DT11" s="298">
        <v>6.4</v>
      </c>
      <c r="DU11" s="298" t="s">
        <v>900</v>
      </c>
      <c r="DV11" s="298">
        <v>8</v>
      </c>
      <c r="DW11" s="298">
        <v>44</v>
      </c>
      <c r="DX11" s="298">
        <v>17</v>
      </c>
      <c r="DY11" s="298">
        <v>0.1</v>
      </c>
      <c r="DZ11" s="298">
        <v>1937</v>
      </c>
      <c r="EA11" s="298">
        <v>1773</v>
      </c>
      <c r="EB11" s="298">
        <v>27</v>
      </c>
      <c r="EC11" s="298">
        <v>204</v>
      </c>
      <c r="ED11" s="298">
        <v>37</v>
      </c>
      <c r="EE11" s="298">
        <v>12</v>
      </c>
      <c r="EF11" s="298">
        <v>220</v>
      </c>
      <c r="EG11" s="298">
        <v>47</v>
      </c>
      <c r="EH11" s="298">
        <v>34</v>
      </c>
      <c r="EI11" s="298">
        <v>24</v>
      </c>
      <c r="EJ11" s="298">
        <v>3</v>
      </c>
      <c r="EK11" s="298">
        <v>22</v>
      </c>
      <c r="EL11" s="298">
        <v>89</v>
      </c>
      <c r="EM11" s="298">
        <v>10</v>
      </c>
      <c r="EN11" s="298">
        <v>23</v>
      </c>
      <c r="EO11" s="298">
        <v>12</v>
      </c>
      <c r="EP11" s="298">
        <v>10.9</v>
      </c>
      <c r="EQ11" s="298">
        <v>0</v>
      </c>
      <c r="ER11" s="298">
        <v>0</v>
      </c>
      <c r="ES11" s="298">
        <v>0</v>
      </c>
      <c r="ET11" s="298" t="s">
        <v>901</v>
      </c>
      <c r="EU11" s="303">
        <v>6.85</v>
      </c>
    </row>
    <row r="12" spans="1:151" ht="24.95" customHeight="1" x14ac:dyDescent="0.25"/>
    <row r="13" spans="1:151" ht="24.95" customHeight="1" x14ac:dyDescent="0.25"/>
    <row r="14" spans="1:151" ht="24.95" customHeight="1" x14ac:dyDescent="0.25"/>
    <row r="15" spans="1:151" ht="24.95" customHeight="1" x14ac:dyDescent="0.25"/>
    <row r="16" spans="1:15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EU724">
    <sortState ref="B2:EU724">
      <sortCondition ref="B1:B724"/>
    </sortState>
  </autoFilter>
  <phoneticPr fontId="53" type="noConversion"/>
  <conditionalFormatting sqref="Y1:Y1048576">
    <cfRule type="colorScale" priority="533">
      <colorScale>
        <cfvo type="min"/>
        <cfvo type="percentile" val="50"/>
        <cfvo type="max"/>
        <color theme="7" tint="0.79998168889431442"/>
        <color rgb="FFFFFF00"/>
        <color rgb="FFF8696B"/>
      </colorScale>
    </cfRule>
  </conditionalFormatting>
  <conditionalFormatting sqref="Z1:Z1048576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{2FD6F7F6-415C-4BFD-90CB-0B4733187952}</x14:id>
        </ext>
      </extLst>
    </cfRule>
    <cfRule type="colorScale" priority="279">
      <colorScale>
        <cfvo type="min"/>
        <cfvo type="max"/>
        <color rgb="FFFCFCFF"/>
        <color rgb="FFF8696B"/>
      </colorScale>
    </cfRule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1048576">
    <cfRule type="iconSet" priority="1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T1048576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468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R1:AR1048576">
    <cfRule type="iconSet" priority="1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2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iconSet" priority="2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iconSet" priority="2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E1048576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2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iconSet" priority="2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iconSet" priority="1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1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4">
      <colorScale>
        <cfvo type="min"/>
        <cfvo type="max"/>
        <color rgb="FFFFEF9C"/>
        <color rgb="FF63BE7B"/>
      </colorScale>
    </cfRule>
  </conditionalFormatting>
  <conditionalFormatting sqref="H1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:BL1048576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390">
      <colorScale>
        <cfvo type="min"/>
        <cfvo type="max"/>
        <color rgb="FF63BE7B"/>
        <color rgb="FFFFEF9C"/>
      </colorScale>
    </cfRule>
  </conditionalFormatting>
  <conditionalFormatting sqref="CH1:CH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80">
      <iconSet iconSet="3Arrows">
        <cfvo type="percent" val="0"/>
        <cfvo type="num" val="6.7"/>
        <cfvo type="num" val="7"/>
      </iconSet>
    </cfRule>
    <cfRule type="colorScale" priority="282">
      <colorScale>
        <cfvo type="num" val="6.6"/>
        <cfvo type="num" val="6.65"/>
        <cfvo type="num" val="7"/>
        <color rgb="FFF8696B"/>
        <color rgb="FFFFEB84"/>
        <color rgb="FF63BE7B"/>
      </colorScale>
    </cfRule>
  </conditionalFormatting>
  <conditionalFormatting sqref="CT1:CT1048576">
    <cfRule type="iconSet" priority="2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5">
      <colorScale>
        <cfvo type="min"/>
        <cfvo type="percentile" val="50"/>
        <cfvo type="max"/>
        <color rgb="FFFF5757"/>
        <color theme="4" tint="0.39997558519241921"/>
        <color rgb="FF00B0F0"/>
      </colorScale>
    </cfRule>
  </conditionalFormatting>
  <conditionalFormatting sqref="BZ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iconSet" priority="2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5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1:BD1048576">
    <cfRule type="iconSet" priority="2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2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iconSet" priority="22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1:BH1048576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{6322CF6E-982D-4EF5-A921-E48E07C9E478}</x14:id>
        </ext>
      </extLst>
    </cfRule>
    <cfRule type="iconSet" priority="22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3">
      <colorScale>
        <cfvo type="min"/>
        <cfvo type="max"/>
        <color rgb="FFFCFCFF"/>
        <color rgb="FFF8696B"/>
      </colorScale>
    </cfRule>
  </conditionalFormatting>
  <conditionalFormatting sqref="BI1:BI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{33AF2B08-521E-42D6-983D-1F91EB9507C2}</x14:id>
        </ext>
      </extLst>
    </cfRule>
    <cfRule type="iconSet" priority="22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2">
      <colorScale>
        <cfvo type="min"/>
        <cfvo type="max"/>
        <color rgb="FFFCFCFF"/>
        <color rgb="FFF8696B"/>
      </colorScale>
    </cfRule>
  </conditionalFormatting>
  <conditionalFormatting sqref="AK1:AK1048576">
    <cfRule type="iconSet" priority="2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iconSet" priority="2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:AO1 AN2:AN1048576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1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:AQ1048576">
    <cfRule type="iconSet" priority="2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:AO1048576">
    <cfRule type="iconSet" priority="2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colorScale" priority="201">
      <colorScale>
        <cfvo type="min"/>
        <cfvo type="percentile" val="50"/>
        <cfvo type="max"/>
        <color rgb="FFFFAFAF"/>
        <color theme="7" tint="0.79998168889431442"/>
        <color theme="7" tint="0.39997558519241921"/>
      </colorScale>
    </cfRule>
  </conditionalFormatting>
  <conditionalFormatting sqref="BO1:BO1048576">
    <cfRule type="iconSet" priority="20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1:BM1048576">
    <cfRule type="iconSet" priority="19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1:AV1048576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{D4780F37-89FC-473F-886B-2CBBE6F2DF30}</x14:id>
        </ext>
      </extLst>
    </cfRule>
    <cfRule type="iconSet" priority="19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7">
      <colorScale>
        <cfvo type="min"/>
        <cfvo type="max"/>
        <color rgb="FFFCFCFF"/>
        <color rgb="FFF8696B"/>
      </colorScale>
    </cfRule>
  </conditionalFormatting>
  <conditionalFormatting sqref="AW1:AW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{3320697B-D653-46C0-90A9-EDC530394320}</x14:id>
        </ext>
      </extLst>
    </cfRule>
    <cfRule type="iconSet" priority="19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6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183">
      <iconSet iconSet="3ArrowsGray">
        <cfvo type="percent" val="0"/>
        <cfvo type="percent" val="33"/>
        <cfvo type="percent" val="67"/>
      </iconSet>
    </cfRule>
    <cfRule type="colorScale" priority="184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colorScale" priority="181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82">
      <iconSet iconSet="3ArrowsGray">
        <cfvo type="percent" val="0"/>
        <cfvo type="percent" val="33"/>
        <cfvo type="percent" val="67"/>
      </iconSet>
    </cfRule>
  </conditionalFormatting>
  <conditionalFormatting sqref="CU1:CU1048576">
    <cfRule type="colorScale" priority="179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18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1:CW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{D2DCCE4B-E845-4E8C-A2FE-5C5D28B88C1F}</x14:id>
        </ext>
      </extLst>
    </cfRule>
    <cfRule type="iconSet" priority="169">
      <iconSet iconSet="3ArrowsGray" reverse="1">
        <cfvo type="percent" val="0"/>
        <cfvo type="percent" val="33"/>
        <cfvo type="percent" val="67"/>
      </iconSet>
    </cfRule>
    <cfRule type="colorScale" priority="172">
      <colorScale>
        <cfvo type="min"/>
        <cfvo type="max"/>
        <color rgb="FFFCFCFF"/>
        <color rgb="FFF8696B"/>
      </colorScale>
    </cfRule>
  </conditionalFormatting>
  <conditionalFormatting sqref="CX1:CX1048576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{C060681A-C656-45E0-8539-4E875510F5D4}</x14:id>
        </ext>
      </extLst>
    </cfRule>
    <cfRule type="iconSet" priority="168">
      <iconSet iconSet="3ArrowsGray" reverse="1">
        <cfvo type="percent" val="0"/>
        <cfvo type="percent" val="33"/>
        <cfvo type="percent" val="67"/>
      </iconSet>
    </cfRule>
    <cfRule type="colorScale" priority="171">
      <colorScale>
        <cfvo type="min"/>
        <cfvo type="max"/>
        <color rgb="FFFCFCFF"/>
        <color rgb="FFF8696B"/>
      </colorScale>
    </cfRule>
  </conditionalFormatting>
  <conditionalFormatting sqref="CY1:CY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{D9BB43F1-728D-4B92-B0DD-CA57D870D211}</x14:id>
        </ext>
      </extLst>
    </cfRule>
    <cfRule type="iconSet" priority="167">
      <iconSet iconSet="3ArrowsGray" reverse="1">
        <cfvo type="percent" val="0"/>
        <cfvo type="percent" val="33"/>
        <cfvo type="percent" val="67"/>
      </iconSet>
    </cfRule>
    <cfRule type="colorScale" priority="170">
      <colorScale>
        <cfvo type="min"/>
        <cfvo type="max"/>
        <color rgb="FFFCFCFF"/>
        <color rgb="FFF8696B"/>
      </colorScale>
    </cfRule>
  </conditionalFormatting>
  <conditionalFormatting sqref="P1:P1048576">
    <cfRule type="colorScale" priority="166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65">
      <colorScale>
        <cfvo type="min"/>
        <cfvo type="max"/>
        <color rgb="FFFFEF9C"/>
        <color rgb="FF63BE7B"/>
      </colorScale>
    </cfRule>
  </conditionalFormatting>
  <conditionalFormatting sqref="Q1:Q1048576">
    <cfRule type="colorScale" priority="164">
      <colorScale>
        <cfvo type="min"/>
        <cfvo type="max"/>
        <color rgb="FFFFEF9C"/>
        <color rgb="FF63BE7B"/>
      </colorScale>
    </cfRule>
  </conditionalFormatting>
  <conditionalFormatting sqref="BE1:BE1048576">
    <cfRule type="iconSet" priority="1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131">
      <colorScale>
        <cfvo type="min"/>
        <cfvo type="max"/>
        <color rgb="FFFFEF9C"/>
        <color rgb="FF63BE7B"/>
      </colorScale>
    </cfRule>
  </conditionalFormatting>
  <conditionalFormatting sqref="AZ1:AZ1048576">
    <cfRule type="colorScale" priority="130">
      <colorScale>
        <cfvo type="min"/>
        <cfvo type="max"/>
        <color rgb="FFFFEF9C"/>
        <color rgb="FF63BE7B"/>
      </colorScale>
    </cfRule>
  </conditionalFormatting>
  <conditionalFormatting sqref="BA1:BA1048576">
    <cfRule type="iconSet" priority="1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9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B1:BB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7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C1:BC1048576">
    <cfRule type="iconSet" priority="1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P1:CP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{9AB0871F-A595-4E65-9B7E-63E5D0EEBC4C}</x14:id>
        </ext>
      </extLst>
    </cfRule>
    <cfRule type="colorScale" priority="10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Q1:CQ10485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{033250E9-938B-45FC-B9EC-091259CA6FAF}</x14:id>
        </ext>
      </extLst>
    </cfRule>
    <cfRule type="colorScale" priority="10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R1:CR1048576"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max"/>
        <color rgb="FFFFEF9C"/>
        <color rgb="FF63BE7B"/>
      </colorScale>
    </cfRule>
  </conditionalFormatting>
  <conditionalFormatting sqref="CS1:CS1048576">
    <cfRule type="colorScale" priority="99">
      <colorScale>
        <cfvo type="min"/>
        <cfvo type="max"/>
        <color rgb="FFFFEF9C"/>
        <color rgb="FF63BE7B"/>
      </colorScale>
    </cfRule>
    <cfRule type="iconSet" priority="100">
      <iconSet iconSet="3Arrows">
        <cfvo type="percent" val="0"/>
        <cfvo type="percent" val="33"/>
        <cfvo type="percent" val="67"/>
      </iconSet>
    </cfRule>
  </conditionalFormatting>
  <conditionalFormatting sqref="R1:R1048576">
    <cfRule type="colorScale" priority="98">
      <colorScale>
        <cfvo type="min"/>
        <cfvo type="max"/>
        <color rgb="FFFFEF9C"/>
        <color rgb="FF63BE7B"/>
      </colorScale>
    </cfRule>
  </conditionalFormatting>
  <conditionalFormatting sqref="BR1:BR1048576">
    <cfRule type="iconSet" priority="82">
      <iconSet iconSet="3ArrowsGray" reverse="1">
        <cfvo type="percent" val="0"/>
        <cfvo type="percent" val="33"/>
        <cfvo type="percent" val="67"/>
      </iconSet>
    </cfRule>
    <cfRule type="colorScale" priority="83">
      <colorScale>
        <cfvo type="min"/>
        <cfvo type="max"/>
        <color rgb="FFFCFCFF"/>
        <color rgb="FFF8696B"/>
      </colorScale>
    </cfRule>
  </conditionalFormatting>
  <conditionalFormatting sqref="BT1:BT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max"/>
        <color rgb="FFFFEF9C"/>
        <color rgb="FF63BE7B"/>
      </colorScale>
    </cfRule>
  </conditionalFormatting>
  <conditionalFormatting sqref="CI1:CI1048576">
    <cfRule type="iconSet" priority="60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J1:CJ1048576">
    <cfRule type="iconSet" priority="5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AE1:AE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{6C5A4904-E225-4B19-B1E4-F6349AA9AC2C}</x14:id>
        </ext>
      </extLst>
    </cfRule>
    <cfRule type="colorScale" priority="47">
      <colorScale>
        <cfvo type="min"/>
        <cfvo type="max"/>
        <color rgb="FFFCFCFF"/>
        <color rgb="FFF8696B"/>
      </colorScale>
    </cfRule>
  </conditionalFormatting>
  <conditionalFormatting sqref="AF1:AF1048576">
    <cfRule type="iconSet" priority="37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1:AG1048576">
    <cfRule type="iconSet" priority="40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iconSet" priority="38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iconSet" priority="3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1:AJ1048576"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N1:BN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26">
      <colorScale>
        <cfvo type="min"/>
        <cfvo type="max"/>
        <color rgb="FFFCFCFF"/>
        <color rgb="FFF8696B"/>
      </colorScale>
    </cfRule>
  </conditionalFormatting>
  <conditionalFormatting sqref="CC1:CC1048576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21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{1BD278C6-DBBD-4757-B4F8-552DA6596664}</x14:id>
        </ext>
      </extLst>
    </cfRule>
  </conditionalFormatting>
  <conditionalFormatting sqref="CM1:CM1048576">
    <cfRule type="iconSet" priority="18">
      <iconSet iconSet="3ArrowsGray" reverse="1">
        <cfvo type="percent" val="0"/>
        <cfvo type="percent" val="33"/>
        <cfvo type="percent" val="67"/>
      </iconSet>
    </cfRule>
    <cfRule type="dataBar" priority="20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{0E442C20-D516-4CD0-8A99-6BF460A7C53D}</x14:id>
        </ext>
      </extLst>
    </cfRule>
  </conditionalFormatting>
  <conditionalFormatting sqref="CN1:CN1048576">
    <cfRule type="iconSet" priority="17">
      <iconSet iconSet="3ArrowsGray" reverse="1">
        <cfvo type="percent" val="0"/>
        <cfvo type="percent" val="33"/>
        <cfvo type="percent" val="67"/>
      </iconSet>
    </cfRule>
    <cfRule type="dataBar" priority="19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{43D8EAAB-E007-493A-9E5C-181644F867E1}</x14:id>
        </ext>
      </extLst>
    </cfRule>
  </conditionalFormatting>
  <conditionalFormatting sqref="CV1:CV1048576"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{A0DAB158-559C-4FD2-8C3A-ACFC4A12C498}</x14:id>
        </ext>
      </extLst>
    </cfRule>
  </conditionalFormatting>
  <conditionalFormatting sqref="AR12:AU1048576 AR1:AR11 AU1:AU11">
    <cfRule type="colorScale" priority="2405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2:AT1048576 AR1:AR11">
    <cfRule type="colorScale" priority="2405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2:AU1048576 AR1:AR11 AU1:AU11">
    <cfRule type="colorScale" priority="2405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2:CZ1048576">
    <cfRule type="colorScale" priority="2405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1">
    <cfRule type="colorScale" priority="24057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1">
    <cfRule type="colorScale" priority="2405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1">
    <cfRule type="colorScale" priority="2405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1 AU2:AU11">
    <cfRule type="colorScale" priority="2405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1">
    <cfRule type="colorScale" priority="24057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T11">
    <cfRule type="colorScale" priority="2405742">
      <colorScale>
        <cfvo type="min"/>
        <cfvo type="max"/>
        <color rgb="FFFFEF9C"/>
        <color rgb="FF63BE7B"/>
      </colorScale>
    </cfRule>
  </conditionalFormatting>
  <conditionalFormatting sqref="CE2:CE11">
    <cfRule type="colorScale" priority="24057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D11">
    <cfRule type="colorScale" priority="2405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1">
    <cfRule type="colorScale" priority="2405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1">
    <cfRule type="colorScale" priority="2405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1">
    <cfRule type="colorScale" priority="2405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1">
    <cfRule type="colorScale" priority="2405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11">
    <cfRule type="colorScale" priority="24057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2:CZ11">
    <cfRule type="colorScale" priority="2405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11">
    <cfRule type="colorScale" priority="2405751">
      <colorScale>
        <cfvo type="min"/>
        <cfvo type="max"/>
        <color rgb="FFFFEF9C"/>
        <color rgb="FF63BE7B"/>
      </colorScale>
    </cfRule>
  </conditionalFormatting>
  <conditionalFormatting sqref="CT2:CT11">
    <cfRule type="colorScale" priority="2405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1">
    <cfRule type="colorScale" priority="2405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1">
    <cfRule type="colorScale" priority="2405754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40575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2:N11">
    <cfRule type="iconSet" priority="24057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05757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405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{2604A568-33B0-48A5-9F1B-7CD2A22703DC}</x14:id>
        </ext>
      </extLst>
    </cfRule>
    <cfRule type="colorScale" priority="24057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4057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dataBar" priority="6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{1B17DBE5-B936-4B4C-9B09-2942DB906136}</x14:id>
        </ext>
      </extLst>
    </cfRule>
  </conditionalFormatting>
  <conditionalFormatting sqref="AC1:AC1048576">
    <cfRule type="dataBar" priority="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{A10A3539-B0FC-4298-A6BE-FB8462039FE7}</x14:id>
        </ext>
      </extLst>
    </cfRule>
  </conditionalFormatting>
  <conditionalFormatting sqref="CO1:CO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D6F7F6-415C-4BFD-90CB-0B47331879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6322CF6E-982D-4EF5-A921-E48E07C9E4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BH1:BH1048576</xm:sqref>
        </x14:conditionalFormatting>
        <x14:conditionalFormatting xmlns:xm="http://schemas.microsoft.com/office/excel/2006/main">
          <x14:cfRule type="dataBar" id="{33AF2B08-521E-42D6-983D-1F91EB9507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BI1:BI1048576</xm:sqref>
        </x14:conditionalFormatting>
        <x14:conditionalFormatting xmlns:xm="http://schemas.microsoft.com/office/excel/2006/main">
          <x14:cfRule type="dataBar" id="{D4780F37-89FC-473F-886B-2CBBE6F2D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320697B-D653-46C0-90A9-EDC5303943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D2DCCE4B-E845-4E8C-A2FE-5C5D28B88C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CW1:CW1048576</xm:sqref>
        </x14:conditionalFormatting>
        <x14:conditionalFormatting xmlns:xm="http://schemas.microsoft.com/office/excel/2006/main">
          <x14:cfRule type="dataBar" id="{C060681A-C656-45E0-8539-4E875510F5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D9BB43F1-728D-4B92-B0DD-CA57D870D2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9AB0871F-A595-4E65-9B7E-63E5D0E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033250E9-938B-45FC-B9EC-091259CA6F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CQ1:CQ1048576</xm:sqref>
        </x14:conditionalFormatting>
        <x14:conditionalFormatting xmlns:xm="http://schemas.microsoft.com/office/excel/2006/main">
          <x14:cfRule type="dataBar" id="{6C5A4904-E225-4B19-B1E4-F6349AA9AC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1BD278C6-DBBD-4757-B4F8-552DA65966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0E442C20-D516-4CD0-8A99-6BF460A7C5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43D8EAAB-E007-493A-9E5C-181644F86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CN1:CN1048576</xm:sqref>
        </x14:conditionalFormatting>
        <x14:conditionalFormatting xmlns:xm="http://schemas.microsoft.com/office/excel/2006/main">
          <x14:cfRule type="dataBar" id="{A0DAB158-559C-4FD2-8C3A-ACFC4A12C4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CV1:CV1048576</xm:sqref>
        </x14:conditionalFormatting>
        <x14:conditionalFormatting xmlns:xm="http://schemas.microsoft.com/office/excel/2006/main">
          <x14:cfRule type="dataBar" id="{2604A568-33B0-48A5-9F1B-7CD2A22703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  <x14:conditionalFormatting xmlns:xm="http://schemas.microsoft.com/office/excel/2006/main">
          <x14:cfRule type="dataBar" id="{1B17DBE5-B936-4B4C-9B09-2942DB90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A10A3539-B0FC-4298-A6BE-FB8462039F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>
    <tabColor theme="9" tint="0.39997558519241921"/>
  </sheetPr>
  <dimension ref="A1:FC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1.7109375" customWidth="1"/>
    <col min="5" max="5" width="21.140625" bestFit="1" customWidth="1"/>
    <col min="6" max="6" width="14.7109375" customWidth="1"/>
    <col min="7" max="7" width="15.7109375" customWidth="1"/>
    <col min="8" max="8" width="19.85546875" style="13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9" width="18.7109375" style="13" customWidth="1"/>
    <col min="20" max="22" width="18.7109375" customWidth="1"/>
    <col min="23" max="38" width="18.7109375" style="13" customWidth="1"/>
    <col min="39" max="54" width="18.7109375" customWidth="1"/>
    <col min="55" max="59" width="18.7109375" style="13" customWidth="1"/>
    <col min="60" max="87" width="18.7109375" customWidth="1"/>
    <col min="88" max="98" width="18.7109375" style="106" customWidth="1"/>
    <col min="99" max="107" width="18.7109375" customWidth="1"/>
    <col min="108" max="108" width="8.7109375" style="1" customWidth="1"/>
    <col min="109" max="158" width="11.7109375" style="1" customWidth="1"/>
    <col min="159" max="159" width="11.7109375" style="206" customWidth="1"/>
  </cols>
  <sheetData>
    <row r="1" spans="1:159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91</v>
      </c>
      <c r="J1" s="4" t="s">
        <v>21</v>
      </c>
      <c r="K1" s="4" t="s">
        <v>231</v>
      </c>
      <c r="L1" s="4" t="s">
        <v>121</v>
      </c>
      <c r="M1" s="30" t="s">
        <v>420</v>
      </c>
      <c r="N1" s="30" t="s">
        <v>421</v>
      </c>
      <c r="O1" s="30" t="s">
        <v>424</v>
      </c>
      <c r="P1" s="104" t="s">
        <v>241</v>
      </c>
      <c r="Q1" s="104" t="s">
        <v>238</v>
      </c>
      <c r="R1" s="105" t="s">
        <v>239</v>
      </c>
      <c r="S1" s="104" t="s">
        <v>240</v>
      </c>
      <c r="T1" s="224" t="s">
        <v>22</v>
      </c>
      <c r="U1" s="224" t="s">
        <v>65</v>
      </c>
      <c r="V1" s="224" t="s">
        <v>66</v>
      </c>
      <c r="W1" s="45" t="s">
        <v>492</v>
      </c>
      <c r="X1" s="45" t="s">
        <v>493</v>
      </c>
      <c r="Y1" s="4" t="s">
        <v>328</v>
      </c>
      <c r="Z1" s="4" t="s">
        <v>330</v>
      </c>
      <c r="AA1" s="4" t="s">
        <v>329</v>
      </c>
      <c r="AB1" s="4" t="s">
        <v>331</v>
      </c>
      <c r="AC1" s="143" t="s">
        <v>338</v>
      </c>
      <c r="AD1" s="143" t="s">
        <v>808</v>
      </c>
      <c r="AE1" s="46" t="s">
        <v>332</v>
      </c>
      <c r="AF1" s="46" t="s">
        <v>333</v>
      </c>
      <c r="AG1" s="46" t="s">
        <v>334</v>
      </c>
      <c r="AH1" s="46" t="s">
        <v>335</v>
      </c>
      <c r="AI1" s="46" t="s">
        <v>336</v>
      </c>
      <c r="AJ1" s="46" t="s">
        <v>337</v>
      </c>
      <c r="AK1" s="46" t="s">
        <v>357</v>
      </c>
      <c r="AL1" s="46" t="s">
        <v>327</v>
      </c>
      <c r="AM1" s="98" t="s">
        <v>38</v>
      </c>
      <c r="AN1" s="98" t="s">
        <v>417</v>
      </c>
      <c r="AO1" s="98" t="s">
        <v>416</v>
      </c>
      <c r="AP1" s="4" t="s">
        <v>339</v>
      </c>
      <c r="AQ1" s="4" t="s">
        <v>70</v>
      </c>
      <c r="AR1" s="90" t="s">
        <v>182</v>
      </c>
      <c r="AS1" s="90" t="s">
        <v>219</v>
      </c>
      <c r="AT1" s="90" t="s">
        <v>111</v>
      </c>
      <c r="AU1" s="90" t="s">
        <v>512</v>
      </c>
      <c r="AV1" s="90" t="s">
        <v>247</v>
      </c>
      <c r="AW1" s="90" t="s">
        <v>252</v>
      </c>
      <c r="AX1" s="90" t="s">
        <v>71</v>
      </c>
      <c r="AY1" s="22" t="s">
        <v>69</v>
      </c>
      <c r="AZ1" s="22" t="s">
        <v>494</v>
      </c>
      <c r="BA1" s="22" t="s">
        <v>98</v>
      </c>
      <c r="BB1" s="22" t="s">
        <v>102</v>
      </c>
      <c r="BC1" s="95" t="s">
        <v>225</v>
      </c>
      <c r="BD1" s="95" t="s">
        <v>226</v>
      </c>
      <c r="BE1" s="95" t="s">
        <v>227</v>
      </c>
      <c r="BF1" s="95" t="s">
        <v>228</v>
      </c>
      <c r="BG1" s="95" t="s">
        <v>229</v>
      </c>
      <c r="BH1" s="22" t="s">
        <v>67</v>
      </c>
      <c r="BI1" s="22" t="s">
        <v>64</v>
      </c>
      <c r="BJ1" s="23" t="s">
        <v>68</v>
      </c>
      <c r="BK1" s="22" t="s">
        <v>99</v>
      </c>
      <c r="BL1" s="22" t="s">
        <v>101</v>
      </c>
      <c r="BM1" s="22" t="s">
        <v>100</v>
      </c>
      <c r="BN1" s="22" t="s">
        <v>97</v>
      </c>
      <c r="BO1" s="51" t="s">
        <v>465</v>
      </c>
      <c r="BP1" s="51" t="s">
        <v>466</v>
      </c>
      <c r="BQ1" s="26" t="s">
        <v>390</v>
      </c>
      <c r="BR1" s="26" t="s">
        <v>391</v>
      </c>
      <c r="BS1" s="4" t="s">
        <v>392</v>
      </c>
      <c r="BT1" s="4" t="s">
        <v>78</v>
      </c>
      <c r="BU1" s="4" t="s">
        <v>46</v>
      </c>
      <c r="BV1" s="4" t="s">
        <v>79</v>
      </c>
      <c r="BW1" s="4" t="s">
        <v>27</v>
      </c>
      <c r="BX1" s="4" t="s">
        <v>77</v>
      </c>
      <c r="BY1" s="25" t="s">
        <v>340</v>
      </c>
      <c r="BZ1" s="25" t="s">
        <v>343</v>
      </c>
      <c r="CA1" s="25" t="s">
        <v>341</v>
      </c>
      <c r="CB1" s="144" t="s">
        <v>297</v>
      </c>
      <c r="CC1" s="25" t="s">
        <v>342</v>
      </c>
      <c r="CD1" s="14" t="s">
        <v>152</v>
      </c>
      <c r="CE1" s="15" t="s">
        <v>258</v>
      </c>
      <c r="CF1" s="15" t="s">
        <v>257</v>
      </c>
      <c r="CG1" s="52" t="s">
        <v>220</v>
      </c>
      <c r="CH1" s="52" t="s">
        <v>259</v>
      </c>
      <c r="CI1" s="34" t="s">
        <v>221</v>
      </c>
      <c r="CJ1" s="108" t="s">
        <v>394</v>
      </c>
      <c r="CK1" s="108" t="s">
        <v>75</v>
      </c>
      <c r="CL1" s="40" t="s">
        <v>433</v>
      </c>
      <c r="CM1" s="40" t="s">
        <v>107</v>
      </c>
      <c r="CN1" s="40" t="s">
        <v>444</v>
      </c>
      <c r="CO1" s="174" t="s">
        <v>445</v>
      </c>
      <c r="CP1" s="17" t="s">
        <v>443</v>
      </c>
      <c r="CQ1" s="46" t="s">
        <v>450</v>
      </c>
      <c r="CR1" s="163" t="s">
        <v>387</v>
      </c>
      <c r="CS1" s="163" t="s">
        <v>344</v>
      </c>
      <c r="CT1" s="51" t="s">
        <v>309</v>
      </c>
      <c r="CU1" s="51" t="s">
        <v>141</v>
      </c>
      <c r="CV1" s="164" t="s">
        <v>468</v>
      </c>
      <c r="CW1" s="164" t="s">
        <v>395</v>
      </c>
      <c r="CX1" s="47" t="s">
        <v>18</v>
      </c>
      <c r="CY1" s="47" t="s">
        <v>81</v>
      </c>
      <c r="CZ1" s="43" t="s">
        <v>414</v>
      </c>
      <c r="DA1" s="43" t="s">
        <v>415</v>
      </c>
      <c r="DB1" s="43" t="s">
        <v>180</v>
      </c>
      <c r="DC1" s="118" t="s">
        <v>25</v>
      </c>
      <c r="DD1" s="314" t="s">
        <v>14</v>
      </c>
      <c r="DE1" s="311" t="s">
        <v>621</v>
      </c>
      <c r="DF1" s="311" t="s">
        <v>20</v>
      </c>
      <c r="DG1" s="311" t="s">
        <v>1</v>
      </c>
      <c r="DH1" s="311" t="s">
        <v>0</v>
      </c>
      <c r="DI1" s="311" t="s">
        <v>29</v>
      </c>
      <c r="DJ1" s="311" t="s">
        <v>40</v>
      </c>
      <c r="DK1" s="311" t="s">
        <v>2</v>
      </c>
      <c r="DL1" s="311" t="s">
        <v>3</v>
      </c>
      <c r="DM1" s="311" t="s">
        <v>89</v>
      </c>
      <c r="DN1" s="311" t="s">
        <v>622</v>
      </c>
      <c r="DO1" s="311" t="s">
        <v>683</v>
      </c>
      <c r="DP1" s="311" t="s">
        <v>30</v>
      </c>
      <c r="DQ1" s="311" t="s">
        <v>624</v>
      </c>
      <c r="DR1" s="311" t="s">
        <v>684</v>
      </c>
      <c r="DS1" s="311" t="s">
        <v>685</v>
      </c>
      <c r="DT1" s="311" t="s">
        <v>63</v>
      </c>
      <c r="DU1" s="311" t="s">
        <v>264</v>
      </c>
      <c r="DV1" s="311" t="s">
        <v>4</v>
      </c>
      <c r="DW1" s="311" t="s">
        <v>179</v>
      </c>
      <c r="DX1" s="311" t="s">
        <v>7</v>
      </c>
      <c r="DY1" s="311" t="s">
        <v>166</v>
      </c>
      <c r="DZ1" s="311" t="s">
        <v>646</v>
      </c>
      <c r="EA1" s="311" t="s">
        <v>647</v>
      </c>
      <c r="EB1" s="311" t="s">
        <v>11</v>
      </c>
      <c r="EC1" s="311" t="s">
        <v>17</v>
      </c>
      <c r="ED1" s="311" t="s">
        <v>187</v>
      </c>
      <c r="EE1" s="311" t="s">
        <v>15</v>
      </c>
      <c r="EF1" s="311" t="s">
        <v>16</v>
      </c>
      <c r="EG1" s="311" t="s">
        <v>649</v>
      </c>
      <c r="EH1" s="311" t="s">
        <v>648</v>
      </c>
      <c r="EI1" s="311" t="s">
        <v>10</v>
      </c>
      <c r="EJ1" s="311" t="s">
        <v>8</v>
      </c>
      <c r="EK1" s="311" t="s">
        <v>9</v>
      </c>
      <c r="EL1" s="311" t="s">
        <v>189</v>
      </c>
      <c r="EM1" s="311" t="s">
        <v>190</v>
      </c>
      <c r="EN1" s="311" t="s">
        <v>104</v>
      </c>
      <c r="EO1" s="311" t="s">
        <v>636</v>
      </c>
      <c r="EP1" s="311" t="s">
        <v>48</v>
      </c>
      <c r="EQ1" s="311" t="s">
        <v>253</v>
      </c>
      <c r="ER1" s="311" t="s">
        <v>41</v>
      </c>
      <c r="ES1" s="311" t="s">
        <v>236</v>
      </c>
      <c r="ET1" s="311" t="s">
        <v>49</v>
      </c>
      <c r="EU1" s="311" t="s">
        <v>165</v>
      </c>
      <c r="EV1" s="311" t="s">
        <v>788</v>
      </c>
      <c r="EW1" s="311" t="s">
        <v>93</v>
      </c>
      <c r="EX1" s="311" t="s">
        <v>94</v>
      </c>
      <c r="EY1" s="311" t="s">
        <v>686</v>
      </c>
      <c r="EZ1" s="311" t="s">
        <v>5</v>
      </c>
      <c r="FA1" s="311" t="s">
        <v>103</v>
      </c>
      <c r="FB1" s="311" t="s">
        <v>18</v>
      </c>
      <c r="FC1" s="344" t="s">
        <v>643</v>
      </c>
    </row>
    <row r="2" spans="1:159" ht="24.95" customHeight="1" thickBot="1" x14ac:dyDescent="0.3">
      <c r="A2" s="29" t="str">
        <f t="shared" ref="A2:A11" si="0">ROW()-1 &amp; "º"</f>
        <v>1º</v>
      </c>
      <c r="B2" s="69" t="str">
        <f t="shared" ref="B2:B11" si="1">DF2</f>
        <v>Bruno Zapelli</v>
      </c>
      <c r="C2" s="86" t="str">
        <f t="shared" ref="C2:C11" si="2">DE2</f>
        <v>ARG</v>
      </c>
      <c r="D2" s="99" t="str">
        <f t="shared" ref="D2:D11" si="3">DJ2</f>
        <v>Pé Direito</v>
      </c>
      <c r="E2" s="28" t="str">
        <f t="shared" ref="E2:E11" si="4">DH2</f>
        <v>Athletico Paranaense</v>
      </c>
      <c r="F2" s="168">
        <f t="shared" ref="F2:F11" si="5">IFERROR(SUBSTITUTE(DI2," cm","")/100,0)</f>
        <v>1.81</v>
      </c>
      <c r="G2" s="36">
        <f t="shared" ref="G2:G11" si="6">DG2</f>
        <v>24</v>
      </c>
      <c r="H2" s="347" t="str">
        <f t="shared" ref="H2:H11" si="7">DL2</f>
        <v>41m € p/m</v>
      </c>
      <c r="I2" s="35">
        <f t="shared" ref="I2:I11" si="8">IF(DM2="-", "Sem Data Final", DM2)</f>
        <v>47848</v>
      </c>
      <c r="J2" s="28" t="str">
        <f t="shared" ref="J2:J11" si="9">DK2</f>
        <v>3,5M €</v>
      </c>
      <c r="K2" s="96">
        <f t="shared" ref="K2:K11" si="10">AVERAGE(L:L)</f>
        <v>36.659999999999997</v>
      </c>
      <c r="L2" s="146">
        <f t="shared" ref="L2:L11" si="11">IFERROR(DN2/90,0)</f>
        <v>32.555555555555557</v>
      </c>
      <c r="M2" s="146">
        <f t="shared" ref="M2:M11" si="12">IF(ISERROR(FIND("(",DO2)), VALUE(DO2), VALUE(LEFT(DO2,FIND("(",DO2)-2)) + VALUE(MID(DO2,FIND("(",DO2)+1,FIND(")",DO2)-FIND("(",DO2)-1)))</f>
        <v>41</v>
      </c>
      <c r="N2" s="146">
        <f t="shared" ref="N2:N11" si="13">IFERROR(DN2/M2,0)</f>
        <v>71.463414634146346</v>
      </c>
      <c r="O2" s="187">
        <f t="shared" ref="O2:O11" si="14">IFERROR(IF(ISERROR(FIND("(",DM2)), "100%", TEXT(VALUE(LEFT(DM2,FIND("(",DM2)-2)) / (VALUE(LEFT(DM2,FIND("(",DM2)-2)) + VALUE(MID(DM2,FIND("(",DM2)+1,FIND(")",DM2)-FIND("(",DM2)-1))),"0%")),0)*1</f>
        <v>1</v>
      </c>
      <c r="P2" s="6">
        <f t="shared" ref="P2:P11" si="15">EZ2</f>
        <v>0</v>
      </c>
      <c r="Q2" s="6">
        <f t="shared" ref="Q2:Q11" si="16">FA2</f>
        <v>0</v>
      </c>
      <c r="R2" s="6">
        <f t="shared" ref="R2:R11" si="17">IFERROR(P2-Q2,0)</f>
        <v>0</v>
      </c>
      <c r="S2" s="21">
        <f t="shared" ref="S2:S11" si="18">IFERROR((Q2*1)/P2,0.0000001)</f>
        <v>9.9999999999999995E-8</v>
      </c>
      <c r="T2" s="2">
        <f t="shared" ref="T2:T11" si="19">DR2</f>
        <v>7</v>
      </c>
      <c r="U2" s="2">
        <f t="shared" ref="U2:U11" si="20">DS2</f>
        <v>9</v>
      </c>
      <c r="V2" s="6">
        <f t="shared" ref="V2:V11" si="21">IFERROR(T2+U2,0)</f>
        <v>16</v>
      </c>
      <c r="W2" s="211">
        <f t="shared" ref="W2:W11" si="22">IFERROR((EO2+ER2+EP2),0)</f>
        <v>85</v>
      </c>
      <c r="X2" s="5">
        <f t="shared" ref="X2:X11" si="23">IFERROR(W2/L2,0)</f>
        <v>2.6109215017064846</v>
      </c>
      <c r="Y2" s="6">
        <f t="shared" ref="Y2:Y11" si="24">EJ2-P2</f>
        <v>87</v>
      </c>
      <c r="Z2" s="5">
        <f t="shared" ref="Z2:Z11" si="25">IFERROR(Y2/L2,0)</f>
        <v>2.6723549488054608</v>
      </c>
      <c r="AA2" s="6">
        <f t="shared" ref="AA2:AA11" si="26">EK2-Q2</f>
        <v>38</v>
      </c>
      <c r="AB2" s="5">
        <f t="shared" ref="AB2:AB11" si="27">IFERROR(AA2/L2,0)</f>
        <v>1.1672354948805461</v>
      </c>
      <c r="AC2" s="21">
        <f t="shared" ref="AC2:AC11" si="28">IFERROR((AA2*1)/Y2,0)</f>
        <v>0.43678160919540232</v>
      </c>
      <c r="AD2" s="337">
        <f t="shared" ref="AD2:AD11" si="29">DR2/EJ2</f>
        <v>8.0459770114942528E-2</v>
      </c>
      <c r="AE2" s="5">
        <f t="shared" ref="AE2:AE11" si="30">IFERROR(SUBSTITUTE(DX2,".","," )*1,0)</f>
        <v>9.1300000000000008</v>
      </c>
      <c r="AF2" s="5">
        <f t="shared" ref="AF2:AF11" si="31">IFERROR(AE2/L2,0)</f>
        <v>0.28044368600682595</v>
      </c>
      <c r="AG2" s="5">
        <f t="shared" ref="AG2:AG11" si="32">(AE2)-(EZ2*0.79)</f>
        <v>9.1300000000000008</v>
      </c>
      <c r="AH2" s="5">
        <f t="shared" ref="AH2:AH11" si="33">IFERROR((AG2/L2),0)</f>
        <v>0.28044368600682595</v>
      </c>
      <c r="AI2" s="5">
        <f t="shared" ref="AI2:AI11" si="34">IFERROR(SUBSTITUTE(DY2,".","," )*1,0)</f>
        <v>8.48</v>
      </c>
      <c r="AJ2" s="5">
        <f t="shared" ref="AJ2:AJ11" si="35">IFERROR(AI2/L2,0)</f>
        <v>0.26047781569965872</v>
      </c>
      <c r="AK2" s="5">
        <f t="shared" ref="AK2:AK11" si="36">AI2+AG2</f>
        <v>17.61</v>
      </c>
      <c r="AL2" s="5">
        <f t="shared" ref="AL2:AL11" si="37">IFERROR(AK2/L2,0)</f>
        <v>0.54092150170648456</v>
      </c>
      <c r="AM2" s="2">
        <f t="shared" ref="AM2:AM11" si="38">DP2</f>
        <v>1</v>
      </c>
      <c r="AN2" s="5">
        <f t="shared" ref="AN2:AN11" si="39">IFERROR(DN2/AM2,5000)</f>
        <v>2930</v>
      </c>
      <c r="AO2" s="21">
        <f t="shared" ref="AO2:AO11" si="40">IFERROR((AM2*1)/L2,0)</f>
        <v>3.0716723549488054E-2</v>
      </c>
      <c r="AP2" s="6">
        <f t="shared" ref="AP2:AP11" si="41">ER2</f>
        <v>58</v>
      </c>
      <c r="AQ2" s="5">
        <f t="shared" ref="AQ2:AQ11" si="42">IFERROR(ER2/L2,0)</f>
        <v>1.781569965870307</v>
      </c>
      <c r="AR2" s="6">
        <f t="shared" ref="AR2:AR11" si="43">EN2+DZ2</f>
        <v>58</v>
      </c>
      <c r="AS2" s="5">
        <f t="shared" ref="AS2:AS11" si="44">IFERROR(AR2/L2,0)</f>
        <v>1.781569965870307</v>
      </c>
      <c r="AT2" s="6">
        <f t="shared" ref="AT2:AT11" si="45">EO2</f>
        <v>27</v>
      </c>
      <c r="AU2" s="5">
        <f t="shared" ref="AU2:AU11" si="46">AT2/L2</f>
        <v>0.82935153583617749</v>
      </c>
      <c r="AV2" s="6">
        <f t="shared" ref="AV2:AV11" si="47">IFERROR(AR2-AT2,0)</f>
        <v>31</v>
      </c>
      <c r="AW2" s="5">
        <f t="shared" ref="AW2:AW11" si="48">AV2/L2</f>
        <v>0.95221843003412965</v>
      </c>
      <c r="AX2" s="20">
        <f t="shared" ref="AX2:AX11" si="49">IFERROR(AT2/AR2,0)</f>
        <v>0.46551724137931033</v>
      </c>
      <c r="AY2" s="2">
        <f t="shared" ref="AY2:AY11" si="50">DZ2</f>
        <v>23</v>
      </c>
      <c r="AZ2" s="5">
        <f t="shared" ref="AZ2:AZ11" si="51">IFERROR(AY2/L2,0)</f>
        <v>0.70648464163822522</v>
      </c>
      <c r="BA2" s="2">
        <f t="shared" ref="BA2:BA11" si="52">IFERROR(AY2-(BH2+BI2),0)</f>
        <v>22</v>
      </c>
      <c r="BB2" s="12">
        <f t="shared" ref="BB2:BB11" si="53">IFERROR((BJ2*1)/AY2,0)</f>
        <v>4.3478260869565216E-2</v>
      </c>
      <c r="BC2" s="6">
        <f t="shared" ref="BC2:BC11" si="54">EL2</f>
        <v>198</v>
      </c>
      <c r="BD2" s="5">
        <f t="shared" ref="BD2:BD11" si="55">IFERROR(BC2/L2,0)</f>
        <v>6.0819112627986343</v>
      </c>
      <c r="BE2" s="6">
        <f t="shared" ref="BE2:BE11" si="56">EM2</f>
        <v>53</v>
      </c>
      <c r="BF2" s="5">
        <f t="shared" ref="BF2:BF11" si="57">IFERROR(BE2/L2,0)</f>
        <v>1.6279863481228669</v>
      </c>
      <c r="BG2" s="21">
        <f t="shared" ref="BG2:BG11" si="58">IFERROR((BE2*1)/BC2,0)</f>
        <v>0.26767676767676768</v>
      </c>
      <c r="BH2" s="2">
        <f t="shared" ref="BH2:BH11" si="59">DT2</f>
        <v>1</v>
      </c>
      <c r="BI2" s="2">
        <f t="shared" ref="BI2:BI11" si="60">DU2</f>
        <v>0</v>
      </c>
      <c r="BJ2" s="2">
        <f t="shared" ref="BJ2:BJ11" si="61">IFERROR(DT2+DU2,0)</f>
        <v>1</v>
      </c>
      <c r="BK2" s="2">
        <f t="shared" ref="BK2:BK11" si="62">IFERROR((AY2+EP2+EO2),0)</f>
        <v>50</v>
      </c>
      <c r="BL2" s="2">
        <f t="shared" ref="BL2:BL11" si="63">IFERROR(BK2-AY2,0)</f>
        <v>27</v>
      </c>
      <c r="BM2" s="21">
        <f t="shared" ref="BM2:BM11" si="64">IFERROR((BL2*1)/BK2,0)</f>
        <v>0.54</v>
      </c>
      <c r="BN2" s="21">
        <f t="shared" ref="BN2:BN11" si="65">IFERROR((BA2)/AY2,0)</f>
        <v>0.95652173913043481</v>
      </c>
      <c r="BO2" s="6">
        <f t="shared" ref="BO2:BO11" si="66">EP2</f>
        <v>0</v>
      </c>
      <c r="BP2" s="5">
        <f t="shared" ref="BP2:BP11" si="67">IFERROR(BO2/L2,0)</f>
        <v>0</v>
      </c>
      <c r="BQ2" s="181">
        <f t="shared" ref="BQ2:BQ11" si="68">EW2</f>
        <v>176</v>
      </c>
      <c r="BR2" s="181">
        <f t="shared" ref="BR2:BR11" si="69">EX2</f>
        <v>30</v>
      </c>
      <c r="BS2" s="182">
        <f t="shared" ref="BS2:BS11" si="70">IFERROR((BR2*1)/BQ2,0)</f>
        <v>0.17045454545454544</v>
      </c>
      <c r="BT2" s="6">
        <f t="shared" ref="BT2:BT11" si="71">EE2</f>
        <v>1476</v>
      </c>
      <c r="BU2" s="6">
        <f t="shared" ref="BU2:BU11" si="72">EF2</f>
        <v>1331</v>
      </c>
      <c r="BV2" s="5">
        <f t="shared" ref="BV2:BV11" si="73">IFERROR((BU2-BW2)/(DN2/90),0)</f>
        <v>36.430034129692828</v>
      </c>
      <c r="BW2" s="6">
        <f t="shared" ref="BW2:BW11" si="74">IFERROR(BT2-BU2,0)</f>
        <v>145</v>
      </c>
      <c r="BX2" s="21">
        <f t="shared" ref="BX2:BX11" si="75">IFERROR(BU2/BT2,0)</f>
        <v>0.9017615176151762</v>
      </c>
      <c r="BY2" s="6">
        <f t="shared" ref="BY2:BY11" si="76">EB2</f>
        <v>118</v>
      </c>
      <c r="BZ2" s="5">
        <f t="shared" ref="BZ2:BZ11" si="77">IFERROR(BY2/L2,0)</f>
        <v>3.6245733788395902</v>
      </c>
      <c r="CA2" s="6">
        <f t="shared" ref="CA2:CA11" si="78">EC2</f>
        <v>34</v>
      </c>
      <c r="CB2" s="6">
        <f t="shared" ref="CB2:CB11" si="79">IFERROR(EB2-EC2,0)</f>
        <v>84</v>
      </c>
      <c r="CC2" s="20">
        <f t="shared" ref="CC2:CC11" si="80">IFERROR((EC2*1)/EB2,0)</f>
        <v>0.28813559322033899</v>
      </c>
      <c r="CD2" s="5">
        <f t="shared" ref="CD2:CD11" si="81">IFERROR((DR2+DS2+EA2+EO2+ER2+EP2+EB2+EI2+DV2+EG2+EE2)/L2,0)</f>
        <v>57.225255972696246</v>
      </c>
      <c r="CE2" s="6">
        <f t="shared" ref="CE2:CE11" si="82">IFERROR((AI2+AR2+BK2+BT2+BY2+EJ2+EL2+EW2),0)</f>
        <v>2171.48</v>
      </c>
      <c r="CF2" s="5">
        <f t="shared" ref="CF2:CF11" si="83">IFERROR(CE2/L2,0)</f>
        <v>66.700750853242312</v>
      </c>
      <c r="CG2" s="6">
        <f t="shared" ref="CG2:CG11" si="84">IFERROR((T2*1.5)+(AT2+BL2+BU2+CA2+EM2+EX2)+(EK2*0.75)+(DR2*0.75),0)</f>
        <v>1546.25</v>
      </c>
      <c r="CH2" s="5">
        <f t="shared" ref="CH2:CH11" si="85">IFERROR(CG2/L2,0)</f>
        <v>47.495733788395903</v>
      </c>
      <c r="CI2" s="21">
        <f t="shared" ref="CI2:CI11" si="86">IFERROR((CG2*1)/CE2,0)</f>
        <v>0.71207195092747799</v>
      </c>
      <c r="CJ2" s="6">
        <f t="shared" ref="CJ2:CJ11" si="87">IFERROR(EG2+DV2+AI2+EX2,0)</f>
        <v>119.48</v>
      </c>
      <c r="CK2" s="5">
        <f t="shared" ref="CK2:CK11" si="88">IFERROR(CJ2/L2,0)</f>
        <v>3.6700341296928327</v>
      </c>
      <c r="CL2" s="6">
        <f t="shared" ref="CL2:CL11" si="89">EG2</f>
        <v>64</v>
      </c>
      <c r="CM2" s="5">
        <f t="shared" ref="CM2:CM11" si="90">IFERROR(CL2/L2,0)</f>
        <v>1.9658703071672354</v>
      </c>
      <c r="CN2" s="5">
        <f t="shared" ref="CN2:CN11" si="91">IFERROR(EG2/DS2,25)</f>
        <v>7.1111111111111107</v>
      </c>
      <c r="CO2" s="21">
        <f t="shared" ref="CO2:CO11" si="92">IFERROR(DS2/EG2,0)</f>
        <v>0.140625</v>
      </c>
      <c r="CP2" s="5">
        <f t="shared" ref="CP2:CP11" si="93">IFERROR(AI2/EG2,0)</f>
        <v>0.13250000000000001</v>
      </c>
      <c r="CQ2" s="334">
        <f t="shared" ref="CQ2:CQ11" si="94">IFERROR(AI2/EG2,0)</f>
        <v>0.13250000000000001</v>
      </c>
      <c r="CR2" s="6">
        <f t="shared" ref="CR2:CR11" si="95">IFERROR(ET2+ER2+EQ2+ES2+(EP2*0.5),0)</f>
        <v>84</v>
      </c>
      <c r="CS2" s="5">
        <f t="shared" ref="CS2:CS11" si="96">IFERROR(CR2/L2,0)</f>
        <v>2.5802047781569963</v>
      </c>
      <c r="CT2" s="6">
        <f t="shared" ref="CT2:CT11" si="97">IFERROR(EO2+EM2+(EP2*0.5),0)</f>
        <v>80</v>
      </c>
      <c r="CU2" s="5">
        <f t="shared" ref="CU2:CU11" si="98">IFERROR(CT2/L2,0)</f>
        <v>2.4573378839590441</v>
      </c>
      <c r="CV2" s="6">
        <f t="shared" ref="CV2:CV11" si="99">IFERROR(EJ2+EG2+DV2+EI2+EX2,0)</f>
        <v>257</v>
      </c>
      <c r="CW2" s="5">
        <f t="shared" ref="CW2:CW11" si="100">IFERROR(CV2/L2,0)</f>
        <v>7.8941979522184296</v>
      </c>
      <c r="CX2" s="154">
        <f t="shared" ref="CX2:CX11" si="101">IFERROR(VALUE(SUBSTITUTE(FB2, " km", "")),0)</f>
        <v>391.6</v>
      </c>
      <c r="CY2" s="5">
        <f t="shared" ref="CY2:CY11" si="102">IFERROR(CX2/L2,0)</f>
        <v>12.028668941979522</v>
      </c>
      <c r="CZ2" s="183">
        <f t="shared" ref="CZ2:CZ11" si="103">IFERROR((EJ2-EK2)+(EE2-EF2),0)</f>
        <v>194</v>
      </c>
      <c r="DA2" s="117">
        <f t="shared" ref="DA2:DA11" si="104">IFERROR(CZ2/L2,0)</f>
        <v>5.959044368600682</v>
      </c>
      <c r="DB2" s="117">
        <f t="shared" ref="DB2:DB11" si="105">DW2</f>
        <v>11.1</v>
      </c>
      <c r="DC2" s="117">
        <f t="shared" ref="DC2:DC11" si="106">IFERROR(VALUE(SUBSTITUTE(FC2, ".", ",")),0)</f>
        <v>6.82</v>
      </c>
      <c r="DD2" s="315"/>
      <c r="DE2" s="312" t="s">
        <v>478</v>
      </c>
      <c r="DF2" s="312" t="s">
        <v>803</v>
      </c>
      <c r="DG2" s="312">
        <v>24</v>
      </c>
      <c r="DH2" s="312" t="s">
        <v>615</v>
      </c>
      <c r="DI2" s="312" t="s">
        <v>607</v>
      </c>
      <c r="DJ2" s="312" t="s">
        <v>644</v>
      </c>
      <c r="DK2" s="312" t="s">
        <v>804</v>
      </c>
      <c r="DL2" s="312" t="s">
        <v>660</v>
      </c>
      <c r="DM2" s="317">
        <v>47848</v>
      </c>
      <c r="DN2" s="312">
        <v>2930</v>
      </c>
      <c r="DO2" s="312" t="s">
        <v>714</v>
      </c>
      <c r="DP2" s="312">
        <v>1</v>
      </c>
      <c r="DQ2" s="312">
        <v>0</v>
      </c>
      <c r="DR2" s="312">
        <v>7</v>
      </c>
      <c r="DS2" s="312">
        <v>9</v>
      </c>
      <c r="DT2" s="312">
        <v>1</v>
      </c>
      <c r="DU2" s="312">
        <v>0</v>
      </c>
      <c r="DV2" s="312">
        <v>17</v>
      </c>
      <c r="DW2" s="312">
        <v>11.1</v>
      </c>
      <c r="DX2" s="312">
        <v>9.1300000000000008</v>
      </c>
      <c r="DY2" s="312">
        <v>8.48</v>
      </c>
      <c r="DZ2" s="312">
        <v>23</v>
      </c>
      <c r="EA2" s="312">
        <v>28</v>
      </c>
      <c r="EB2" s="312">
        <v>118</v>
      </c>
      <c r="EC2" s="312">
        <v>34</v>
      </c>
      <c r="ED2" s="312">
        <v>0.2</v>
      </c>
      <c r="EE2" s="312">
        <v>1476</v>
      </c>
      <c r="EF2" s="312">
        <v>1331</v>
      </c>
      <c r="EG2" s="312">
        <v>64</v>
      </c>
      <c r="EH2" s="312">
        <v>88</v>
      </c>
      <c r="EI2" s="312">
        <v>59</v>
      </c>
      <c r="EJ2" s="312">
        <v>87</v>
      </c>
      <c r="EK2" s="312">
        <v>38</v>
      </c>
      <c r="EL2" s="312">
        <v>198</v>
      </c>
      <c r="EM2" s="312">
        <v>53</v>
      </c>
      <c r="EN2" s="312">
        <v>35</v>
      </c>
      <c r="EO2" s="312">
        <v>27</v>
      </c>
      <c r="EP2" s="312">
        <v>0</v>
      </c>
      <c r="EQ2" s="312">
        <v>8</v>
      </c>
      <c r="ER2" s="312">
        <v>58</v>
      </c>
      <c r="ES2" s="312">
        <v>3</v>
      </c>
      <c r="ET2" s="312">
        <v>15</v>
      </c>
      <c r="EU2" s="312">
        <v>8.8000000000000007</v>
      </c>
      <c r="EV2" s="312">
        <v>1.4</v>
      </c>
      <c r="EW2" s="312">
        <v>176</v>
      </c>
      <c r="EX2" s="312">
        <v>30</v>
      </c>
      <c r="EY2" s="312">
        <v>7</v>
      </c>
      <c r="EZ2" s="312">
        <v>0</v>
      </c>
      <c r="FA2" s="312">
        <v>0</v>
      </c>
      <c r="FB2" s="312" t="s">
        <v>805</v>
      </c>
      <c r="FC2" s="345">
        <v>6.82</v>
      </c>
    </row>
    <row r="3" spans="1:159" ht="24.95" customHeight="1" thickBot="1" x14ac:dyDescent="0.3">
      <c r="A3" s="29" t="str">
        <f t="shared" si="0"/>
        <v>2º</v>
      </c>
      <c r="B3" s="69" t="str">
        <f t="shared" si="1"/>
        <v>Erick</v>
      </c>
      <c r="C3" s="86" t="str">
        <f t="shared" si="2"/>
        <v>BRA</v>
      </c>
      <c r="D3" s="99" t="str">
        <f t="shared" si="3"/>
        <v>Somente Pé Direito</v>
      </c>
      <c r="E3" s="28" t="str">
        <f t="shared" si="4"/>
        <v>Bahia</v>
      </c>
      <c r="F3" s="168">
        <f t="shared" si="5"/>
        <v>1.76</v>
      </c>
      <c r="G3" s="36">
        <f t="shared" si="6"/>
        <v>28</v>
      </c>
      <c r="H3" s="347" t="str">
        <f t="shared" si="7"/>
        <v>37,5m € p/m</v>
      </c>
      <c r="I3" s="35">
        <f t="shared" si="8"/>
        <v>47483</v>
      </c>
      <c r="J3" s="28" t="str">
        <f t="shared" si="9"/>
        <v>275m € - 2,8M €</v>
      </c>
      <c r="K3" s="96">
        <f t="shared" si="10"/>
        <v>36.659999999999997</v>
      </c>
      <c r="L3" s="146">
        <f t="shared" si="11"/>
        <v>34.9</v>
      </c>
      <c r="M3" s="146">
        <f t="shared" si="12"/>
        <v>56</v>
      </c>
      <c r="N3" s="146">
        <f t="shared" si="13"/>
        <v>56.089285714285715</v>
      </c>
      <c r="O3" s="187">
        <f t="shared" si="14"/>
        <v>1</v>
      </c>
      <c r="P3" s="6">
        <f t="shared" si="15"/>
        <v>1</v>
      </c>
      <c r="Q3" s="6">
        <f t="shared" si="16"/>
        <v>0</v>
      </c>
      <c r="R3" s="6">
        <f t="shared" si="17"/>
        <v>1</v>
      </c>
      <c r="S3" s="21">
        <f t="shared" si="18"/>
        <v>0</v>
      </c>
      <c r="T3" s="2">
        <f t="shared" si="19"/>
        <v>4</v>
      </c>
      <c r="U3" s="2">
        <f t="shared" si="20"/>
        <v>2</v>
      </c>
      <c r="V3" s="6">
        <f t="shared" si="21"/>
        <v>6</v>
      </c>
      <c r="W3" s="211">
        <f t="shared" si="22"/>
        <v>161</v>
      </c>
      <c r="X3" s="5">
        <f t="shared" si="23"/>
        <v>4.6131805157593124</v>
      </c>
      <c r="Y3" s="6">
        <f t="shared" si="24"/>
        <v>63</v>
      </c>
      <c r="Z3" s="5">
        <f t="shared" si="25"/>
        <v>1.8051575931232093</v>
      </c>
      <c r="AA3" s="6">
        <f t="shared" si="26"/>
        <v>22</v>
      </c>
      <c r="AB3" s="5">
        <f t="shared" si="27"/>
        <v>0.63037249283667629</v>
      </c>
      <c r="AC3" s="21">
        <f t="shared" si="28"/>
        <v>0.34920634920634919</v>
      </c>
      <c r="AD3" s="337">
        <f t="shared" si="29"/>
        <v>6.25E-2</v>
      </c>
      <c r="AE3" s="5">
        <f t="shared" si="30"/>
        <v>3.15</v>
      </c>
      <c r="AF3" s="5">
        <f t="shared" si="31"/>
        <v>9.0257879656160458E-2</v>
      </c>
      <c r="AG3" s="5">
        <f t="shared" si="32"/>
        <v>2.36</v>
      </c>
      <c r="AH3" s="5">
        <f t="shared" si="33"/>
        <v>6.7621776504297987E-2</v>
      </c>
      <c r="AI3" s="5">
        <f t="shared" si="34"/>
        <v>2.2400000000000002</v>
      </c>
      <c r="AJ3" s="5">
        <f t="shared" si="35"/>
        <v>6.4183381088825223E-2</v>
      </c>
      <c r="AK3" s="5">
        <f t="shared" si="36"/>
        <v>4.5999999999999996</v>
      </c>
      <c r="AL3" s="5">
        <f t="shared" si="37"/>
        <v>0.1318051575931232</v>
      </c>
      <c r="AM3" s="2">
        <f t="shared" si="38"/>
        <v>1</v>
      </c>
      <c r="AN3" s="5">
        <f t="shared" si="39"/>
        <v>3141</v>
      </c>
      <c r="AO3" s="21">
        <f t="shared" si="40"/>
        <v>2.865329512893983E-2</v>
      </c>
      <c r="AP3" s="6">
        <f t="shared" si="41"/>
        <v>104</v>
      </c>
      <c r="AQ3" s="5">
        <f t="shared" si="42"/>
        <v>2.9799426934097424</v>
      </c>
      <c r="AR3" s="6">
        <f t="shared" si="43"/>
        <v>113</v>
      </c>
      <c r="AS3" s="5">
        <f t="shared" si="44"/>
        <v>3.2378223495702008</v>
      </c>
      <c r="AT3" s="6">
        <f t="shared" si="45"/>
        <v>52</v>
      </c>
      <c r="AU3" s="5">
        <f t="shared" si="46"/>
        <v>1.4899713467048712</v>
      </c>
      <c r="AV3" s="6">
        <f t="shared" si="47"/>
        <v>61</v>
      </c>
      <c r="AW3" s="5">
        <f t="shared" si="48"/>
        <v>1.7478510028653296</v>
      </c>
      <c r="AX3" s="20">
        <f t="shared" si="49"/>
        <v>0.46017699115044247</v>
      </c>
      <c r="AY3" s="2">
        <f t="shared" si="50"/>
        <v>28</v>
      </c>
      <c r="AZ3" s="5">
        <f t="shared" si="51"/>
        <v>0.80229226361031525</v>
      </c>
      <c r="BA3" s="2">
        <f t="shared" si="52"/>
        <v>27</v>
      </c>
      <c r="BB3" s="12">
        <f t="shared" si="53"/>
        <v>3.5714285714285712E-2</v>
      </c>
      <c r="BC3" s="6">
        <f t="shared" si="54"/>
        <v>328</v>
      </c>
      <c r="BD3" s="5">
        <f t="shared" si="55"/>
        <v>9.3982808022922644</v>
      </c>
      <c r="BE3" s="6">
        <f t="shared" si="56"/>
        <v>80</v>
      </c>
      <c r="BF3" s="5">
        <f t="shared" si="57"/>
        <v>2.2922636103151866</v>
      </c>
      <c r="BG3" s="21">
        <f t="shared" si="58"/>
        <v>0.24390243902439024</v>
      </c>
      <c r="BH3" s="2">
        <f t="shared" si="59"/>
        <v>1</v>
      </c>
      <c r="BI3" s="2">
        <f t="shared" si="60"/>
        <v>0</v>
      </c>
      <c r="BJ3" s="2">
        <f t="shared" si="61"/>
        <v>1</v>
      </c>
      <c r="BK3" s="2">
        <f t="shared" si="62"/>
        <v>85</v>
      </c>
      <c r="BL3" s="2">
        <f t="shared" si="63"/>
        <v>57</v>
      </c>
      <c r="BM3" s="21">
        <f t="shared" si="64"/>
        <v>0.6705882352941176</v>
      </c>
      <c r="BN3" s="21">
        <f t="shared" si="65"/>
        <v>0.9642857142857143</v>
      </c>
      <c r="BO3" s="6">
        <f t="shared" si="66"/>
        <v>5</v>
      </c>
      <c r="BP3" s="5">
        <f t="shared" si="67"/>
        <v>0.14326647564469916</v>
      </c>
      <c r="BQ3" s="181">
        <f t="shared" si="68"/>
        <v>33</v>
      </c>
      <c r="BR3" s="181">
        <f t="shared" si="69"/>
        <v>3</v>
      </c>
      <c r="BS3" s="182">
        <f t="shared" si="70"/>
        <v>9.0909090909090912E-2</v>
      </c>
      <c r="BT3" s="6">
        <f t="shared" si="71"/>
        <v>1983</v>
      </c>
      <c r="BU3" s="6">
        <f t="shared" si="72"/>
        <v>1792</v>
      </c>
      <c r="BV3" s="5">
        <f t="shared" si="73"/>
        <v>45.873925501432666</v>
      </c>
      <c r="BW3" s="6">
        <f t="shared" si="74"/>
        <v>191</v>
      </c>
      <c r="BX3" s="21">
        <f t="shared" si="75"/>
        <v>0.90368129097327277</v>
      </c>
      <c r="BY3" s="6">
        <f t="shared" si="76"/>
        <v>77</v>
      </c>
      <c r="BZ3" s="5">
        <f t="shared" si="77"/>
        <v>2.2063037249283668</v>
      </c>
      <c r="CA3" s="6">
        <f t="shared" si="78"/>
        <v>44</v>
      </c>
      <c r="CB3" s="6">
        <f t="shared" si="79"/>
        <v>33</v>
      </c>
      <c r="CC3" s="20">
        <f t="shared" si="80"/>
        <v>0.5714285714285714</v>
      </c>
      <c r="CD3" s="5">
        <f t="shared" si="81"/>
        <v>65.787965616045852</v>
      </c>
      <c r="CE3" s="6">
        <f t="shared" si="82"/>
        <v>2685.24</v>
      </c>
      <c r="CF3" s="5">
        <f t="shared" si="83"/>
        <v>76.940974212034376</v>
      </c>
      <c r="CG3" s="6">
        <f t="shared" si="84"/>
        <v>2053.5</v>
      </c>
      <c r="CH3" s="5">
        <f t="shared" si="85"/>
        <v>58.839541547277939</v>
      </c>
      <c r="CI3" s="21">
        <f t="shared" si="86"/>
        <v>0.76473611297314215</v>
      </c>
      <c r="CJ3" s="6">
        <f t="shared" si="87"/>
        <v>57.24</v>
      </c>
      <c r="CK3" s="5">
        <f t="shared" si="88"/>
        <v>1.640114613180516</v>
      </c>
      <c r="CL3" s="6">
        <f t="shared" si="89"/>
        <v>50</v>
      </c>
      <c r="CM3" s="5">
        <f t="shared" si="90"/>
        <v>1.4326647564469914</v>
      </c>
      <c r="CN3" s="5">
        <f t="shared" si="91"/>
        <v>25</v>
      </c>
      <c r="CO3" s="21">
        <f t="shared" si="92"/>
        <v>0.04</v>
      </c>
      <c r="CP3" s="5">
        <f t="shared" si="93"/>
        <v>4.4800000000000006E-2</v>
      </c>
      <c r="CQ3" s="334">
        <f t="shared" si="94"/>
        <v>4.4800000000000006E-2</v>
      </c>
      <c r="CR3" s="6">
        <f t="shared" si="95"/>
        <v>191.5</v>
      </c>
      <c r="CS3" s="5">
        <f t="shared" si="96"/>
        <v>5.4871060171919774</v>
      </c>
      <c r="CT3" s="6">
        <f t="shared" si="97"/>
        <v>134.5</v>
      </c>
      <c r="CU3" s="5">
        <f t="shared" si="98"/>
        <v>3.8538681948424069</v>
      </c>
      <c r="CV3" s="6">
        <f t="shared" si="99"/>
        <v>130</v>
      </c>
      <c r="CW3" s="5">
        <f t="shared" si="100"/>
        <v>3.7249283667621778</v>
      </c>
      <c r="CX3" s="154">
        <f t="shared" si="101"/>
        <v>418.2</v>
      </c>
      <c r="CY3" s="5">
        <f t="shared" si="102"/>
        <v>11.982808022922637</v>
      </c>
      <c r="CZ3" s="183">
        <f t="shared" si="103"/>
        <v>233</v>
      </c>
      <c r="DA3" s="117">
        <f t="shared" si="104"/>
        <v>6.6762177650429804</v>
      </c>
      <c r="DB3" s="117">
        <f t="shared" si="105"/>
        <v>6.9</v>
      </c>
      <c r="DC3" s="117">
        <f t="shared" si="106"/>
        <v>6.85</v>
      </c>
      <c r="DD3" s="315"/>
      <c r="DE3" s="312" t="s">
        <v>13</v>
      </c>
      <c r="DF3" s="312" t="s">
        <v>663</v>
      </c>
      <c r="DG3" s="312">
        <v>28</v>
      </c>
      <c r="DH3" s="312" t="s">
        <v>580</v>
      </c>
      <c r="DI3" s="312" t="s">
        <v>579</v>
      </c>
      <c r="DJ3" s="312" t="s">
        <v>645</v>
      </c>
      <c r="DK3" s="312" t="s">
        <v>559</v>
      </c>
      <c r="DL3" s="312" t="s">
        <v>665</v>
      </c>
      <c r="DM3" s="317">
        <v>47483</v>
      </c>
      <c r="DN3" s="312">
        <v>3141</v>
      </c>
      <c r="DO3" s="312" t="s">
        <v>782</v>
      </c>
      <c r="DP3" s="312">
        <v>1</v>
      </c>
      <c r="DQ3" s="312">
        <v>1</v>
      </c>
      <c r="DR3" s="312">
        <v>4</v>
      </c>
      <c r="DS3" s="312">
        <v>2</v>
      </c>
      <c r="DT3" s="312">
        <v>1</v>
      </c>
      <c r="DU3" s="312">
        <v>0</v>
      </c>
      <c r="DV3" s="312">
        <v>2</v>
      </c>
      <c r="DW3" s="312">
        <v>6.9</v>
      </c>
      <c r="DX3" s="312">
        <v>3.15</v>
      </c>
      <c r="DY3" s="312">
        <v>2.2400000000000002</v>
      </c>
      <c r="DZ3" s="312">
        <v>28</v>
      </c>
      <c r="EA3" s="312">
        <v>6</v>
      </c>
      <c r="EB3" s="312">
        <v>77</v>
      </c>
      <c r="EC3" s="312">
        <v>44</v>
      </c>
      <c r="ED3" s="312">
        <v>0.1</v>
      </c>
      <c r="EE3" s="312">
        <v>1983</v>
      </c>
      <c r="EF3" s="312">
        <v>1792</v>
      </c>
      <c r="EG3" s="312">
        <v>50</v>
      </c>
      <c r="EH3" s="312">
        <v>232</v>
      </c>
      <c r="EI3" s="312">
        <v>11</v>
      </c>
      <c r="EJ3" s="312">
        <v>64</v>
      </c>
      <c r="EK3" s="312">
        <v>22</v>
      </c>
      <c r="EL3" s="312">
        <v>328</v>
      </c>
      <c r="EM3" s="312">
        <v>80</v>
      </c>
      <c r="EN3" s="312">
        <v>85</v>
      </c>
      <c r="EO3" s="312">
        <v>52</v>
      </c>
      <c r="EP3" s="312">
        <v>5</v>
      </c>
      <c r="EQ3" s="312">
        <v>26</v>
      </c>
      <c r="ER3" s="312">
        <v>104</v>
      </c>
      <c r="ES3" s="312">
        <v>21</v>
      </c>
      <c r="ET3" s="312">
        <v>38</v>
      </c>
      <c r="EU3" s="312">
        <v>8.9</v>
      </c>
      <c r="EV3" s="312">
        <v>1.6</v>
      </c>
      <c r="EW3" s="312">
        <v>33</v>
      </c>
      <c r="EX3" s="312">
        <v>3</v>
      </c>
      <c r="EY3" s="312">
        <v>2</v>
      </c>
      <c r="EZ3" s="312">
        <v>1</v>
      </c>
      <c r="FA3" s="312">
        <v>0</v>
      </c>
      <c r="FB3" s="312" t="s">
        <v>664</v>
      </c>
      <c r="FC3" s="345">
        <v>6.85</v>
      </c>
    </row>
    <row r="4" spans="1:159" ht="24.95" customHeight="1" thickBot="1" x14ac:dyDescent="0.3">
      <c r="A4" s="29" t="str">
        <f t="shared" si="0"/>
        <v>3º</v>
      </c>
      <c r="B4" s="69" t="str">
        <f t="shared" si="1"/>
        <v>Everton Ribeiro</v>
      </c>
      <c r="C4" s="86" t="str">
        <f t="shared" si="2"/>
        <v>BRA</v>
      </c>
      <c r="D4" s="99" t="str">
        <f t="shared" si="3"/>
        <v>Somente Pé Esquerdo</v>
      </c>
      <c r="E4" s="28" t="str">
        <f t="shared" si="4"/>
        <v>Bahia</v>
      </c>
      <c r="F4" s="168">
        <f t="shared" si="5"/>
        <v>1.71</v>
      </c>
      <c r="G4" s="36">
        <f t="shared" si="6"/>
        <v>37</v>
      </c>
      <c r="H4" s="347" t="str">
        <f t="shared" si="7"/>
        <v>244m € p/m</v>
      </c>
      <c r="I4" s="35">
        <f t="shared" si="8"/>
        <v>46387</v>
      </c>
      <c r="J4" s="28" t="str">
        <f t="shared" si="9"/>
        <v>6m € - 22m €</v>
      </c>
      <c r="K4" s="96">
        <f t="shared" si="10"/>
        <v>36.659999999999997</v>
      </c>
      <c r="L4" s="146">
        <f t="shared" si="11"/>
        <v>45.355555555555554</v>
      </c>
      <c r="M4" s="146">
        <f t="shared" si="12"/>
        <v>56</v>
      </c>
      <c r="N4" s="146">
        <f t="shared" si="13"/>
        <v>72.892857142857139</v>
      </c>
      <c r="O4" s="187">
        <f t="shared" si="14"/>
        <v>1</v>
      </c>
      <c r="P4" s="6">
        <f t="shared" si="15"/>
        <v>0</v>
      </c>
      <c r="Q4" s="6">
        <f t="shared" si="16"/>
        <v>0</v>
      </c>
      <c r="R4" s="6">
        <f t="shared" si="17"/>
        <v>0</v>
      </c>
      <c r="S4" s="21">
        <f t="shared" si="18"/>
        <v>9.9999999999999995E-8</v>
      </c>
      <c r="T4" s="2">
        <f t="shared" si="19"/>
        <v>13</v>
      </c>
      <c r="U4" s="2">
        <f t="shared" si="20"/>
        <v>7</v>
      </c>
      <c r="V4" s="6">
        <f t="shared" si="21"/>
        <v>20</v>
      </c>
      <c r="W4" s="211">
        <f t="shared" si="22"/>
        <v>149</v>
      </c>
      <c r="X4" s="5">
        <f t="shared" si="23"/>
        <v>3.2851543361097502</v>
      </c>
      <c r="Y4" s="6">
        <f t="shared" si="24"/>
        <v>111</v>
      </c>
      <c r="Z4" s="5">
        <f t="shared" si="25"/>
        <v>2.4473297403233709</v>
      </c>
      <c r="AA4" s="6">
        <f t="shared" si="26"/>
        <v>57</v>
      </c>
      <c r="AB4" s="5">
        <f t="shared" si="27"/>
        <v>1.2567368936795689</v>
      </c>
      <c r="AC4" s="21">
        <f t="shared" si="28"/>
        <v>0.51351351351351349</v>
      </c>
      <c r="AD4" s="337">
        <f t="shared" si="29"/>
        <v>0.11711711711711711</v>
      </c>
      <c r="AE4" s="5">
        <f t="shared" si="30"/>
        <v>10.38</v>
      </c>
      <c r="AF4" s="5">
        <f t="shared" si="31"/>
        <v>0.22885840274375308</v>
      </c>
      <c r="AG4" s="5">
        <f t="shared" si="32"/>
        <v>10.38</v>
      </c>
      <c r="AH4" s="5">
        <f t="shared" si="33"/>
        <v>0.22885840274375308</v>
      </c>
      <c r="AI4" s="5">
        <f t="shared" si="34"/>
        <v>6.28</v>
      </c>
      <c r="AJ4" s="5">
        <f t="shared" si="35"/>
        <v>0.13846153846153847</v>
      </c>
      <c r="AK4" s="5">
        <f t="shared" si="36"/>
        <v>16.66</v>
      </c>
      <c r="AL4" s="5">
        <f t="shared" si="37"/>
        <v>0.36731994120529154</v>
      </c>
      <c r="AM4" s="2">
        <f t="shared" si="38"/>
        <v>3</v>
      </c>
      <c r="AN4" s="5">
        <f t="shared" si="39"/>
        <v>1360.6666666666667</v>
      </c>
      <c r="AO4" s="21">
        <f t="shared" si="40"/>
        <v>6.6144047035766776E-2</v>
      </c>
      <c r="AP4" s="6">
        <f t="shared" si="41"/>
        <v>98</v>
      </c>
      <c r="AQ4" s="5">
        <f t="shared" si="42"/>
        <v>2.1607055365017147</v>
      </c>
      <c r="AR4" s="6">
        <f t="shared" si="43"/>
        <v>144</v>
      </c>
      <c r="AS4" s="5">
        <f t="shared" si="44"/>
        <v>3.1749142577168055</v>
      </c>
      <c r="AT4" s="6">
        <f t="shared" si="45"/>
        <v>51</v>
      </c>
      <c r="AU4" s="5">
        <f t="shared" si="46"/>
        <v>1.1244487996080352</v>
      </c>
      <c r="AV4" s="6">
        <f t="shared" si="47"/>
        <v>93</v>
      </c>
      <c r="AW4" s="5">
        <f t="shared" si="48"/>
        <v>2.0504654581087705</v>
      </c>
      <c r="AX4" s="20">
        <f t="shared" si="49"/>
        <v>0.35416666666666669</v>
      </c>
      <c r="AY4" s="2">
        <f t="shared" si="50"/>
        <v>67</v>
      </c>
      <c r="AZ4" s="5">
        <f t="shared" si="51"/>
        <v>1.4772170504654583</v>
      </c>
      <c r="BA4" s="2">
        <f t="shared" si="52"/>
        <v>61</v>
      </c>
      <c r="BB4" s="12">
        <f t="shared" si="53"/>
        <v>8.9552238805970144E-2</v>
      </c>
      <c r="BC4" s="6">
        <f t="shared" si="54"/>
        <v>406</v>
      </c>
      <c r="BD4" s="5">
        <f t="shared" si="55"/>
        <v>8.951494365507104</v>
      </c>
      <c r="BE4" s="6">
        <f t="shared" si="56"/>
        <v>79</v>
      </c>
      <c r="BF4" s="5">
        <f t="shared" si="57"/>
        <v>1.7417932386085253</v>
      </c>
      <c r="BG4" s="21">
        <f t="shared" si="58"/>
        <v>0.19458128078817735</v>
      </c>
      <c r="BH4" s="2">
        <f t="shared" si="59"/>
        <v>6</v>
      </c>
      <c r="BI4" s="2">
        <f t="shared" si="60"/>
        <v>0</v>
      </c>
      <c r="BJ4" s="2">
        <f t="shared" si="61"/>
        <v>6</v>
      </c>
      <c r="BK4" s="2">
        <f t="shared" si="62"/>
        <v>118</v>
      </c>
      <c r="BL4" s="2">
        <f t="shared" si="63"/>
        <v>51</v>
      </c>
      <c r="BM4" s="21">
        <f t="shared" si="64"/>
        <v>0.43220338983050849</v>
      </c>
      <c r="BN4" s="21">
        <f t="shared" si="65"/>
        <v>0.91044776119402981</v>
      </c>
      <c r="BO4" s="6">
        <f t="shared" si="66"/>
        <v>0</v>
      </c>
      <c r="BP4" s="5">
        <f t="shared" si="67"/>
        <v>0</v>
      </c>
      <c r="BQ4" s="181">
        <f t="shared" si="68"/>
        <v>254</v>
      </c>
      <c r="BR4" s="181">
        <f t="shared" si="69"/>
        <v>26</v>
      </c>
      <c r="BS4" s="182">
        <f t="shared" si="70"/>
        <v>0.10236220472440945</v>
      </c>
      <c r="BT4" s="6">
        <f t="shared" si="71"/>
        <v>2024</v>
      </c>
      <c r="BU4" s="6">
        <f t="shared" si="72"/>
        <v>1750</v>
      </c>
      <c r="BV4" s="5">
        <f t="shared" si="73"/>
        <v>32.54287114159726</v>
      </c>
      <c r="BW4" s="6">
        <f t="shared" si="74"/>
        <v>274</v>
      </c>
      <c r="BX4" s="21">
        <f t="shared" si="75"/>
        <v>0.86462450592885376</v>
      </c>
      <c r="BY4" s="6">
        <f t="shared" si="76"/>
        <v>106</v>
      </c>
      <c r="BZ4" s="5">
        <f t="shared" si="77"/>
        <v>2.3370896619304262</v>
      </c>
      <c r="CA4" s="6">
        <f t="shared" si="78"/>
        <v>25</v>
      </c>
      <c r="CB4" s="6">
        <f t="shared" si="79"/>
        <v>81</v>
      </c>
      <c r="CC4" s="20">
        <f t="shared" si="80"/>
        <v>0.23584905660377359</v>
      </c>
      <c r="CD4" s="5">
        <f t="shared" si="81"/>
        <v>56.376776090151886</v>
      </c>
      <c r="CE4" s="6">
        <f t="shared" si="82"/>
        <v>3169.2799999999997</v>
      </c>
      <c r="CF4" s="5">
        <f t="shared" si="83"/>
        <v>69.87633512983831</v>
      </c>
      <c r="CG4" s="6">
        <f t="shared" si="84"/>
        <v>2054</v>
      </c>
      <c r="CH4" s="5">
        <f t="shared" si="85"/>
        <v>45.28662420382166</v>
      </c>
      <c r="CI4" s="21">
        <f t="shared" si="86"/>
        <v>0.64809672859450729</v>
      </c>
      <c r="CJ4" s="6">
        <f t="shared" si="87"/>
        <v>121.28</v>
      </c>
      <c r="CK4" s="5">
        <f t="shared" si="88"/>
        <v>2.6739833414992651</v>
      </c>
      <c r="CL4" s="6">
        <f t="shared" si="89"/>
        <v>80</v>
      </c>
      <c r="CM4" s="5">
        <f t="shared" si="90"/>
        <v>1.7638412542871142</v>
      </c>
      <c r="CN4" s="5">
        <f t="shared" si="91"/>
        <v>11.428571428571429</v>
      </c>
      <c r="CO4" s="21">
        <f t="shared" si="92"/>
        <v>8.7499999999999994E-2</v>
      </c>
      <c r="CP4" s="5">
        <f t="shared" si="93"/>
        <v>7.85E-2</v>
      </c>
      <c r="CQ4" s="334">
        <f t="shared" si="94"/>
        <v>7.85E-2</v>
      </c>
      <c r="CR4" s="6">
        <f t="shared" si="95"/>
        <v>139</v>
      </c>
      <c r="CS4" s="5">
        <f t="shared" si="96"/>
        <v>3.0646741793238608</v>
      </c>
      <c r="CT4" s="6">
        <f t="shared" si="97"/>
        <v>130</v>
      </c>
      <c r="CU4" s="5">
        <f t="shared" si="98"/>
        <v>2.8662420382165608</v>
      </c>
      <c r="CV4" s="6">
        <f t="shared" si="99"/>
        <v>348</v>
      </c>
      <c r="CW4" s="5">
        <f t="shared" si="100"/>
        <v>7.6727094561489464</v>
      </c>
      <c r="CX4" s="154">
        <f t="shared" si="101"/>
        <v>553.29999999999995</v>
      </c>
      <c r="CY4" s="5">
        <f t="shared" si="102"/>
        <v>12.199167074963253</v>
      </c>
      <c r="CZ4" s="183">
        <f t="shared" si="103"/>
        <v>328</v>
      </c>
      <c r="DA4" s="117">
        <f t="shared" si="104"/>
        <v>7.2317491425771685</v>
      </c>
      <c r="DB4" s="117">
        <f t="shared" si="105"/>
        <v>11.8</v>
      </c>
      <c r="DC4" s="117">
        <f t="shared" si="106"/>
        <v>6.79</v>
      </c>
      <c r="DD4" s="315" t="s">
        <v>654</v>
      </c>
      <c r="DE4" s="312" t="s">
        <v>13</v>
      </c>
      <c r="DF4" s="312" t="s">
        <v>655</v>
      </c>
      <c r="DG4" s="312">
        <v>37</v>
      </c>
      <c r="DH4" s="312" t="s">
        <v>580</v>
      </c>
      <c r="DI4" s="312" t="s">
        <v>783</v>
      </c>
      <c r="DJ4" s="312" t="s">
        <v>650</v>
      </c>
      <c r="DK4" s="312" t="s">
        <v>657</v>
      </c>
      <c r="DL4" s="312" t="s">
        <v>658</v>
      </c>
      <c r="DM4" s="317">
        <v>46387</v>
      </c>
      <c r="DN4" s="312">
        <v>4082</v>
      </c>
      <c r="DO4" s="312" t="s">
        <v>702</v>
      </c>
      <c r="DP4" s="312">
        <v>3</v>
      </c>
      <c r="DQ4" s="312">
        <v>0</v>
      </c>
      <c r="DR4" s="312">
        <v>13</v>
      </c>
      <c r="DS4" s="312">
        <v>7</v>
      </c>
      <c r="DT4" s="312">
        <v>6</v>
      </c>
      <c r="DU4" s="312">
        <v>0</v>
      </c>
      <c r="DV4" s="312">
        <v>9</v>
      </c>
      <c r="DW4" s="312">
        <v>11.8</v>
      </c>
      <c r="DX4" s="312">
        <v>10.38</v>
      </c>
      <c r="DY4" s="312">
        <v>6.28</v>
      </c>
      <c r="DZ4" s="312">
        <v>67</v>
      </c>
      <c r="EA4" s="312">
        <v>47</v>
      </c>
      <c r="EB4" s="312">
        <v>106</v>
      </c>
      <c r="EC4" s="312">
        <v>25</v>
      </c>
      <c r="ED4" s="312">
        <v>0</v>
      </c>
      <c r="EE4" s="312">
        <v>2024</v>
      </c>
      <c r="EF4" s="312">
        <v>1750</v>
      </c>
      <c r="EG4" s="312">
        <v>80</v>
      </c>
      <c r="EH4" s="312">
        <v>183</v>
      </c>
      <c r="EI4" s="312">
        <v>122</v>
      </c>
      <c r="EJ4" s="312">
        <v>111</v>
      </c>
      <c r="EK4" s="312">
        <v>57</v>
      </c>
      <c r="EL4" s="312">
        <v>406</v>
      </c>
      <c r="EM4" s="312">
        <v>79</v>
      </c>
      <c r="EN4" s="312">
        <v>77</v>
      </c>
      <c r="EO4" s="312">
        <v>51</v>
      </c>
      <c r="EP4" s="312">
        <v>0</v>
      </c>
      <c r="EQ4" s="312">
        <v>14</v>
      </c>
      <c r="ER4" s="312">
        <v>98</v>
      </c>
      <c r="ES4" s="312">
        <v>6</v>
      </c>
      <c r="ET4" s="312">
        <v>21</v>
      </c>
      <c r="EU4" s="312">
        <v>6</v>
      </c>
      <c r="EV4" s="312">
        <v>1.1000000000000001</v>
      </c>
      <c r="EW4" s="312">
        <v>254</v>
      </c>
      <c r="EX4" s="312">
        <v>26</v>
      </c>
      <c r="EY4" s="312">
        <v>4</v>
      </c>
      <c r="EZ4" s="312">
        <v>0</v>
      </c>
      <c r="FA4" s="312">
        <v>0</v>
      </c>
      <c r="FB4" s="312" t="s">
        <v>656</v>
      </c>
      <c r="FC4" s="345">
        <v>6.79</v>
      </c>
    </row>
    <row r="5" spans="1:159" ht="24.95" customHeight="1" thickBot="1" x14ac:dyDescent="0.3">
      <c r="A5" s="29" t="str">
        <f t="shared" si="0"/>
        <v>4º</v>
      </c>
      <c r="B5" s="69" t="str">
        <f t="shared" si="1"/>
        <v>Israel Poblete</v>
      </c>
      <c r="C5" s="86" t="str">
        <f t="shared" si="2"/>
        <v>CHI</v>
      </c>
      <c r="D5" s="99" t="str">
        <f t="shared" si="3"/>
        <v>Pé Direito</v>
      </c>
      <c r="E5" s="28" t="str">
        <f t="shared" si="4"/>
        <v>Universidad de Chile</v>
      </c>
      <c r="F5" s="168">
        <f t="shared" si="5"/>
        <v>1.73</v>
      </c>
      <c r="G5" s="36">
        <f t="shared" si="6"/>
        <v>31</v>
      </c>
      <c r="H5" s="347" t="str">
        <f t="shared" si="7"/>
        <v>14,25m € p/m</v>
      </c>
      <c r="I5" s="35">
        <f t="shared" si="8"/>
        <v>47118</v>
      </c>
      <c r="J5" s="28" t="str">
        <f t="shared" si="9"/>
        <v>Não está à venda</v>
      </c>
      <c r="K5" s="96">
        <f t="shared" si="10"/>
        <v>36.659999999999997</v>
      </c>
      <c r="L5" s="146">
        <f t="shared" si="11"/>
        <v>36.577777777777776</v>
      </c>
      <c r="M5" s="146">
        <f t="shared" si="12"/>
        <v>37</v>
      </c>
      <c r="N5" s="146">
        <f t="shared" si="13"/>
        <v>88.972972972972968</v>
      </c>
      <c r="O5" s="187">
        <f t="shared" si="14"/>
        <v>1</v>
      </c>
      <c r="P5" s="6">
        <f t="shared" si="15"/>
        <v>0</v>
      </c>
      <c r="Q5" s="6">
        <f t="shared" si="16"/>
        <v>0</v>
      </c>
      <c r="R5" s="6">
        <f t="shared" si="17"/>
        <v>0</v>
      </c>
      <c r="S5" s="21">
        <f t="shared" si="18"/>
        <v>9.9999999999999995E-8</v>
      </c>
      <c r="T5" s="2">
        <f t="shared" si="19"/>
        <v>7</v>
      </c>
      <c r="U5" s="2">
        <f t="shared" si="20"/>
        <v>9</v>
      </c>
      <c r="V5" s="6">
        <f t="shared" si="21"/>
        <v>16</v>
      </c>
      <c r="W5" s="211">
        <f t="shared" si="22"/>
        <v>136</v>
      </c>
      <c r="X5" s="5">
        <f t="shared" si="23"/>
        <v>3.7181044957472662</v>
      </c>
      <c r="Y5" s="6">
        <f t="shared" si="24"/>
        <v>83</v>
      </c>
      <c r="Z5" s="5">
        <f t="shared" si="25"/>
        <v>2.2691373025516404</v>
      </c>
      <c r="AA5" s="6">
        <f t="shared" si="26"/>
        <v>22</v>
      </c>
      <c r="AB5" s="5">
        <f t="shared" si="27"/>
        <v>0.60145808019441072</v>
      </c>
      <c r="AC5" s="21">
        <f t="shared" si="28"/>
        <v>0.26506024096385544</v>
      </c>
      <c r="AD5" s="337">
        <f t="shared" si="29"/>
        <v>8.4337349397590355E-2</v>
      </c>
      <c r="AE5" s="5">
        <f t="shared" si="30"/>
        <v>9.39</v>
      </c>
      <c r="AF5" s="5">
        <f t="shared" si="31"/>
        <v>0.25671324422843261</v>
      </c>
      <c r="AG5" s="5">
        <f t="shared" si="32"/>
        <v>9.39</v>
      </c>
      <c r="AH5" s="5">
        <f t="shared" si="33"/>
        <v>0.25671324422843261</v>
      </c>
      <c r="AI5" s="5">
        <f t="shared" si="34"/>
        <v>5.85</v>
      </c>
      <c r="AJ5" s="5">
        <f t="shared" si="35"/>
        <v>0.15993317132442283</v>
      </c>
      <c r="AK5" s="5">
        <f t="shared" si="36"/>
        <v>15.24</v>
      </c>
      <c r="AL5" s="5">
        <f t="shared" si="37"/>
        <v>0.41664641555285542</v>
      </c>
      <c r="AM5" s="2">
        <f t="shared" si="38"/>
        <v>3</v>
      </c>
      <c r="AN5" s="5">
        <f t="shared" si="39"/>
        <v>1097.3333333333333</v>
      </c>
      <c r="AO5" s="21">
        <f t="shared" si="40"/>
        <v>8.2017010935601459E-2</v>
      </c>
      <c r="AP5" s="6">
        <f t="shared" si="41"/>
        <v>86</v>
      </c>
      <c r="AQ5" s="5">
        <f t="shared" si="42"/>
        <v>2.3511543134872421</v>
      </c>
      <c r="AR5" s="6">
        <f t="shared" si="43"/>
        <v>106</v>
      </c>
      <c r="AS5" s="5">
        <f t="shared" si="44"/>
        <v>2.8979343863912517</v>
      </c>
      <c r="AT5" s="6">
        <f t="shared" si="45"/>
        <v>48</v>
      </c>
      <c r="AU5" s="5">
        <f t="shared" si="46"/>
        <v>1.3122721749696233</v>
      </c>
      <c r="AV5" s="6">
        <f t="shared" si="47"/>
        <v>58</v>
      </c>
      <c r="AW5" s="5">
        <f t="shared" si="48"/>
        <v>1.5856622114216283</v>
      </c>
      <c r="AX5" s="20">
        <f t="shared" si="49"/>
        <v>0.45283018867924529</v>
      </c>
      <c r="AY5" s="2">
        <f t="shared" si="50"/>
        <v>41</v>
      </c>
      <c r="AZ5" s="5">
        <f t="shared" si="51"/>
        <v>1.1208991494532199</v>
      </c>
      <c r="BA5" s="2">
        <f t="shared" si="52"/>
        <v>40</v>
      </c>
      <c r="BB5" s="12">
        <f t="shared" si="53"/>
        <v>2.4390243902439025E-2</v>
      </c>
      <c r="BC5" s="6">
        <f t="shared" si="54"/>
        <v>338</v>
      </c>
      <c r="BD5" s="5">
        <f t="shared" si="55"/>
        <v>9.2405832320777641</v>
      </c>
      <c r="BE5" s="6">
        <f t="shared" si="56"/>
        <v>73</v>
      </c>
      <c r="BF5" s="5">
        <f t="shared" si="57"/>
        <v>1.9957472660996356</v>
      </c>
      <c r="BG5" s="21">
        <f t="shared" si="58"/>
        <v>0.21597633136094674</v>
      </c>
      <c r="BH5" s="2">
        <f t="shared" si="59"/>
        <v>1</v>
      </c>
      <c r="BI5" s="2">
        <f t="shared" si="60"/>
        <v>0</v>
      </c>
      <c r="BJ5" s="2">
        <f t="shared" si="61"/>
        <v>1</v>
      </c>
      <c r="BK5" s="2">
        <f t="shared" si="62"/>
        <v>91</v>
      </c>
      <c r="BL5" s="2">
        <f t="shared" si="63"/>
        <v>50</v>
      </c>
      <c r="BM5" s="21">
        <f t="shared" si="64"/>
        <v>0.5494505494505495</v>
      </c>
      <c r="BN5" s="21">
        <f t="shared" si="65"/>
        <v>0.97560975609756095</v>
      </c>
      <c r="BO5" s="6">
        <f t="shared" si="66"/>
        <v>2</v>
      </c>
      <c r="BP5" s="5">
        <f t="shared" si="67"/>
        <v>5.4678007290400975E-2</v>
      </c>
      <c r="BQ5" s="181">
        <f t="shared" si="68"/>
        <v>117</v>
      </c>
      <c r="BR5" s="181">
        <f t="shared" si="69"/>
        <v>24</v>
      </c>
      <c r="BS5" s="182">
        <f t="shared" si="70"/>
        <v>0.20512820512820512</v>
      </c>
      <c r="BT5" s="6">
        <f t="shared" si="71"/>
        <v>1613</v>
      </c>
      <c r="BU5" s="6">
        <f t="shared" si="72"/>
        <v>1445</v>
      </c>
      <c r="BV5" s="5">
        <f t="shared" si="73"/>
        <v>34.911907654921023</v>
      </c>
      <c r="BW5" s="6">
        <f t="shared" si="74"/>
        <v>168</v>
      </c>
      <c r="BX5" s="21">
        <f t="shared" si="75"/>
        <v>0.89584624922504652</v>
      </c>
      <c r="BY5" s="6">
        <f t="shared" si="76"/>
        <v>135</v>
      </c>
      <c r="BZ5" s="5">
        <f t="shared" si="77"/>
        <v>3.6907654921020656</v>
      </c>
      <c r="CA5" s="6">
        <f t="shared" si="78"/>
        <v>23</v>
      </c>
      <c r="CB5" s="6">
        <f t="shared" si="79"/>
        <v>112</v>
      </c>
      <c r="CC5" s="20">
        <f t="shared" si="80"/>
        <v>0.17037037037037037</v>
      </c>
      <c r="CD5" s="5">
        <f t="shared" si="81"/>
        <v>57.329890643985422</v>
      </c>
      <c r="CE5" s="6">
        <f t="shared" si="82"/>
        <v>2488.85</v>
      </c>
      <c r="CF5" s="5">
        <f t="shared" si="83"/>
        <v>68.042679222357236</v>
      </c>
      <c r="CG5" s="6">
        <f t="shared" si="84"/>
        <v>1695.25</v>
      </c>
      <c r="CH5" s="5">
        <f t="shared" si="85"/>
        <v>46.346445929526126</v>
      </c>
      <c r="CI5" s="21">
        <f t="shared" si="86"/>
        <v>0.68113787492215283</v>
      </c>
      <c r="CJ5" s="6">
        <f t="shared" si="87"/>
        <v>79.849999999999994</v>
      </c>
      <c r="CK5" s="5">
        <f t="shared" si="88"/>
        <v>2.1830194410692587</v>
      </c>
      <c r="CL5" s="6">
        <f t="shared" si="89"/>
        <v>40</v>
      </c>
      <c r="CM5" s="5">
        <f t="shared" si="90"/>
        <v>1.0935601458080195</v>
      </c>
      <c r="CN5" s="5">
        <f t="shared" si="91"/>
        <v>4.4444444444444446</v>
      </c>
      <c r="CO5" s="21">
        <f t="shared" si="92"/>
        <v>0.22500000000000001</v>
      </c>
      <c r="CP5" s="5">
        <f t="shared" si="93"/>
        <v>0.14624999999999999</v>
      </c>
      <c r="CQ5" s="334">
        <f t="shared" si="94"/>
        <v>0.14624999999999999</v>
      </c>
      <c r="CR5" s="6">
        <f t="shared" si="95"/>
        <v>123</v>
      </c>
      <c r="CS5" s="5">
        <f t="shared" si="96"/>
        <v>3.3626974483596599</v>
      </c>
      <c r="CT5" s="6">
        <f t="shared" si="97"/>
        <v>122</v>
      </c>
      <c r="CU5" s="5">
        <f t="shared" si="98"/>
        <v>3.3353584447144593</v>
      </c>
      <c r="CV5" s="6">
        <f t="shared" si="99"/>
        <v>275</v>
      </c>
      <c r="CW5" s="5">
        <f t="shared" si="100"/>
        <v>7.5182260024301337</v>
      </c>
      <c r="CX5" s="154">
        <f t="shared" si="101"/>
        <v>425.9</v>
      </c>
      <c r="CY5" s="5">
        <f t="shared" si="102"/>
        <v>11.643681652490887</v>
      </c>
      <c r="CZ5" s="183">
        <f t="shared" si="103"/>
        <v>229</v>
      </c>
      <c r="DA5" s="117">
        <f t="shared" si="104"/>
        <v>6.260631834750912</v>
      </c>
      <c r="DB5" s="117">
        <f t="shared" si="105"/>
        <v>15.3</v>
      </c>
      <c r="DC5" s="117">
        <f t="shared" si="106"/>
        <v>7.11</v>
      </c>
      <c r="DD5" s="315"/>
      <c r="DE5" s="312" t="s">
        <v>482</v>
      </c>
      <c r="DF5" s="312" t="s">
        <v>796</v>
      </c>
      <c r="DG5" s="312">
        <v>31</v>
      </c>
      <c r="DH5" s="312" t="s">
        <v>768</v>
      </c>
      <c r="DI5" s="312" t="s">
        <v>775</v>
      </c>
      <c r="DJ5" s="312" t="s">
        <v>644</v>
      </c>
      <c r="DK5" s="312" t="s">
        <v>413</v>
      </c>
      <c r="DL5" s="312" t="s">
        <v>772</v>
      </c>
      <c r="DM5" s="317">
        <v>47118</v>
      </c>
      <c r="DN5" s="312">
        <v>3292</v>
      </c>
      <c r="DO5" s="312">
        <v>37</v>
      </c>
      <c r="DP5" s="312">
        <v>3</v>
      </c>
      <c r="DQ5" s="312">
        <v>0</v>
      </c>
      <c r="DR5" s="312">
        <v>7</v>
      </c>
      <c r="DS5" s="312">
        <v>9</v>
      </c>
      <c r="DT5" s="312">
        <v>1</v>
      </c>
      <c r="DU5" s="312">
        <v>0</v>
      </c>
      <c r="DV5" s="312">
        <v>10</v>
      </c>
      <c r="DW5" s="312">
        <v>15.3</v>
      </c>
      <c r="DX5" s="312">
        <v>9.39</v>
      </c>
      <c r="DY5" s="312">
        <v>5.85</v>
      </c>
      <c r="DZ5" s="312">
        <v>41</v>
      </c>
      <c r="EA5" s="312">
        <v>29</v>
      </c>
      <c r="EB5" s="312">
        <v>135</v>
      </c>
      <c r="EC5" s="312">
        <v>23</v>
      </c>
      <c r="ED5" s="312">
        <v>0.1</v>
      </c>
      <c r="EE5" s="312">
        <v>1613</v>
      </c>
      <c r="EF5" s="312">
        <v>1445</v>
      </c>
      <c r="EG5" s="312">
        <v>40</v>
      </c>
      <c r="EH5" s="312">
        <v>107</v>
      </c>
      <c r="EI5" s="312">
        <v>118</v>
      </c>
      <c r="EJ5" s="312">
        <v>83</v>
      </c>
      <c r="EK5" s="312">
        <v>22</v>
      </c>
      <c r="EL5" s="312">
        <v>338</v>
      </c>
      <c r="EM5" s="312">
        <v>73</v>
      </c>
      <c r="EN5" s="312">
        <v>65</v>
      </c>
      <c r="EO5" s="312">
        <v>48</v>
      </c>
      <c r="EP5" s="312">
        <v>2</v>
      </c>
      <c r="EQ5" s="312">
        <v>16</v>
      </c>
      <c r="ER5" s="312">
        <v>86</v>
      </c>
      <c r="ES5" s="312">
        <v>0</v>
      </c>
      <c r="ET5" s="312">
        <v>20</v>
      </c>
      <c r="EU5" s="312">
        <v>7.3</v>
      </c>
      <c r="EV5" s="312">
        <v>0.7</v>
      </c>
      <c r="EW5" s="312">
        <v>117</v>
      </c>
      <c r="EX5" s="312">
        <v>24</v>
      </c>
      <c r="EY5" s="312">
        <v>0</v>
      </c>
      <c r="EZ5" s="312">
        <v>0</v>
      </c>
      <c r="FA5" s="312">
        <v>0</v>
      </c>
      <c r="FB5" s="312" t="s">
        <v>797</v>
      </c>
      <c r="FC5" s="345">
        <v>7.11</v>
      </c>
    </row>
    <row r="6" spans="1:159" ht="24.95" customHeight="1" thickBot="1" x14ac:dyDescent="0.3">
      <c r="A6" s="29" t="str">
        <f t="shared" si="0"/>
        <v>5º</v>
      </c>
      <c r="B6" s="69" t="str">
        <f t="shared" si="1"/>
        <v>Josué</v>
      </c>
      <c r="C6" s="86" t="str">
        <f t="shared" si="2"/>
        <v>POR</v>
      </c>
      <c r="D6" s="99" t="str">
        <f t="shared" si="3"/>
        <v>Somente Pé Esquerdo</v>
      </c>
      <c r="E6" s="28" t="str">
        <f t="shared" si="4"/>
        <v>Coritiba</v>
      </c>
      <c r="F6" s="168">
        <f t="shared" si="5"/>
        <v>1.75</v>
      </c>
      <c r="G6" s="36">
        <f t="shared" si="6"/>
        <v>36</v>
      </c>
      <c r="H6" s="347" t="str">
        <f t="shared" si="7"/>
        <v>32m € p/m</v>
      </c>
      <c r="I6" s="35">
        <f t="shared" si="8"/>
        <v>46387</v>
      </c>
      <c r="J6" s="28" t="str">
        <f t="shared" si="9"/>
        <v>10m € - 110m €</v>
      </c>
      <c r="K6" s="96">
        <f t="shared" si="10"/>
        <v>36.659999999999997</v>
      </c>
      <c r="L6" s="146">
        <f t="shared" si="11"/>
        <v>38.922222222222224</v>
      </c>
      <c r="M6" s="146">
        <f t="shared" si="12"/>
        <v>45</v>
      </c>
      <c r="N6" s="146">
        <f t="shared" si="13"/>
        <v>77.844444444444449</v>
      </c>
      <c r="O6" s="187">
        <f t="shared" si="14"/>
        <v>1</v>
      </c>
      <c r="P6" s="6">
        <f t="shared" si="15"/>
        <v>3</v>
      </c>
      <c r="Q6" s="6">
        <f t="shared" si="16"/>
        <v>3</v>
      </c>
      <c r="R6" s="6">
        <f t="shared" si="17"/>
        <v>0</v>
      </c>
      <c r="S6" s="21">
        <f t="shared" si="18"/>
        <v>1</v>
      </c>
      <c r="T6" s="2">
        <f t="shared" si="19"/>
        <v>9</v>
      </c>
      <c r="U6" s="2">
        <f t="shared" si="20"/>
        <v>7</v>
      </c>
      <c r="V6" s="6">
        <f t="shared" si="21"/>
        <v>16</v>
      </c>
      <c r="W6" s="211">
        <f t="shared" si="22"/>
        <v>83</v>
      </c>
      <c r="X6" s="5">
        <f t="shared" si="23"/>
        <v>2.1324578932343705</v>
      </c>
      <c r="Y6" s="6">
        <f t="shared" si="24"/>
        <v>74</v>
      </c>
      <c r="Z6" s="5">
        <f t="shared" si="25"/>
        <v>1.9012275192691976</v>
      </c>
      <c r="AA6" s="6">
        <f t="shared" si="26"/>
        <v>30</v>
      </c>
      <c r="AB6" s="5">
        <f t="shared" si="27"/>
        <v>0.77076791321724236</v>
      </c>
      <c r="AC6" s="21">
        <f t="shared" si="28"/>
        <v>0.40540540540540543</v>
      </c>
      <c r="AD6" s="337">
        <f t="shared" si="29"/>
        <v>0.11688311688311688</v>
      </c>
      <c r="AE6" s="5">
        <f t="shared" si="30"/>
        <v>8.82</v>
      </c>
      <c r="AF6" s="5">
        <f t="shared" si="31"/>
        <v>0.22660576648586925</v>
      </c>
      <c r="AG6" s="5">
        <f t="shared" si="32"/>
        <v>6.45</v>
      </c>
      <c r="AH6" s="5">
        <f t="shared" si="33"/>
        <v>0.16571510134170711</v>
      </c>
      <c r="AI6" s="5">
        <f t="shared" si="34"/>
        <v>7.73</v>
      </c>
      <c r="AJ6" s="5">
        <f t="shared" si="35"/>
        <v>0.19860119897230946</v>
      </c>
      <c r="AK6" s="5">
        <f t="shared" si="36"/>
        <v>14.18</v>
      </c>
      <c r="AL6" s="5">
        <f t="shared" si="37"/>
        <v>0.36431630031401652</v>
      </c>
      <c r="AM6" s="2">
        <f t="shared" si="38"/>
        <v>1</v>
      </c>
      <c r="AN6" s="5">
        <f t="shared" si="39"/>
        <v>3503</v>
      </c>
      <c r="AO6" s="21">
        <f t="shared" si="40"/>
        <v>2.5692263773908076E-2</v>
      </c>
      <c r="AP6" s="6">
        <f t="shared" si="41"/>
        <v>69</v>
      </c>
      <c r="AQ6" s="5">
        <f t="shared" si="42"/>
        <v>1.7727662003996574</v>
      </c>
      <c r="AR6" s="6">
        <f t="shared" si="43"/>
        <v>49</v>
      </c>
      <c r="AS6" s="5">
        <f t="shared" si="44"/>
        <v>1.2589209249214959</v>
      </c>
      <c r="AT6" s="6">
        <f t="shared" si="45"/>
        <v>13</v>
      </c>
      <c r="AU6" s="5">
        <f t="shared" si="46"/>
        <v>0.33399942906080499</v>
      </c>
      <c r="AV6" s="6">
        <f t="shared" si="47"/>
        <v>36</v>
      </c>
      <c r="AW6" s="5">
        <f t="shared" si="48"/>
        <v>0.92492149586069083</v>
      </c>
      <c r="AX6" s="20">
        <f t="shared" si="49"/>
        <v>0.26530612244897961</v>
      </c>
      <c r="AY6" s="2">
        <f t="shared" si="50"/>
        <v>25</v>
      </c>
      <c r="AZ6" s="5">
        <f t="shared" si="51"/>
        <v>0.64230659434770199</v>
      </c>
      <c r="BA6" s="2">
        <f t="shared" si="52"/>
        <v>24</v>
      </c>
      <c r="BB6" s="12">
        <f t="shared" si="53"/>
        <v>0.04</v>
      </c>
      <c r="BC6" s="6">
        <f t="shared" si="54"/>
        <v>153</v>
      </c>
      <c r="BD6" s="5">
        <f t="shared" si="55"/>
        <v>3.930916357407936</v>
      </c>
      <c r="BE6" s="6">
        <f t="shared" si="56"/>
        <v>32</v>
      </c>
      <c r="BF6" s="5">
        <f t="shared" si="57"/>
        <v>0.82215244076505845</v>
      </c>
      <c r="BG6" s="21">
        <f t="shared" si="58"/>
        <v>0.20915032679738563</v>
      </c>
      <c r="BH6" s="2">
        <f t="shared" si="59"/>
        <v>1</v>
      </c>
      <c r="BI6" s="2">
        <f t="shared" si="60"/>
        <v>0</v>
      </c>
      <c r="BJ6" s="2">
        <f t="shared" si="61"/>
        <v>1</v>
      </c>
      <c r="BK6" s="2">
        <f t="shared" si="62"/>
        <v>39</v>
      </c>
      <c r="BL6" s="2">
        <f t="shared" si="63"/>
        <v>14</v>
      </c>
      <c r="BM6" s="21">
        <f t="shared" si="64"/>
        <v>0.35897435897435898</v>
      </c>
      <c r="BN6" s="21">
        <f t="shared" si="65"/>
        <v>0.96</v>
      </c>
      <c r="BO6" s="6">
        <f t="shared" si="66"/>
        <v>1</v>
      </c>
      <c r="BP6" s="5">
        <f t="shared" si="67"/>
        <v>2.5692263773908076E-2</v>
      </c>
      <c r="BQ6" s="181">
        <f t="shared" si="68"/>
        <v>199</v>
      </c>
      <c r="BR6" s="181">
        <f t="shared" si="69"/>
        <v>32</v>
      </c>
      <c r="BS6" s="182">
        <f t="shared" si="70"/>
        <v>0.16080402010050251</v>
      </c>
      <c r="BT6" s="6">
        <f t="shared" si="71"/>
        <v>1862</v>
      </c>
      <c r="BU6" s="6">
        <f t="shared" si="72"/>
        <v>1685</v>
      </c>
      <c r="BV6" s="5">
        <f t="shared" si="73"/>
        <v>38.743933771053378</v>
      </c>
      <c r="BW6" s="6">
        <f t="shared" si="74"/>
        <v>177</v>
      </c>
      <c r="BX6" s="21">
        <f t="shared" si="75"/>
        <v>0.90494092373791624</v>
      </c>
      <c r="BY6" s="6">
        <f t="shared" si="76"/>
        <v>91</v>
      </c>
      <c r="BZ6" s="5">
        <f t="shared" si="77"/>
        <v>2.3379960034256349</v>
      </c>
      <c r="CA6" s="6">
        <f t="shared" si="78"/>
        <v>27</v>
      </c>
      <c r="CB6" s="6">
        <f t="shared" si="79"/>
        <v>64</v>
      </c>
      <c r="CC6" s="20">
        <f t="shared" si="80"/>
        <v>0.2967032967032967</v>
      </c>
      <c r="CD6" s="5">
        <f t="shared" si="81"/>
        <v>57.987439337710533</v>
      </c>
      <c r="CE6" s="6">
        <f t="shared" si="82"/>
        <v>2477.73</v>
      </c>
      <c r="CF6" s="5">
        <f t="shared" si="83"/>
        <v>63.65849272052526</v>
      </c>
      <c r="CG6" s="6">
        <f t="shared" si="84"/>
        <v>1848</v>
      </c>
      <c r="CH6" s="5">
        <f t="shared" si="85"/>
        <v>47.47930345418213</v>
      </c>
      <c r="CI6" s="21">
        <f t="shared" si="86"/>
        <v>0.74584397815742631</v>
      </c>
      <c r="CJ6" s="6">
        <f t="shared" si="87"/>
        <v>155.73000000000002</v>
      </c>
      <c r="CK6" s="5">
        <f t="shared" si="88"/>
        <v>4.0010562375107055</v>
      </c>
      <c r="CL6" s="6">
        <f t="shared" si="89"/>
        <v>97</v>
      </c>
      <c r="CM6" s="5">
        <f t="shared" si="90"/>
        <v>2.4921495860690834</v>
      </c>
      <c r="CN6" s="5">
        <f t="shared" si="91"/>
        <v>13.857142857142858</v>
      </c>
      <c r="CO6" s="21">
        <f t="shared" si="92"/>
        <v>7.2164948453608241E-2</v>
      </c>
      <c r="CP6" s="5">
        <f t="shared" si="93"/>
        <v>7.9690721649484542E-2</v>
      </c>
      <c r="CQ6" s="334">
        <f t="shared" si="94"/>
        <v>7.9690721649484542E-2</v>
      </c>
      <c r="CR6" s="6">
        <f t="shared" si="95"/>
        <v>95.5</v>
      </c>
      <c r="CS6" s="5">
        <f t="shared" si="96"/>
        <v>2.4536111904082212</v>
      </c>
      <c r="CT6" s="6">
        <f t="shared" si="97"/>
        <v>45.5</v>
      </c>
      <c r="CU6" s="5">
        <f t="shared" si="98"/>
        <v>1.1689980017128174</v>
      </c>
      <c r="CV6" s="6">
        <f t="shared" si="99"/>
        <v>285</v>
      </c>
      <c r="CW6" s="5">
        <f t="shared" si="100"/>
        <v>7.3222951755638022</v>
      </c>
      <c r="CX6" s="154">
        <f t="shared" si="101"/>
        <v>461</v>
      </c>
      <c r="CY6" s="5">
        <f t="shared" si="102"/>
        <v>11.844133599771624</v>
      </c>
      <c r="CZ6" s="183">
        <f t="shared" si="103"/>
        <v>221</v>
      </c>
      <c r="DA6" s="117">
        <f t="shared" si="104"/>
        <v>5.6779902940336848</v>
      </c>
      <c r="DB6" s="117">
        <f t="shared" si="105"/>
        <v>10.1</v>
      </c>
      <c r="DC6" s="117">
        <f t="shared" si="106"/>
        <v>6.86</v>
      </c>
      <c r="DD6" s="315"/>
      <c r="DE6" s="312" t="s">
        <v>789</v>
      </c>
      <c r="DF6" s="312" t="s">
        <v>790</v>
      </c>
      <c r="DG6" s="312">
        <v>36</v>
      </c>
      <c r="DH6" s="312" t="s">
        <v>659</v>
      </c>
      <c r="DI6" s="312" t="s">
        <v>588</v>
      </c>
      <c r="DJ6" s="312" t="s">
        <v>650</v>
      </c>
      <c r="DK6" s="312" t="s">
        <v>791</v>
      </c>
      <c r="DL6" s="312" t="s">
        <v>785</v>
      </c>
      <c r="DM6" s="317">
        <v>46387</v>
      </c>
      <c r="DN6" s="312">
        <v>3503</v>
      </c>
      <c r="DO6" s="312">
        <v>45</v>
      </c>
      <c r="DP6" s="312">
        <v>1</v>
      </c>
      <c r="DQ6" s="312">
        <v>1</v>
      </c>
      <c r="DR6" s="312">
        <v>9</v>
      </c>
      <c r="DS6" s="312">
        <v>7</v>
      </c>
      <c r="DT6" s="312">
        <v>1</v>
      </c>
      <c r="DU6" s="312">
        <v>0</v>
      </c>
      <c r="DV6" s="312">
        <v>19</v>
      </c>
      <c r="DW6" s="312">
        <v>10.1</v>
      </c>
      <c r="DX6" s="312">
        <v>8.82</v>
      </c>
      <c r="DY6" s="312">
        <v>7.73</v>
      </c>
      <c r="DZ6" s="312">
        <v>25</v>
      </c>
      <c r="EA6" s="312">
        <v>29</v>
      </c>
      <c r="EB6" s="312">
        <v>91</v>
      </c>
      <c r="EC6" s="312">
        <v>27</v>
      </c>
      <c r="ED6" s="312">
        <v>0.1</v>
      </c>
      <c r="EE6" s="312">
        <v>1862</v>
      </c>
      <c r="EF6" s="312">
        <v>1685</v>
      </c>
      <c r="EG6" s="312">
        <v>97</v>
      </c>
      <c r="EH6" s="312">
        <v>109</v>
      </c>
      <c r="EI6" s="312">
        <v>60</v>
      </c>
      <c r="EJ6" s="312">
        <v>77</v>
      </c>
      <c r="EK6" s="312">
        <v>33</v>
      </c>
      <c r="EL6" s="312">
        <v>153</v>
      </c>
      <c r="EM6" s="312">
        <v>32</v>
      </c>
      <c r="EN6" s="312">
        <v>24</v>
      </c>
      <c r="EO6" s="312">
        <v>13</v>
      </c>
      <c r="EP6" s="312">
        <v>1</v>
      </c>
      <c r="EQ6" s="312">
        <v>9</v>
      </c>
      <c r="ER6" s="312">
        <v>69</v>
      </c>
      <c r="ES6" s="312">
        <v>4</v>
      </c>
      <c r="ET6" s="312">
        <v>13</v>
      </c>
      <c r="EU6" s="312">
        <v>6.7</v>
      </c>
      <c r="EV6" s="312">
        <v>1.1000000000000001</v>
      </c>
      <c r="EW6" s="312">
        <v>199</v>
      </c>
      <c r="EX6" s="312">
        <v>32</v>
      </c>
      <c r="EY6" s="312">
        <v>13</v>
      </c>
      <c r="EZ6" s="312">
        <v>3</v>
      </c>
      <c r="FA6" s="312">
        <v>3</v>
      </c>
      <c r="FB6" s="312" t="s">
        <v>792</v>
      </c>
      <c r="FC6" s="345">
        <v>6.86</v>
      </c>
    </row>
    <row r="7" spans="1:159" ht="24.95" customHeight="1" thickBot="1" x14ac:dyDescent="0.3">
      <c r="A7" s="29" t="str">
        <f t="shared" si="0"/>
        <v>6º</v>
      </c>
      <c r="B7" s="69" t="str">
        <f t="shared" si="1"/>
        <v>Juan Camilo Pérez</v>
      </c>
      <c r="C7" s="86" t="str">
        <f t="shared" si="2"/>
        <v>VEN</v>
      </c>
      <c r="D7" s="99" t="str">
        <f t="shared" si="3"/>
        <v>Pé Esquerdo</v>
      </c>
      <c r="E7" s="28" t="str">
        <f t="shared" si="4"/>
        <v>Carabobo</v>
      </c>
      <c r="F7" s="168">
        <f t="shared" si="5"/>
        <v>1.72</v>
      </c>
      <c r="G7" s="36">
        <f t="shared" si="6"/>
        <v>27</v>
      </c>
      <c r="H7" s="347" t="str">
        <f t="shared" si="7"/>
        <v>2m € p/m</v>
      </c>
      <c r="I7" s="35">
        <f t="shared" si="8"/>
        <v>47118</v>
      </c>
      <c r="J7" s="28" t="str">
        <f t="shared" si="9"/>
        <v>80m € - 800m €</v>
      </c>
      <c r="K7" s="96">
        <f t="shared" si="10"/>
        <v>36.659999999999997</v>
      </c>
      <c r="L7" s="146">
        <f t="shared" si="11"/>
        <v>37.31111111111111</v>
      </c>
      <c r="M7" s="146">
        <f t="shared" si="12"/>
        <v>45</v>
      </c>
      <c r="N7" s="146">
        <f t="shared" si="13"/>
        <v>74.62222222222222</v>
      </c>
      <c r="O7" s="187">
        <f t="shared" si="14"/>
        <v>1</v>
      </c>
      <c r="P7" s="6">
        <f t="shared" si="15"/>
        <v>0</v>
      </c>
      <c r="Q7" s="6">
        <f t="shared" si="16"/>
        <v>0</v>
      </c>
      <c r="R7" s="6">
        <f t="shared" si="17"/>
        <v>0</v>
      </c>
      <c r="S7" s="21">
        <f t="shared" si="18"/>
        <v>9.9999999999999995E-8</v>
      </c>
      <c r="T7" s="2">
        <f t="shared" si="19"/>
        <v>8</v>
      </c>
      <c r="U7" s="2">
        <f t="shared" si="20"/>
        <v>5</v>
      </c>
      <c r="V7" s="6">
        <f t="shared" si="21"/>
        <v>13</v>
      </c>
      <c r="W7" s="211">
        <f t="shared" si="22"/>
        <v>71</v>
      </c>
      <c r="X7" s="5">
        <f t="shared" si="23"/>
        <v>1.9029184038117928</v>
      </c>
      <c r="Y7" s="6">
        <f t="shared" si="24"/>
        <v>72</v>
      </c>
      <c r="Z7" s="5">
        <f t="shared" si="25"/>
        <v>1.9297200714711138</v>
      </c>
      <c r="AA7" s="6">
        <f t="shared" si="26"/>
        <v>28</v>
      </c>
      <c r="AB7" s="5">
        <f t="shared" si="27"/>
        <v>0.75044669446098866</v>
      </c>
      <c r="AC7" s="21">
        <f t="shared" si="28"/>
        <v>0.3888888888888889</v>
      </c>
      <c r="AD7" s="337">
        <f t="shared" si="29"/>
        <v>0.1111111111111111</v>
      </c>
      <c r="AE7" s="5">
        <f t="shared" si="30"/>
        <v>9.43</v>
      </c>
      <c r="AF7" s="5">
        <f t="shared" si="31"/>
        <v>0.25273972602739725</v>
      </c>
      <c r="AG7" s="5">
        <f t="shared" si="32"/>
        <v>9.43</v>
      </c>
      <c r="AH7" s="5">
        <f t="shared" si="33"/>
        <v>0.25273972602739725</v>
      </c>
      <c r="AI7" s="5">
        <f t="shared" si="34"/>
        <v>8.27</v>
      </c>
      <c r="AJ7" s="5">
        <f t="shared" si="35"/>
        <v>0.22164979154258488</v>
      </c>
      <c r="AK7" s="5">
        <f t="shared" si="36"/>
        <v>17.7</v>
      </c>
      <c r="AL7" s="5">
        <f t="shared" si="37"/>
        <v>0.4743895175699821</v>
      </c>
      <c r="AM7" s="2">
        <f t="shared" si="38"/>
        <v>1</v>
      </c>
      <c r="AN7" s="5">
        <f t="shared" si="39"/>
        <v>3358</v>
      </c>
      <c r="AO7" s="21">
        <f t="shared" si="40"/>
        <v>2.6801667659321026E-2</v>
      </c>
      <c r="AP7" s="6">
        <f t="shared" si="41"/>
        <v>46</v>
      </c>
      <c r="AQ7" s="5">
        <f t="shared" si="42"/>
        <v>1.2328767123287672</v>
      </c>
      <c r="AR7" s="6">
        <f t="shared" si="43"/>
        <v>54</v>
      </c>
      <c r="AS7" s="5">
        <f t="shared" si="44"/>
        <v>1.4472900536033353</v>
      </c>
      <c r="AT7" s="6">
        <f t="shared" si="45"/>
        <v>23</v>
      </c>
      <c r="AU7" s="5">
        <f t="shared" si="46"/>
        <v>0.61643835616438358</v>
      </c>
      <c r="AV7" s="6">
        <f t="shared" si="47"/>
        <v>31</v>
      </c>
      <c r="AW7" s="5">
        <f t="shared" si="48"/>
        <v>0.83085169743895182</v>
      </c>
      <c r="AX7" s="20">
        <f t="shared" si="49"/>
        <v>0.42592592592592593</v>
      </c>
      <c r="AY7" s="2">
        <f t="shared" si="50"/>
        <v>22</v>
      </c>
      <c r="AZ7" s="5">
        <f t="shared" si="51"/>
        <v>0.58963668850506257</v>
      </c>
      <c r="BA7" s="2">
        <f t="shared" si="52"/>
        <v>18</v>
      </c>
      <c r="BB7" s="12">
        <f t="shared" si="53"/>
        <v>0.18181818181818182</v>
      </c>
      <c r="BC7" s="6">
        <f t="shared" si="54"/>
        <v>205</v>
      </c>
      <c r="BD7" s="5">
        <f t="shared" si="55"/>
        <v>5.4943418701608104</v>
      </c>
      <c r="BE7" s="6">
        <f t="shared" si="56"/>
        <v>54</v>
      </c>
      <c r="BF7" s="5">
        <f t="shared" si="57"/>
        <v>1.4472900536033353</v>
      </c>
      <c r="BG7" s="21">
        <f t="shared" si="58"/>
        <v>0.26341463414634148</v>
      </c>
      <c r="BH7" s="2">
        <f t="shared" si="59"/>
        <v>4</v>
      </c>
      <c r="BI7" s="2">
        <f t="shared" si="60"/>
        <v>0</v>
      </c>
      <c r="BJ7" s="2">
        <f t="shared" si="61"/>
        <v>4</v>
      </c>
      <c r="BK7" s="2">
        <f t="shared" si="62"/>
        <v>47</v>
      </c>
      <c r="BL7" s="2">
        <f t="shared" si="63"/>
        <v>25</v>
      </c>
      <c r="BM7" s="21">
        <f t="shared" si="64"/>
        <v>0.53191489361702127</v>
      </c>
      <c r="BN7" s="21">
        <f t="shared" si="65"/>
        <v>0.81818181818181823</v>
      </c>
      <c r="BO7" s="6">
        <f t="shared" si="66"/>
        <v>2</v>
      </c>
      <c r="BP7" s="5">
        <f t="shared" si="67"/>
        <v>5.3603335318642052E-2</v>
      </c>
      <c r="BQ7" s="181">
        <f t="shared" si="68"/>
        <v>114</v>
      </c>
      <c r="BR7" s="181">
        <f t="shared" si="69"/>
        <v>20</v>
      </c>
      <c r="BS7" s="182">
        <f t="shared" si="70"/>
        <v>0.17543859649122806</v>
      </c>
      <c r="BT7" s="6">
        <f t="shared" si="71"/>
        <v>1571</v>
      </c>
      <c r="BU7" s="6">
        <f t="shared" si="72"/>
        <v>1370</v>
      </c>
      <c r="BV7" s="5">
        <f t="shared" si="73"/>
        <v>31.331149493746278</v>
      </c>
      <c r="BW7" s="6">
        <f t="shared" si="74"/>
        <v>201</v>
      </c>
      <c r="BX7" s="21">
        <f t="shared" si="75"/>
        <v>0.87205601527689369</v>
      </c>
      <c r="BY7" s="6">
        <f t="shared" si="76"/>
        <v>125</v>
      </c>
      <c r="BZ7" s="5">
        <f t="shared" si="77"/>
        <v>3.3502084574151283</v>
      </c>
      <c r="CA7" s="6">
        <f t="shared" si="78"/>
        <v>19</v>
      </c>
      <c r="CB7" s="6">
        <f t="shared" si="79"/>
        <v>106</v>
      </c>
      <c r="CC7" s="20">
        <f t="shared" si="80"/>
        <v>0.152</v>
      </c>
      <c r="CD7" s="5">
        <f t="shared" si="81"/>
        <v>52.58487194758785</v>
      </c>
      <c r="CE7" s="6">
        <f t="shared" si="82"/>
        <v>2196.27</v>
      </c>
      <c r="CF7" s="5">
        <f t="shared" si="83"/>
        <v>58.863698630136987</v>
      </c>
      <c r="CG7" s="6">
        <f t="shared" si="84"/>
        <v>1550</v>
      </c>
      <c r="CH7" s="5">
        <f t="shared" si="85"/>
        <v>41.542584871947589</v>
      </c>
      <c r="CI7" s="21">
        <f t="shared" si="86"/>
        <v>0.7057420080409057</v>
      </c>
      <c r="CJ7" s="6">
        <f t="shared" si="87"/>
        <v>125.27</v>
      </c>
      <c r="CK7" s="5">
        <f t="shared" si="88"/>
        <v>3.3574449076831447</v>
      </c>
      <c r="CL7" s="6">
        <f t="shared" si="89"/>
        <v>74</v>
      </c>
      <c r="CM7" s="5">
        <f t="shared" si="90"/>
        <v>1.9833234067897558</v>
      </c>
      <c r="CN7" s="5">
        <f t="shared" si="91"/>
        <v>14.8</v>
      </c>
      <c r="CO7" s="21">
        <f t="shared" si="92"/>
        <v>6.7567567567567571E-2</v>
      </c>
      <c r="CP7" s="5">
        <f t="shared" si="93"/>
        <v>0.11175675675675675</v>
      </c>
      <c r="CQ7" s="334">
        <f t="shared" si="94"/>
        <v>0.11175675675675675</v>
      </c>
      <c r="CR7" s="6">
        <f t="shared" si="95"/>
        <v>62</v>
      </c>
      <c r="CS7" s="5">
        <f t="shared" si="96"/>
        <v>1.6617033948779036</v>
      </c>
      <c r="CT7" s="6">
        <f t="shared" si="97"/>
        <v>78</v>
      </c>
      <c r="CU7" s="5">
        <f t="shared" si="98"/>
        <v>2.0905300774270401</v>
      </c>
      <c r="CV7" s="6">
        <f t="shared" si="99"/>
        <v>237</v>
      </c>
      <c r="CW7" s="5">
        <f t="shared" si="100"/>
        <v>6.3519952352590829</v>
      </c>
      <c r="CX7" s="154">
        <f t="shared" si="101"/>
        <v>431.9</v>
      </c>
      <c r="CY7" s="5">
        <f t="shared" si="102"/>
        <v>11.57564026206075</v>
      </c>
      <c r="CZ7" s="183">
        <f t="shared" si="103"/>
        <v>245</v>
      </c>
      <c r="DA7" s="117">
        <f t="shared" si="104"/>
        <v>6.5664085765336511</v>
      </c>
      <c r="DB7" s="117">
        <f t="shared" si="105"/>
        <v>16.2</v>
      </c>
      <c r="DC7" s="117">
        <f t="shared" si="106"/>
        <v>6.86</v>
      </c>
      <c r="DD7" s="315"/>
      <c r="DE7" s="312" t="s">
        <v>619</v>
      </c>
      <c r="DF7" s="312" t="s">
        <v>793</v>
      </c>
      <c r="DG7" s="312">
        <v>27</v>
      </c>
      <c r="DH7" s="312" t="s">
        <v>763</v>
      </c>
      <c r="DI7" s="312" t="s">
        <v>774</v>
      </c>
      <c r="DJ7" s="312" t="s">
        <v>652</v>
      </c>
      <c r="DK7" s="312" t="s">
        <v>764</v>
      </c>
      <c r="DL7" s="312" t="s">
        <v>693</v>
      </c>
      <c r="DM7" s="317">
        <v>47118</v>
      </c>
      <c r="DN7" s="312">
        <v>3358</v>
      </c>
      <c r="DO7" s="312" t="s">
        <v>794</v>
      </c>
      <c r="DP7" s="312">
        <v>1</v>
      </c>
      <c r="DQ7" s="312">
        <v>0</v>
      </c>
      <c r="DR7" s="312">
        <v>8</v>
      </c>
      <c r="DS7" s="312">
        <v>5</v>
      </c>
      <c r="DT7" s="312">
        <v>4</v>
      </c>
      <c r="DU7" s="312">
        <v>0</v>
      </c>
      <c r="DV7" s="312">
        <v>23</v>
      </c>
      <c r="DW7" s="312">
        <v>16.2</v>
      </c>
      <c r="DX7" s="312">
        <v>9.43</v>
      </c>
      <c r="DY7" s="312">
        <v>8.27</v>
      </c>
      <c r="DZ7" s="312">
        <v>22</v>
      </c>
      <c r="EA7" s="312">
        <v>37</v>
      </c>
      <c r="EB7" s="312">
        <v>125</v>
      </c>
      <c r="EC7" s="312">
        <v>19</v>
      </c>
      <c r="ED7" s="312">
        <v>0.1</v>
      </c>
      <c r="EE7" s="312">
        <v>1571</v>
      </c>
      <c r="EF7" s="312">
        <v>1370</v>
      </c>
      <c r="EG7" s="312">
        <v>74</v>
      </c>
      <c r="EH7" s="312">
        <v>101</v>
      </c>
      <c r="EI7" s="312">
        <v>48</v>
      </c>
      <c r="EJ7" s="312">
        <v>72</v>
      </c>
      <c r="EK7" s="312">
        <v>28</v>
      </c>
      <c r="EL7" s="312">
        <v>205</v>
      </c>
      <c r="EM7" s="312">
        <v>54</v>
      </c>
      <c r="EN7" s="312">
        <v>32</v>
      </c>
      <c r="EO7" s="312">
        <v>23</v>
      </c>
      <c r="EP7" s="312">
        <v>2</v>
      </c>
      <c r="EQ7" s="312">
        <v>5</v>
      </c>
      <c r="ER7" s="312">
        <v>46</v>
      </c>
      <c r="ES7" s="312">
        <v>0</v>
      </c>
      <c r="ET7" s="312">
        <v>10</v>
      </c>
      <c r="EU7" s="312">
        <v>12</v>
      </c>
      <c r="EV7" s="312">
        <v>0.7</v>
      </c>
      <c r="EW7" s="312">
        <v>114</v>
      </c>
      <c r="EX7" s="312">
        <v>20</v>
      </c>
      <c r="EY7" s="312">
        <v>3</v>
      </c>
      <c r="EZ7" s="312">
        <v>0</v>
      </c>
      <c r="FA7" s="312">
        <v>0</v>
      </c>
      <c r="FB7" s="312" t="s">
        <v>795</v>
      </c>
      <c r="FC7" s="345">
        <v>6.86</v>
      </c>
    </row>
    <row r="8" spans="1:159" ht="24.95" customHeight="1" thickBot="1" x14ac:dyDescent="0.3">
      <c r="A8" s="29" t="str">
        <f t="shared" si="0"/>
        <v>7º</v>
      </c>
      <c r="B8" s="69" t="str">
        <f t="shared" si="1"/>
        <v>Lucas Silva</v>
      </c>
      <c r="C8" s="86" t="str">
        <f t="shared" si="2"/>
        <v>BRA</v>
      </c>
      <c r="D8" s="99" t="str">
        <f t="shared" si="3"/>
        <v>Pé Direito</v>
      </c>
      <c r="E8" s="28" t="str">
        <f t="shared" si="4"/>
        <v>Cruzeiro</v>
      </c>
      <c r="F8" s="168">
        <f t="shared" si="5"/>
        <v>1.82</v>
      </c>
      <c r="G8" s="36">
        <f t="shared" si="6"/>
        <v>33</v>
      </c>
      <c r="H8" s="347" t="str">
        <f t="shared" si="7"/>
        <v>55,5m € p/m</v>
      </c>
      <c r="I8" s="35">
        <f t="shared" si="8"/>
        <v>46752</v>
      </c>
      <c r="J8" s="28" t="str">
        <f t="shared" si="9"/>
        <v>55m €</v>
      </c>
      <c r="K8" s="96">
        <f t="shared" si="10"/>
        <v>36.659999999999997</v>
      </c>
      <c r="L8" s="146">
        <f t="shared" si="11"/>
        <v>37.1</v>
      </c>
      <c r="M8" s="146">
        <f t="shared" si="12"/>
        <v>52</v>
      </c>
      <c r="N8" s="146">
        <f t="shared" si="13"/>
        <v>64.211538461538467</v>
      </c>
      <c r="O8" s="187">
        <f t="shared" si="14"/>
        <v>1</v>
      </c>
      <c r="P8" s="6">
        <f t="shared" si="15"/>
        <v>3</v>
      </c>
      <c r="Q8" s="6">
        <f t="shared" si="16"/>
        <v>2</v>
      </c>
      <c r="R8" s="6">
        <f t="shared" si="17"/>
        <v>1</v>
      </c>
      <c r="S8" s="21">
        <f t="shared" si="18"/>
        <v>0.66666666666666663</v>
      </c>
      <c r="T8" s="2">
        <f t="shared" si="19"/>
        <v>4</v>
      </c>
      <c r="U8" s="2">
        <f t="shared" si="20"/>
        <v>6</v>
      </c>
      <c r="V8" s="6">
        <f t="shared" si="21"/>
        <v>10</v>
      </c>
      <c r="W8" s="211">
        <f t="shared" si="22"/>
        <v>151</v>
      </c>
      <c r="X8" s="5">
        <f t="shared" si="23"/>
        <v>4.0700808625336924</v>
      </c>
      <c r="Y8" s="6">
        <f t="shared" si="24"/>
        <v>78</v>
      </c>
      <c r="Z8" s="5">
        <f t="shared" si="25"/>
        <v>2.1024258760107815</v>
      </c>
      <c r="AA8" s="6">
        <f t="shared" si="26"/>
        <v>33</v>
      </c>
      <c r="AB8" s="5">
        <f t="shared" si="27"/>
        <v>0.88948787061994605</v>
      </c>
      <c r="AC8" s="21">
        <f t="shared" si="28"/>
        <v>0.42307692307692307</v>
      </c>
      <c r="AD8" s="337">
        <f t="shared" si="29"/>
        <v>4.9382716049382713E-2</v>
      </c>
      <c r="AE8" s="5">
        <f t="shared" si="30"/>
        <v>4.82</v>
      </c>
      <c r="AF8" s="5">
        <f t="shared" si="31"/>
        <v>0.12991913746630729</v>
      </c>
      <c r="AG8" s="5">
        <f t="shared" si="32"/>
        <v>2.4500000000000002</v>
      </c>
      <c r="AH8" s="5">
        <f t="shared" si="33"/>
        <v>6.6037735849056603E-2</v>
      </c>
      <c r="AI8" s="5">
        <f t="shared" si="34"/>
        <v>3.47</v>
      </c>
      <c r="AJ8" s="5">
        <f t="shared" si="35"/>
        <v>9.3530997304582211E-2</v>
      </c>
      <c r="AK8" s="5">
        <f t="shared" si="36"/>
        <v>5.92</v>
      </c>
      <c r="AL8" s="5">
        <f t="shared" si="37"/>
        <v>0.15956873315363881</v>
      </c>
      <c r="AM8" s="2">
        <f t="shared" si="38"/>
        <v>2</v>
      </c>
      <c r="AN8" s="5">
        <f t="shared" si="39"/>
        <v>1669.5</v>
      </c>
      <c r="AO8" s="21">
        <f t="shared" si="40"/>
        <v>5.3908355795148244E-2</v>
      </c>
      <c r="AP8" s="6">
        <f t="shared" si="41"/>
        <v>99</v>
      </c>
      <c r="AQ8" s="5">
        <f t="shared" si="42"/>
        <v>2.6684636118598384</v>
      </c>
      <c r="AR8" s="6">
        <f t="shared" si="43"/>
        <v>87</v>
      </c>
      <c r="AS8" s="5">
        <f t="shared" si="44"/>
        <v>2.3450134770889486</v>
      </c>
      <c r="AT8" s="6">
        <f t="shared" si="45"/>
        <v>47</v>
      </c>
      <c r="AU8" s="5">
        <f t="shared" si="46"/>
        <v>1.2668463611859837</v>
      </c>
      <c r="AV8" s="6">
        <f t="shared" si="47"/>
        <v>40</v>
      </c>
      <c r="AW8" s="5">
        <f t="shared" si="48"/>
        <v>1.0781671159029649</v>
      </c>
      <c r="AX8" s="20">
        <f t="shared" si="49"/>
        <v>0.54022988505747127</v>
      </c>
      <c r="AY8" s="2">
        <f t="shared" si="50"/>
        <v>22</v>
      </c>
      <c r="AZ8" s="5">
        <f t="shared" si="51"/>
        <v>0.59299191374663074</v>
      </c>
      <c r="BA8" s="2">
        <f t="shared" si="52"/>
        <v>20</v>
      </c>
      <c r="BB8" s="12">
        <f t="shared" si="53"/>
        <v>9.0909090909090912E-2</v>
      </c>
      <c r="BC8" s="6">
        <f t="shared" si="54"/>
        <v>263</v>
      </c>
      <c r="BD8" s="5">
        <f t="shared" si="55"/>
        <v>7.0889487870619945</v>
      </c>
      <c r="BE8" s="6">
        <f t="shared" si="56"/>
        <v>64</v>
      </c>
      <c r="BF8" s="5">
        <f t="shared" si="57"/>
        <v>1.7250673854447438</v>
      </c>
      <c r="BG8" s="21">
        <f t="shared" si="58"/>
        <v>0.24334600760456274</v>
      </c>
      <c r="BH8" s="2">
        <f t="shared" si="59"/>
        <v>2</v>
      </c>
      <c r="BI8" s="2">
        <f t="shared" si="60"/>
        <v>0</v>
      </c>
      <c r="BJ8" s="2">
        <f t="shared" si="61"/>
        <v>2</v>
      </c>
      <c r="BK8" s="2">
        <f t="shared" si="62"/>
        <v>74</v>
      </c>
      <c r="BL8" s="2">
        <f t="shared" si="63"/>
        <v>52</v>
      </c>
      <c r="BM8" s="21">
        <f t="shared" si="64"/>
        <v>0.70270270270270274</v>
      </c>
      <c r="BN8" s="21">
        <f t="shared" si="65"/>
        <v>0.90909090909090906</v>
      </c>
      <c r="BO8" s="6">
        <f t="shared" si="66"/>
        <v>5</v>
      </c>
      <c r="BP8" s="5">
        <f t="shared" si="67"/>
        <v>0.13477088948787061</v>
      </c>
      <c r="BQ8" s="181">
        <f t="shared" si="68"/>
        <v>12</v>
      </c>
      <c r="BR8" s="181">
        <f t="shared" si="69"/>
        <v>3</v>
      </c>
      <c r="BS8" s="182">
        <f t="shared" si="70"/>
        <v>0.25</v>
      </c>
      <c r="BT8" s="6">
        <f t="shared" si="71"/>
        <v>2875</v>
      </c>
      <c r="BU8" s="6">
        <f t="shared" si="72"/>
        <v>2623</v>
      </c>
      <c r="BV8" s="5">
        <f t="shared" si="73"/>
        <v>63.908355795148246</v>
      </c>
      <c r="BW8" s="6">
        <f t="shared" si="74"/>
        <v>252</v>
      </c>
      <c r="BX8" s="21">
        <f t="shared" si="75"/>
        <v>0.91234782608695653</v>
      </c>
      <c r="BY8" s="6">
        <f t="shared" si="76"/>
        <v>68</v>
      </c>
      <c r="BZ8" s="5">
        <f t="shared" si="77"/>
        <v>1.8328840970350404</v>
      </c>
      <c r="CA8" s="6">
        <f t="shared" si="78"/>
        <v>26</v>
      </c>
      <c r="CB8" s="6">
        <f t="shared" si="79"/>
        <v>42</v>
      </c>
      <c r="CC8" s="20">
        <f t="shared" si="80"/>
        <v>0.38235294117647056</v>
      </c>
      <c r="CD8" s="5">
        <f t="shared" si="81"/>
        <v>85.660377358490564</v>
      </c>
      <c r="CE8" s="6">
        <f t="shared" si="82"/>
        <v>3463.47</v>
      </c>
      <c r="CF8" s="5">
        <f t="shared" si="83"/>
        <v>93.354986522911048</v>
      </c>
      <c r="CG8" s="6">
        <f t="shared" si="84"/>
        <v>2850.25</v>
      </c>
      <c r="CH8" s="5">
        <f t="shared" si="85"/>
        <v>76.826145552560646</v>
      </c>
      <c r="CI8" s="21">
        <f t="shared" si="86"/>
        <v>0.82294635149142337</v>
      </c>
      <c r="CJ8" s="6">
        <f t="shared" si="87"/>
        <v>64.47</v>
      </c>
      <c r="CK8" s="5">
        <f t="shared" si="88"/>
        <v>1.7377358490566037</v>
      </c>
      <c r="CL8" s="6">
        <f t="shared" si="89"/>
        <v>52</v>
      </c>
      <c r="CM8" s="5">
        <f t="shared" si="90"/>
        <v>1.4016172506738545</v>
      </c>
      <c r="CN8" s="5">
        <f t="shared" si="91"/>
        <v>8.6666666666666661</v>
      </c>
      <c r="CO8" s="21">
        <f t="shared" si="92"/>
        <v>0.11538461538461539</v>
      </c>
      <c r="CP8" s="5">
        <f t="shared" si="93"/>
        <v>6.6730769230769232E-2</v>
      </c>
      <c r="CQ8" s="334">
        <f t="shared" si="94"/>
        <v>6.6730769230769232E-2</v>
      </c>
      <c r="CR8" s="6">
        <f t="shared" si="95"/>
        <v>167.5</v>
      </c>
      <c r="CS8" s="5">
        <f t="shared" si="96"/>
        <v>4.5148247978436657</v>
      </c>
      <c r="CT8" s="6">
        <f t="shared" si="97"/>
        <v>113.5</v>
      </c>
      <c r="CU8" s="5">
        <f t="shared" si="98"/>
        <v>3.059299191374663</v>
      </c>
      <c r="CV8" s="6">
        <f t="shared" si="99"/>
        <v>147</v>
      </c>
      <c r="CW8" s="5">
        <f t="shared" si="100"/>
        <v>3.9622641509433962</v>
      </c>
      <c r="CX8" s="154">
        <f t="shared" si="101"/>
        <v>442.1</v>
      </c>
      <c r="CY8" s="5">
        <f t="shared" si="102"/>
        <v>11.916442048517521</v>
      </c>
      <c r="CZ8" s="183">
        <f t="shared" si="103"/>
        <v>298</v>
      </c>
      <c r="DA8" s="117">
        <f t="shared" si="104"/>
        <v>8.0323450134770891</v>
      </c>
      <c r="DB8" s="117">
        <f t="shared" si="105"/>
        <v>7.3</v>
      </c>
      <c r="DC8" s="117">
        <f t="shared" si="106"/>
        <v>6.9</v>
      </c>
      <c r="DD8" s="316" t="s">
        <v>19</v>
      </c>
      <c r="DE8" s="313" t="s">
        <v>13</v>
      </c>
      <c r="DF8" s="313" t="s">
        <v>671</v>
      </c>
      <c r="DG8" s="313">
        <v>33</v>
      </c>
      <c r="DH8" s="313" t="s">
        <v>581</v>
      </c>
      <c r="DI8" s="313" t="s">
        <v>546</v>
      </c>
      <c r="DJ8" s="313" t="s">
        <v>644</v>
      </c>
      <c r="DK8" s="313" t="s">
        <v>673</v>
      </c>
      <c r="DL8" s="313" t="s">
        <v>674</v>
      </c>
      <c r="DM8" s="318">
        <v>46752</v>
      </c>
      <c r="DN8" s="313">
        <v>3339</v>
      </c>
      <c r="DO8" s="313" t="s">
        <v>780</v>
      </c>
      <c r="DP8" s="313">
        <v>2</v>
      </c>
      <c r="DQ8" s="313">
        <v>0</v>
      </c>
      <c r="DR8" s="313">
        <v>4</v>
      </c>
      <c r="DS8" s="313">
        <v>6</v>
      </c>
      <c r="DT8" s="313">
        <v>2</v>
      </c>
      <c r="DU8" s="313">
        <v>0</v>
      </c>
      <c r="DV8" s="313">
        <v>6</v>
      </c>
      <c r="DW8" s="313">
        <v>7.3</v>
      </c>
      <c r="DX8" s="313">
        <v>4.82</v>
      </c>
      <c r="DY8" s="313">
        <v>3.47</v>
      </c>
      <c r="DZ8" s="313">
        <v>22</v>
      </c>
      <c r="EA8" s="313">
        <v>11</v>
      </c>
      <c r="EB8" s="313">
        <v>68</v>
      </c>
      <c r="EC8" s="313">
        <v>26</v>
      </c>
      <c r="ED8" s="313">
        <v>0.2</v>
      </c>
      <c r="EE8" s="313">
        <v>2875</v>
      </c>
      <c r="EF8" s="313">
        <v>2623</v>
      </c>
      <c r="EG8" s="313">
        <v>52</v>
      </c>
      <c r="EH8" s="313">
        <v>372</v>
      </c>
      <c r="EI8" s="313">
        <v>5</v>
      </c>
      <c r="EJ8" s="313">
        <v>81</v>
      </c>
      <c r="EK8" s="313">
        <v>35</v>
      </c>
      <c r="EL8" s="313">
        <v>263</v>
      </c>
      <c r="EM8" s="313">
        <v>64</v>
      </c>
      <c r="EN8" s="313">
        <v>65</v>
      </c>
      <c r="EO8" s="313">
        <v>47</v>
      </c>
      <c r="EP8" s="313">
        <v>5</v>
      </c>
      <c r="EQ8" s="313">
        <v>26</v>
      </c>
      <c r="ER8" s="313">
        <v>99</v>
      </c>
      <c r="ES8" s="313">
        <v>23</v>
      </c>
      <c r="ET8" s="313">
        <v>17</v>
      </c>
      <c r="EU8" s="313">
        <v>7.2</v>
      </c>
      <c r="EV8" s="313">
        <v>1.9</v>
      </c>
      <c r="EW8" s="313">
        <v>12</v>
      </c>
      <c r="EX8" s="313">
        <v>3</v>
      </c>
      <c r="EY8" s="313">
        <v>1</v>
      </c>
      <c r="EZ8" s="313">
        <v>3</v>
      </c>
      <c r="FA8" s="313">
        <v>2</v>
      </c>
      <c r="FB8" s="313" t="s">
        <v>672</v>
      </c>
      <c r="FC8" s="346">
        <v>6.9</v>
      </c>
    </row>
    <row r="9" spans="1:159" ht="24.95" customHeight="1" thickBot="1" x14ac:dyDescent="0.3">
      <c r="A9" s="29" t="str">
        <f t="shared" si="0"/>
        <v>8º</v>
      </c>
      <c r="B9" s="69" t="str">
        <f t="shared" si="1"/>
        <v>Marcelino Moreno</v>
      </c>
      <c r="C9" s="86" t="str">
        <f t="shared" si="2"/>
        <v>ARG</v>
      </c>
      <c r="D9" s="99" t="str">
        <f t="shared" si="3"/>
        <v>Pé Direito</v>
      </c>
      <c r="E9" s="28" t="str">
        <f t="shared" si="4"/>
        <v>Lanús</v>
      </c>
      <c r="F9" s="168">
        <f t="shared" si="5"/>
        <v>1.68</v>
      </c>
      <c r="G9" s="36">
        <f t="shared" si="6"/>
        <v>31</v>
      </c>
      <c r="H9" s="347" t="str">
        <f t="shared" si="7"/>
        <v>41m € p/m</v>
      </c>
      <c r="I9" s="35">
        <f t="shared" si="8"/>
        <v>46752</v>
      </c>
      <c r="J9" s="28" t="str">
        <f t="shared" si="9"/>
        <v>Não está à venda</v>
      </c>
      <c r="K9" s="96">
        <f t="shared" si="10"/>
        <v>36.659999999999997</v>
      </c>
      <c r="L9" s="146">
        <f t="shared" si="11"/>
        <v>33.833333333333336</v>
      </c>
      <c r="M9" s="146">
        <f t="shared" si="12"/>
        <v>36</v>
      </c>
      <c r="N9" s="146">
        <f t="shared" si="13"/>
        <v>84.583333333333329</v>
      </c>
      <c r="O9" s="187">
        <f t="shared" si="14"/>
        <v>1</v>
      </c>
      <c r="P9" s="6">
        <f t="shared" si="15"/>
        <v>0</v>
      </c>
      <c r="Q9" s="6">
        <f t="shared" si="16"/>
        <v>0</v>
      </c>
      <c r="R9" s="6">
        <f t="shared" si="17"/>
        <v>0</v>
      </c>
      <c r="S9" s="21">
        <f t="shared" si="18"/>
        <v>9.9999999999999995E-8</v>
      </c>
      <c r="T9" s="2">
        <f t="shared" si="19"/>
        <v>4</v>
      </c>
      <c r="U9" s="2">
        <f t="shared" si="20"/>
        <v>7</v>
      </c>
      <c r="V9" s="6">
        <f t="shared" si="21"/>
        <v>11</v>
      </c>
      <c r="W9" s="211">
        <f t="shared" si="22"/>
        <v>64</v>
      </c>
      <c r="X9" s="5">
        <f t="shared" si="23"/>
        <v>1.8916256157635467</v>
      </c>
      <c r="Y9" s="6">
        <f t="shared" si="24"/>
        <v>66</v>
      </c>
      <c r="Z9" s="5">
        <f t="shared" si="25"/>
        <v>1.9507389162561575</v>
      </c>
      <c r="AA9" s="6">
        <f t="shared" si="26"/>
        <v>28</v>
      </c>
      <c r="AB9" s="5">
        <f t="shared" si="27"/>
        <v>0.82758620689655171</v>
      </c>
      <c r="AC9" s="21">
        <f t="shared" si="28"/>
        <v>0.42424242424242425</v>
      </c>
      <c r="AD9" s="337">
        <f t="shared" si="29"/>
        <v>6.0606060606060608E-2</v>
      </c>
      <c r="AE9" s="5">
        <f t="shared" si="30"/>
        <v>8.27</v>
      </c>
      <c r="AF9" s="5">
        <f t="shared" si="31"/>
        <v>0.24443349753694579</v>
      </c>
      <c r="AG9" s="5">
        <f t="shared" si="32"/>
        <v>8.27</v>
      </c>
      <c r="AH9" s="5">
        <f t="shared" si="33"/>
        <v>0.24443349753694579</v>
      </c>
      <c r="AI9" s="5">
        <f t="shared" si="34"/>
        <v>6.32</v>
      </c>
      <c r="AJ9" s="5">
        <f t="shared" si="35"/>
        <v>0.18679802955665023</v>
      </c>
      <c r="AK9" s="5">
        <f t="shared" si="36"/>
        <v>14.59</v>
      </c>
      <c r="AL9" s="5">
        <f t="shared" si="37"/>
        <v>0.43123152709359602</v>
      </c>
      <c r="AM9" s="2">
        <f t="shared" si="38"/>
        <v>4</v>
      </c>
      <c r="AN9" s="5">
        <f t="shared" si="39"/>
        <v>761.25</v>
      </c>
      <c r="AO9" s="21">
        <f t="shared" si="40"/>
        <v>0.11822660098522167</v>
      </c>
      <c r="AP9" s="6">
        <f t="shared" si="41"/>
        <v>39</v>
      </c>
      <c r="AQ9" s="5">
        <f t="shared" si="42"/>
        <v>1.1527093596059113</v>
      </c>
      <c r="AR9" s="6">
        <f t="shared" si="43"/>
        <v>44</v>
      </c>
      <c r="AS9" s="5">
        <f t="shared" si="44"/>
        <v>1.3004926108374384</v>
      </c>
      <c r="AT9" s="6">
        <f t="shared" si="45"/>
        <v>22</v>
      </c>
      <c r="AU9" s="5">
        <f t="shared" si="46"/>
        <v>0.65024630541871919</v>
      </c>
      <c r="AV9" s="6">
        <f t="shared" si="47"/>
        <v>22</v>
      </c>
      <c r="AW9" s="5">
        <f t="shared" si="48"/>
        <v>0.65024630541871919</v>
      </c>
      <c r="AX9" s="20">
        <f t="shared" si="49"/>
        <v>0.5</v>
      </c>
      <c r="AY9" s="2">
        <f t="shared" si="50"/>
        <v>17</v>
      </c>
      <c r="AZ9" s="5">
        <f t="shared" si="51"/>
        <v>0.50246305418719206</v>
      </c>
      <c r="BA9" s="2">
        <f t="shared" si="52"/>
        <v>16</v>
      </c>
      <c r="BB9" s="12">
        <f t="shared" si="53"/>
        <v>5.8823529411764705E-2</v>
      </c>
      <c r="BC9" s="6">
        <f t="shared" si="54"/>
        <v>197</v>
      </c>
      <c r="BD9" s="5">
        <f t="shared" si="55"/>
        <v>5.8226600985221673</v>
      </c>
      <c r="BE9" s="6">
        <f t="shared" si="56"/>
        <v>42</v>
      </c>
      <c r="BF9" s="5">
        <f t="shared" si="57"/>
        <v>1.2413793103448274</v>
      </c>
      <c r="BG9" s="21">
        <f t="shared" si="58"/>
        <v>0.21319796954314721</v>
      </c>
      <c r="BH9" s="2">
        <f t="shared" si="59"/>
        <v>1</v>
      </c>
      <c r="BI9" s="2">
        <f t="shared" si="60"/>
        <v>0</v>
      </c>
      <c r="BJ9" s="2">
        <f t="shared" si="61"/>
        <v>1</v>
      </c>
      <c r="BK9" s="2">
        <f t="shared" si="62"/>
        <v>42</v>
      </c>
      <c r="BL9" s="2">
        <f t="shared" si="63"/>
        <v>25</v>
      </c>
      <c r="BM9" s="21">
        <f t="shared" si="64"/>
        <v>0.59523809523809523</v>
      </c>
      <c r="BN9" s="21">
        <f t="shared" si="65"/>
        <v>0.94117647058823528</v>
      </c>
      <c r="BO9" s="6">
        <f t="shared" si="66"/>
        <v>3</v>
      </c>
      <c r="BP9" s="5">
        <f t="shared" si="67"/>
        <v>8.8669950738916245E-2</v>
      </c>
      <c r="BQ9" s="181">
        <f t="shared" si="68"/>
        <v>72</v>
      </c>
      <c r="BR9" s="181">
        <f t="shared" si="69"/>
        <v>13</v>
      </c>
      <c r="BS9" s="182">
        <f t="shared" si="70"/>
        <v>0.18055555555555555</v>
      </c>
      <c r="BT9" s="6">
        <f t="shared" si="71"/>
        <v>1583</v>
      </c>
      <c r="BU9" s="6">
        <f t="shared" si="72"/>
        <v>1442</v>
      </c>
      <c r="BV9" s="5">
        <f t="shared" si="73"/>
        <v>38.453201970443345</v>
      </c>
      <c r="BW9" s="6">
        <f t="shared" si="74"/>
        <v>141</v>
      </c>
      <c r="BX9" s="21">
        <f t="shared" si="75"/>
        <v>0.91092861655085278</v>
      </c>
      <c r="BY9" s="6">
        <f t="shared" si="76"/>
        <v>82</v>
      </c>
      <c r="BZ9" s="5">
        <f t="shared" si="77"/>
        <v>2.423645320197044</v>
      </c>
      <c r="CA9" s="6">
        <f t="shared" si="78"/>
        <v>23</v>
      </c>
      <c r="CB9" s="6">
        <f t="shared" si="79"/>
        <v>59</v>
      </c>
      <c r="CC9" s="20">
        <f t="shared" si="80"/>
        <v>0.28048780487804881</v>
      </c>
      <c r="CD9" s="5">
        <f t="shared" si="81"/>
        <v>56.66009852216748</v>
      </c>
      <c r="CE9" s="6">
        <f t="shared" si="82"/>
        <v>2092.3199999999997</v>
      </c>
      <c r="CF9" s="5">
        <f t="shared" si="83"/>
        <v>61.841970443349737</v>
      </c>
      <c r="CG9" s="6">
        <f t="shared" si="84"/>
        <v>1597</v>
      </c>
      <c r="CH9" s="5">
        <f t="shared" si="85"/>
        <v>47.201970443349751</v>
      </c>
      <c r="CI9" s="21">
        <f t="shared" si="86"/>
        <v>0.76326756901430004</v>
      </c>
      <c r="CJ9" s="6">
        <f t="shared" si="87"/>
        <v>100.32</v>
      </c>
      <c r="CK9" s="5">
        <f t="shared" si="88"/>
        <v>2.9651231527093591</v>
      </c>
      <c r="CL9" s="6">
        <f t="shared" si="89"/>
        <v>69</v>
      </c>
      <c r="CM9" s="5">
        <f t="shared" si="90"/>
        <v>2.0394088669950738</v>
      </c>
      <c r="CN9" s="5">
        <f t="shared" si="91"/>
        <v>9.8571428571428577</v>
      </c>
      <c r="CO9" s="21">
        <f t="shared" si="92"/>
        <v>0.10144927536231885</v>
      </c>
      <c r="CP9" s="5">
        <f t="shared" si="93"/>
        <v>9.1594202898550733E-2</v>
      </c>
      <c r="CQ9" s="334">
        <f t="shared" si="94"/>
        <v>9.1594202898550733E-2</v>
      </c>
      <c r="CR9" s="6">
        <f t="shared" si="95"/>
        <v>71.5</v>
      </c>
      <c r="CS9" s="5">
        <f t="shared" si="96"/>
        <v>2.1133004926108372</v>
      </c>
      <c r="CT9" s="6">
        <f t="shared" si="97"/>
        <v>65.5</v>
      </c>
      <c r="CU9" s="5">
        <f t="shared" si="98"/>
        <v>1.9359605911330049</v>
      </c>
      <c r="CV9" s="6">
        <f t="shared" si="99"/>
        <v>227</v>
      </c>
      <c r="CW9" s="5">
        <f t="shared" si="100"/>
        <v>6.7093596059113292</v>
      </c>
      <c r="CX9" s="154">
        <f t="shared" si="101"/>
        <v>420.5</v>
      </c>
      <c r="CY9" s="5">
        <f t="shared" si="102"/>
        <v>12.428571428571427</v>
      </c>
      <c r="CZ9" s="183">
        <f t="shared" si="103"/>
        <v>179</v>
      </c>
      <c r="DA9" s="117">
        <f t="shared" si="104"/>
        <v>5.2906403940886699</v>
      </c>
      <c r="DB9" s="117">
        <f t="shared" si="105"/>
        <v>16.3</v>
      </c>
      <c r="DC9" s="117">
        <f t="shared" si="106"/>
        <v>6.94</v>
      </c>
      <c r="DD9" s="315"/>
      <c r="DE9" s="312" t="s">
        <v>478</v>
      </c>
      <c r="DF9" s="312" t="s">
        <v>798</v>
      </c>
      <c r="DG9" s="312">
        <v>31</v>
      </c>
      <c r="DH9" s="312" t="s">
        <v>767</v>
      </c>
      <c r="DI9" s="312" t="s">
        <v>724</v>
      </c>
      <c r="DJ9" s="312" t="s">
        <v>644</v>
      </c>
      <c r="DK9" s="312" t="s">
        <v>413</v>
      </c>
      <c r="DL9" s="312" t="s">
        <v>660</v>
      </c>
      <c r="DM9" s="317">
        <v>46752</v>
      </c>
      <c r="DN9" s="312">
        <v>3045</v>
      </c>
      <c r="DO9" s="312">
        <v>36</v>
      </c>
      <c r="DP9" s="312">
        <v>4</v>
      </c>
      <c r="DQ9" s="312">
        <v>0</v>
      </c>
      <c r="DR9" s="312">
        <v>4</v>
      </c>
      <c r="DS9" s="312">
        <v>7</v>
      </c>
      <c r="DT9" s="312">
        <v>1</v>
      </c>
      <c r="DU9" s="312">
        <v>0</v>
      </c>
      <c r="DV9" s="312">
        <v>12</v>
      </c>
      <c r="DW9" s="312">
        <v>16.3</v>
      </c>
      <c r="DX9" s="312">
        <v>8.27</v>
      </c>
      <c r="DY9" s="312">
        <v>6.32</v>
      </c>
      <c r="DZ9" s="312">
        <v>17</v>
      </c>
      <c r="EA9" s="312">
        <v>29</v>
      </c>
      <c r="EB9" s="312">
        <v>82</v>
      </c>
      <c r="EC9" s="312">
        <v>23</v>
      </c>
      <c r="ED9" s="312">
        <v>0</v>
      </c>
      <c r="EE9" s="312">
        <v>1583</v>
      </c>
      <c r="EF9" s="312">
        <v>1442</v>
      </c>
      <c r="EG9" s="312">
        <v>69</v>
      </c>
      <c r="EH9" s="312">
        <v>90</v>
      </c>
      <c r="EI9" s="312">
        <v>67</v>
      </c>
      <c r="EJ9" s="312">
        <v>66</v>
      </c>
      <c r="EK9" s="312">
        <v>28</v>
      </c>
      <c r="EL9" s="312">
        <v>197</v>
      </c>
      <c r="EM9" s="312">
        <v>42</v>
      </c>
      <c r="EN9" s="312">
        <v>27</v>
      </c>
      <c r="EO9" s="312">
        <v>22</v>
      </c>
      <c r="EP9" s="312">
        <v>3</v>
      </c>
      <c r="EQ9" s="312">
        <v>7</v>
      </c>
      <c r="ER9" s="312">
        <v>39</v>
      </c>
      <c r="ES9" s="312">
        <v>2</v>
      </c>
      <c r="ET9" s="312">
        <v>22</v>
      </c>
      <c r="EU9" s="312">
        <v>8.4</v>
      </c>
      <c r="EV9" s="312">
        <v>0.6</v>
      </c>
      <c r="EW9" s="312">
        <v>72</v>
      </c>
      <c r="EX9" s="312">
        <v>13</v>
      </c>
      <c r="EY9" s="312">
        <v>1</v>
      </c>
      <c r="EZ9" s="312">
        <v>0</v>
      </c>
      <c r="FA9" s="312">
        <v>0</v>
      </c>
      <c r="FB9" s="312" t="s">
        <v>799</v>
      </c>
      <c r="FC9" s="345">
        <v>6.94</v>
      </c>
    </row>
    <row r="10" spans="1:159" ht="24.95" customHeight="1" thickBot="1" x14ac:dyDescent="0.3">
      <c r="A10" s="29" t="str">
        <f t="shared" si="0"/>
        <v>9º</v>
      </c>
      <c r="B10" s="69" t="str">
        <f t="shared" si="1"/>
        <v>Neto Moura</v>
      </c>
      <c r="C10" s="86" t="str">
        <f t="shared" si="2"/>
        <v>BRA</v>
      </c>
      <c r="D10" s="99" t="str">
        <f t="shared" si="3"/>
        <v>Pé Direito</v>
      </c>
      <c r="E10" s="28" t="str">
        <f t="shared" si="4"/>
        <v>Mirassol</v>
      </c>
      <c r="F10" s="168">
        <f t="shared" si="5"/>
        <v>1.76</v>
      </c>
      <c r="G10" s="36">
        <f t="shared" si="6"/>
        <v>30</v>
      </c>
      <c r="H10" s="347" t="str">
        <f t="shared" si="7"/>
        <v>10,75m € p/m</v>
      </c>
      <c r="I10" s="35">
        <f t="shared" si="8"/>
        <v>47118</v>
      </c>
      <c r="J10" s="28" t="str">
        <f t="shared" si="9"/>
        <v>130m € - 1,3M €</v>
      </c>
      <c r="K10" s="96">
        <f t="shared" si="10"/>
        <v>36.659999999999997</v>
      </c>
      <c r="L10" s="146">
        <f t="shared" si="11"/>
        <v>36.911111111111111</v>
      </c>
      <c r="M10" s="146">
        <f t="shared" si="12"/>
        <v>40</v>
      </c>
      <c r="N10" s="146">
        <f t="shared" si="13"/>
        <v>83.05</v>
      </c>
      <c r="O10" s="187">
        <f t="shared" si="14"/>
        <v>1</v>
      </c>
      <c r="P10" s="6">
        <f t="shared" si="15"/>
        <v>0</v>
      </c>
      <c r="Q10" s="6">
        <f t="shared" si="16"/>
        <v>0</v>
      </c>
      <c r="R10" s="6">
        <f t="shared" si="17"/>
        <v>0</v>
      </c>
      <c r="S10" s="21">
        <f t="shared" si="18"/>
        <v>9.9999999999999995E-8</v>
      </c>
      <c r="T10" s="2">
        <f t="shared" si="19"/>
        <v>3</v>
      </c>
      <c r="U10" s="2">
        <f t="shared" si="20"/>
        <v>4</v>
      </c>
      <c r="V10" s="6">
        <f t="shared" si="21"/>
        <v>7</v>
      </c>
      <c r="W10" s="211">
        <f t="shared" si="22"/>
        <v>185</v>
      </c>
      <c r="X10" s="5">
        <f t="shared" si="23"/>
        <v>5.0120409391932572</v>
      </c>
      <c r="Y10" s="6">
        <f t="shared" si="24"/>
        <v>42</v>
      </c>
      <c r="Z10" s="5">
        <f t="shared" si="25"/>
        <v>1.1378687537627934</v>
      </c>
      <c r="AA10" s="6">
        <f t="shared" si="26"/>
        <v>19</v>
      </c>
      <c r="AB10" s="5">
        <f t="shared" si="27"/>
        <v>0.51475015051173989</v>
      </c>
      <c r="AC10" s="21">
        <f t="shared" si="28"/>
        <v>0.45238095238095238</v>
      </c>
      <c r="AD10" s="337">
        <f t="shared" si="29"/>
        <v>7.1428571428571425E-2</v>
      </c>
      <c r="AE10" s="5">
        <f t="shared" si="30"/>
        <v>3.07</v>
      </c>
      <c r="AF10" s="5">
        <f t="shared" si="31"/>
        <v>8.3172787477423238E-2</v>
      </c>
      <c r="AG10" s="5">
        <f t="shared" si="32"/>
        <v>3.07</v>
      </c>
      <c r="AH10" s="5">
        <f t="shared" si="33"/>
        <v>8.3172787477423238E-2</v>
      </c>
      <c r="AI10" s="5">
        <f t="shared" si="34"/>
        <v>2.79</v>
      </c>
      <c r="AJ10" s="5">
        <f t="shared" si="35"/>
        <v>7.5586995785671282E-2</v>
      </c>
      <c r="AK10" s="5">
        <f t="shared" si="36"/>
        <v>5.8599999999999994</v>
      </c>
      <c r="AL10" s="5">
        <f t="shared" si="37"/>
        <v>0.15875978326309451</v>
      </c>
      <c r="AM10" s="2">
        <f t="shared" si="38"/>
        <v>0</v>
      </c>
      <c r="AN10" s="5">
        <f t="shared" si="39"/>
        <v>5000</v>
      </c>
      <c r="AO10" s="21">
        <f t="shared" si="40"/>
        <v>0</v>
      </c>
      <c r="AP10" s="6">
        <f t="shared" si="41"/>
        <v>134</v>
      </c>
      <c r="AQ10" s="5">
        <f t="shared" si="42"/>
        <v>3.6303431667670076</v>
      </c>
      <c r="AR10" s="6">
        <f t="shared" si="43"/>
        <v>133</v>
      </c>
      <c r="AS10" s="5">
        <f t="shared" si="44"/>
        <v>3.6032510535821793</v>
      </c>
      <c r="AT10" s="6">
        <f t="shared" si="45"/>
        <v>47</v>
      </c>
      <c r="AU10" s="5">
        <f t="shared" si="46"/>
        <v>1.2733293196869355</v>
      </c>
      <c r="AV10" s="6">
        <f t="shared" si="47"/>
        <v>86</v>
      </c>
      <c r="AW10" s="5">
        <f t="shared" si="48"/>
        <v>2.3299217338952438</v>
      </c>
      <c r="AX10" s="20">
        <f t="shared" si="49"/>
        <v>0.35338345864661652</v>
      </c>
      <c r="AY10" s="2">
        <f t="shared" si="50"/>
        <v>47</v>
      </c>
      <c r="AZ10" s="5">
        <f t="shared" si="51"/>
        <v>1.2733293196869355</v>
      </c>
      <c r="BA10" s="2">
        <f t="shared" si="52"/>
        <v>40</v>
      </c>
      <c r="BB10" s="12">
        <f t="shared" si="53"/>
        <v>0.14893617021276595</v>
      </c>
      <c r="BC10" s="6">
        <f t="shared" si="54"/>
        <v>299</v>
      </c>
      <c r="BD10" s="5">
        <f t="shared" si="55"/>
        <v>8.1005418422636968</v>
      </c>
      <c r="BE10" s="6">
        <f t="shared" si="56"/>
        <v>77</v>
      </c>
      <c r="BF10" s="5">
        <f t="shared" si="57"/>
        <v>2.0860927152317879</v>
      </c>
      <c r="BG10" s="21">
        <f t="shared" si="58"/>
        <v>0.25752508361204013</v>
      </c>
      <c r="BH10" s="2">
        <f t="shared" si="59"/>
        <v>7</v>
      </c>
      <c r="BI10" s="2">
        <f t="shared" si="60"/>
        <v>0</v>
      </c>
      <c r="BJ10" s="2">
        <f t="shared" si="61"/>
        <v>7</v>
      </c>
      <c r="BK10" s="2">
        <f t="shared" si="62"/>
        <v>98</v>
      </c>
      <c r="BL10" s="2">
        <f t="shared" si="63"/>
        <v>51</v>
      </c>
      <c r="BM10" s="21">
        <f t="shared" si="64"/>
        <v>0.52040816326530615</v>
      </c>
      <c r="BN10" s="21">
        <f t="shared" si="65"/>
        <v>0.85106382978723405</v>
      </c>
      <c r="BO10" s="6">
        <f t="shared" si="66"/>
        <v>4</v>
      </c>
      <c r="BP10" s="5">
        <f t="shared" si="67"/>
        <v>0.10836845273931367</v>
      </c>
      <c r="BQ10" s="181">
        <f t="shared" si="68"/>
        <v>14</v>
      </c>
      <c r="BR10" s="181">
        <f t="shared" si="69"/>
        <v>6</v>
      </c>
      <c r="BS10" s="182">
        <f t="shared" si="70"/>
        <v>0.42857142857142855</v>
      </c>
      <c r="BT10" s="6">
        <f t="shared" si="71"/>
        <v>1995</v>
      </c>
      <c r="BU10" s="6">
        <f t="shared" si="72"/>
        <v>1814</v>
      </c>
      <c r="BV10" s="5">
        <f t="shared" si="73"/>
        <v>44.241420830824801</v>
      </c>
      <c r="BW10" s="6">
        <f t="shared" si="74"/>
        <v>181</v>
      </c>
      <c r="BX10" s="21">
        <f t="shared" si="75"/>
        <v>0.90927318295739346</v>
      </c>
      <c r="BY10" s="6">
        <f t="shared" si="76"/>
        <v>70</v>
      </c>
      <c r="BZ10" s="5">
        <f t="shared" si="77"/>
        <v>1.8964479229379891</v>
      </c>
      <c r="CA10" s="6">
        <f t="shared" si="78"/>
        <v>33</v>
      </c>
      <c r="CB10" s="6">
        <f t="shared" si="79"/>
        <v>37</v>
      </c>
      <c r="CC10" s="20">
        <f t="shared" si="80"/>
        <v>0.47142857142857142</v>
      </c>
      <c r="CD10" s="5">
        <f t="shared" si="81"/>
        <v>62.555689343768812</v>
      </c>
      <c r="CE10" s="6">
        <f t="shared" si="82"/>
        <v>2653.79</v>
      </c>
      <c r="CF10" s="5">
        <f t="shared" si="83"/>
        <v>71.896779048765808</v>
      </c>
      <c r="CG10" s="6">
        <f t="shared" si="84"/>
        <v>2049</v>
      </c>
      <c r="CH10" s="5">
        <f t="shared" si="85"/>
        <v>55.511739915713427</v>
      </c>
      <c r="CI10" s="21">
        <f t="shared" si="86"/>
        <v>0.77210329377983944</v>
      </c>
      <c r="CJ10" s="6">
        <f t="shared" si="87"/>
        <v>50.79</v>
      </c>
      <c r="CK10" s="5">
        <f t="shared" si="88"/>
        <v>1.3760084286574352</v>
      </c>
      <c r="CL10" s="6">
        <f t="shared" si="89"/>
        <v>35</v>
      </c>
      <c r="CM10" s="5">
        <f t="shared" si="90"/>
        <v>0.94822396146899457</v>
      </c>
      <c r="CN10" s="5">
        <f t="shared" si="91"/>
        <v>8.75</v>
      </c>
      <c r="CO10" s="21">
        <f t="shared" si="92"/>
        <v>0.11428571428571428</v>
      </c>
      <c r="CP10" s="5">
        <f t="shared" si="93"/>
        <v>7.971428571428571E-2</v>
      </c>
      <c r="CQ10" s="334">
        <f t="shared" si="94"/>
        <v>7.971428571428571E-2</v>
      </c>
      <c r="CR10" s="6">
        <f t="shared" si="95"/>
        <v>214</v>
      </c>
      <c r="CS10" s="5">
        <f t="shared" si="96"/>
        <v>5.7977122215532813</v>
      </c>
      <c r="CT10" s="6">
        <f t="shared" si="97"/>
        <v>126</v>
      </c>
      <c r="CU10" s="5">
        <f t="shared" si="98"/>
        <v>3.4136062612883804</v>
      </c>
      <c r="CV10" s="6">
        <f t="shared" si="99"/>
        <v>95</v>
      </c>
      <c r="CW10" s="5">
        <f t="shared" si="100"/>
        <v>2.5737507525586993</v>
      </c>
      <c r="CX10" s="154">
        <f t="shared" si="101"/>
        <v>440.7</v>
      </c>
      <c r="CY10" s="5">
        <f t="shared" si="102"/>
        <v>11.939494280553882</v>
      </c>
      <c r="CZ10" s="183">
        <f t="shared" si="103"/>
        <v>204</v>
      </c>
      <c r="DA10" s="117">
        <f t="shared" si="104"/>
        <v>5.5267910897049966</v>
      </c>
      <c r="DB10" s="117">
        <f t="shared" si="105"/>
        <v>6.3</v>
      </c>
      <c r="DC10" s="117">
        <f t="shared" si="106"/>
        <v>6.82</v>
      </c>
      <c r="DD10" s="316"/>
      <c r="DE10" s="313" t="s">
        <v>13</v>
      </c>
      <c r="DF10" s="313" t="s">
        <v>676</v>
      </c>
      <c r="DG10" s="313">
        <v>30</v>
      </c>
      <c r="DH10" s="313" t="s">
        <v>661</v>
      </c>
      <c r="DI10" s="313" t="s">
        <v>579</v>
      </c>
      <c r="DJ10" s="313" t="s">
        <v>644</v>
      </c>
      <c r="DK10" s="313" t="s">
        <v>662</v>
      </c>
      <c r="DL10" s="313" t="s">
        <v>678</v>
      </c>
      <c r="DM10" s="318">
        <v>47118</v>
      </c>
      <c r="DN10" s="313">
        <v>3322</v>
      </c>
      <c r="DO10" s="313" t="s">
        <v>695</v>
      </c>
      <c r="DP10" s="313">
        <v>0</v>
      </c>
      <c r="DQ10" s="313">
        <v>0</v>
      </c>
      <c r="DR10" s="313">
        <v>3</v>
      </c>
      <c r="DS10" s="313">
        <v>4</v>
      </c>
      <c r="DT10" s="313">
        <v>7</v>
      </c>
      <c r="DU10" s="313">
        <v>0</v>
      </c>
      <c r="DV10" s="313">
        <v>7</v>
      </c>
      <c r="DW10" s="313">
        <v>6.3</v>
      </c>
      <c r="DX10" s="313">
        <v>3.07</v>
      </c>
      <c r="DY10" s="313">
        <v>2.79</v>
      </c>
      <c r="DZ10" s="313">
        <v>47</v>
      </c>
      <c r="EA10" s="313">
        <v>5</v>
      </c>
      <c r="EB10" s="313">
        <v>70</v>
      </c>
      <c r="EC10" s="313">
        <v>33</v>
      </c>
      <c r="ED10" s="313">
        <v>0.1</v>
      </c>
      <c r="EE10" s="313">
        <v>1995</v>
      </c>
      <c r="EF10" s="313">
        <v>1814</v>
      </c>
      <c r="EG10" s="313">
        <v>35</v>
      </c>
      <c r="EH10" s="313">
        <v>175</v>
      </c>
      <c r="EI10" s="313">
        <v>5</v>
      </c>
      <c r="EJ10" s="313">
        <v>42</v>
      </c>
      <c r="EK10" s="313">
        <v>19</v>
      </c>
      <c r="EL10" s="313">
        <v>299</v>
      </c>
      <c r="EM10" s="313">
        <v>77</v>
      </c>
      <c r="EN10" s="313">
        <v>86</v>
      </c>
      <c r="EO10" s="313">
        <v>47</v>
      </c>
      <c r="EP10" s="313">
        <v>4</v>
      </c>
      <c r="EQ10" s="313">
        <v>20</v>
      </c>
      <c r="ER10" s="313">
        <v>134</v>
      </c>
      <c r="ES10" s="313">
        <v>18</v>
      </c>
      <c r="ET10" s="313">
        <v>40</v>
      </c>
      <c r="EU10" s="313">
        <v>8.4</v>
      </c>
      <c r="EV10" s="313">
        <v>0.8</v>
      </c>
      <c r="EW10" s="313">
        <v>14</v>
      </c>
      <c r="EX10" s="313">
        <v>6</v>
      </c>
      <c r="EY10" s="313">
        <v>1</v>
      </c>
      <c r="EZ10" s="313">
        <v>0</v>
      </c>
      <c r="FA10" s="313">
        <v>0</v>
      </c>
      <c r="FB10" s="313" t="s">
        <v>677</v>
      </c>
      <c r="FC10" s="346">
        <v>6.82</v>
      </c>
    </row>
    <row r="11" spans="1:159" ht="24.95" customHeight="1" thickBot="1" x14ac:dyDescent="0.3">
      <c r="A11" s="29" t="str">
        <f t="shared" si="0"/>
        <v>10º</v>
      </c>
      <c r="B11" s="69" t="str">
        <f t="shared" si="1"/>
        <v>Pablo Roberto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Juventude</v>
      </c>
      <c r="F11" s="168">
        <f t="shared" si="5"/>
        <v>1.83</v>
      </c>
      <c r="G11" s="36">
        <f t="shared" si="6"/>
        <v>26</v>
      </c>
      <c r="H11" s="347" t="str">
        <f t="shared" si="7"/>
        <v>15m € p/m</v>
      </c>
      <c r="I11" s="35">
        <f t="shared" si="8"/>
        <v>47118</v>
      </c>
      <c r="J11" s="28" t="str">
        <f t="shared" si="9"/>
        <v>6M € - 9,2M €</v>
      </c>
      <c r="K11" s="96">
        <f t="shared" si="10"/>
        <v>36.659999999999997</v>
      </c>
      <c r="L11" s="146">
        <f t="shared" si="11"/>
        <v>33.133333333333333</v>
      </c>
      <c r="M11" s="146">
        <f t="shared" si="12"/>
        <v>43</v>
      </c>
      <c r="N11" s="146">
        <f t="shared" si="13"/>
        <v>69.348837209302332</v>
      </c>
      <c r="O11" s="187">
        <f t="shared" si="14"/>
        <v>1</v>
      </c>
      <c r="P11" s="6">
        <f t="shared" si="15"/>
        <v>0</v>
      </c>
      <c r="Q11" s="6">
        <f t="shared" si="16"/>
        <v>0</v>
      </c>
      <c r="R11" s="6">
        <f t="shared" si="17"/>
        <v>0</v>
      </c>
      <c r="S11" s="21">
        <f t="shared" si="18"/>
        <v>9.9999999999999995E-8</v>
      </c>
      <c r="T11" s="2">
        <f t="shared" si="19"/>
        <v>9</v>
      </c>
      <c r="U11" s="2">
        <f t="shared" si="20"/>
        <v>4</v>
      </c>
      <c r="V11" s="6">
        <f t="shared" si="21"/>
        <v>13</v>
      </c>
      <c r="W11" s="211">
        <f t="shared" si="22"/>
        <v>69</v>
      </c>
      <c r="X11" s="5">
        <f t="shared" si="23"/>
        <v>2.0824949698189137</v>
      </c>
      <c r="Y11" s="6">
        <f t="shared" si="24"/>
        <v>78</v>
      </c>
      <c r="Z11" s="5">
        <f t="shared" si="25"/>
        <v>2.3541247484909458</v>
      </c>
      <c r="AA11" s="6">
        <f t="shared" si="26"/>
        <v>29</v>
      </c>
      <c r="AB11" s="5">
        <f t="shared" si="27"/>
        <v>0.87525150905432592</v>
      </c>
      <c r="AC11" s="21">
        <f t="shared" si="28"/>
        <v>0.37179487179487181</v>
      </c>
      <c r="AD11" s="337">
        <f t="shared" si="29"/>
        <v>0.11538461538461539</v>
      </c>
      <c r="AE11" s="5">
        <f t="shared" si="30"/>
        <v>8.93</v>
      </c>
      <c r="AF11" s="5">
        <f t="shared" si="31"/>
        <v>0.26951710261569417</v>
      </c>
      <c r="AG11" s="5">
        <f t="shared" si="32"/>
        <v>8.93</v>
      </c>
      <c r="AH11" s="5">
        <f t="shared" si="33"/>
        <v>0.26951710261569417</v>
      </c>
      <c r="AI11" s="5">
        <f t="shared" si="34"/>
        <v>6.47</v>
      </c>
      <c r="AJ11" s="5">
        <f t="shared" si="35"/>
        <v>0.19527162977867202</v>
      </c>
      <c r="AK11" s="5">
        <f t="shared" si="36"/>
        <v>15.399999999999999</v>
      </c>
      <c r="AL11" s="5">
        <f t="shared" si="37"/>
        <v>0.46478873239436619</v>
      </c>
      <c r="AM11" s="2">
        <f t="shared" si="38"/>
        <v>1</v>
      </c>
      <c r="AN11" s="5">
        <f t="shared" si="39"/>
        <v>2982</v>
      </c>
      <c r="AO11" s="21">
        <f t="shared" si="40"/>
        <v>3.0181086519114688E-2</v>
      </c>
      <c r="AP11" s="6">
        <f t="shared" si="41"/>
        <v>42</v>
      </c>
      <c r="AQ11" s="5">
        <f t="shared" si="42"/>
        <v>1.267605633802817</v>
      </c>
      <c r="AR11" s="6">
        <f t="shared" si="43"/>
        <v>64</v>
      </c>
      <c r="AS11" s="5">
        <f t="shared" si="44"/>
        <v>1.93158953722334</v>
      </c>
      <c r="AT11" s="6">
        <f t="shared" si="45"/>
        <v>26</v>
      </c>
      <c r="AU11" s="5">
        <f t="shared" si="46"/>
        <v>0.78470824949698192</v>
      </c>
      <c r="AV11" s="6">
        <f t="shared" si="47"/>
        <v>38</v>
      </c>
      <c r="AW11" s="5">
        <f t="shared" si="48"/>
        <v>1.1468812877263581</v>
      </c>
      <c r="AX11" s="20">
        <f t="shared" si="49"/>
        <v>0.40625</v>
      </c>
      <c r="AY11" s="2">
        <f t="shared" si="50"/>
        <v>29</v>
      </c>
      <c r="AZ11" s="5">
        <f t="shared" si="51"/>
        <v>0.87525150905432592</v>
      </c>
      <c r="BA11" s="2">
        <f t="shared" si="52"/>
        <v>25</v>
      </c>
      <c r="BB11" s="12">
        <f t="shared" si="53"/>
        <v>0.13793103448275862</v>
      </c>
      <c r="BC11" s="6">
        <f t="shared" si="54"/>
        <v>182</v>
      </c>
      <c r="BD11" s="5">
        <f t="shared" si="55"/>
        <v>5.492957746478873</v>
      </c>
      <c r="BE11" s="6">
        <f t="shared" si="56"/>
        <v>49</v>
      </c>
      <c r="BF11" s="5">
        <f t="shared" si="57"/>
        <v>1.4788732394366197</v>
      </c>
      <c r="BG11" s="21">
        <f t="shared" si="58"/>
        <v>0.26923076923076922</v>
      </c>
      <c r="BH11" s="2">
        <f t="shared" si="59"/>
        <v>4</v>
      </c>
      <c r="BI11" s="2">
        <f t="shared" si="60"/>
        <v>0</v>
      </c>
      <c r="BJ11" s="2">
        <f t="shared" si="61"/>
        <v>4</v>
      </c>
      <c r="BK11" s="2">
        <f t="shared" si="62"/>
        <v>56</v>
      </c>
      <c r="BL11" s="2">
        <f t="shared" si="63"/>
        <v>27</v>
      </c>
      <c r="BM11" s="21">
        <f t="shared" si="64"/>
        <v>0.48214285714285715</v>
      </c>
      <c r="BN11" s="21">
        <f t="shared" si="65"/>
        <v>0.86206896551724133</v>
      </c>
      <c r="BO11" s="6">
        <f t="shared" si="66"/>
        <v>1</v>
      </c>
      <c r="BP11" s="5">
        <f t="shared" si="67"/>
        <v>3.0181086519114688E-2</v>
      </c>
      <c r="BQ11" s="181">
        <f t="shared" si="68"/>
        <v>32</v>
      </c>
      <c r="BR11" s="181">
        <f t="shared" si="69"/>
        <v>7</v>
      </c>
      <c r="BS11" s="182">
        <f t="shared" si="70"/>
        <v>0.21875</v>
      </c>
      <c r="BT11" s="6">
        <f t="shared" si="71"/>
        <v>1432</v>
      </c>
      <c r="BU11" s="6">
        <f t="shared" si="72"/>
        <v>1267</v>
      </c>
      <c r="BV11" s="5">
        <f t="shared" si="73"/>
        <v>33.259557344064383</v>
      </c>
      <c r="BW11" s="6">
        <f t="shared" si="74"/>
        <v>165</v>
      </c>
      <c r="BX11" s="21">
        <f t="shared" si="75"/>
        <v>0.88477653631284914</v>
      </c>
      <c r="BY11" s="6">
        <f t="shared" si="76"/>
        <v>121</v>
      </c>
      <c r="BZ11" s="5">
        <f t="shared" si="77"/>
        <v>3.6519114688128775</v>
      </c>
      <c r="CA11" s="6">
        <f t="shared" si="78"/>
        <v>42</v>
      </c>
      <c r="CB11" s="6">
        <f t="shared" si="79"/>
        <v>79</v>
      </c>
      <c r="CC11" s="20">
        <f t="shared" si="80"/>
        <v>0.34710743801652894</v>
      </c>
      <c r="CD11" s="5">
        <f t="shared" si="81"/>
        <v>54.356136820925556</v>
      </c>
      <c r="CE11" s="6">
        <f t="shared" si="82"/>
        <v>1971.47</v>
      </c>
      <c r="CF11" s="5">
        <f t="shared" si="83"/>
        <v>59.501106639839037</v>
      </c>
      <c r="CG11" s="6">
        <f t="shared" si="84"/>
        <v>1460</v>
      </c>
      <c r="CH11" s="5">
        <f t="shared" si="85"/>
        <v>44.064386317907449</v>
      </c>
      <c r="CI11" s="21">
        <f t="shared" si="86"/>
        <v>0.74056414756501487</v>
      </c>
      <c r="CJ11" s="6">
        <f t="shared" si="87"/>
        <v>94.47</v>
      </c>
      <c r="CK11" s="5">
        <f t="shared" si="88"/>
        <v>2.8512072434607645</v>
      </c>
      <c r="CL11" s="6">
        <f t="shared" si="89"/>
        <v>67</v>
      </c>
      <c r="CM11" s="5">
        <f t="shared" si="90"/>
        <v>2.0221327967806841</v>
      </c>
      <c r="CN11" s="5">
        <f t="shared" si="91"/>
        <v>16.75</v>
      </c>
      <c r="CO11" s="21">
        <f t="shared" si="92"/>
        <v>5.9701492537313432E-2</v>
      </c>
      <c r="CP11" s="5">
        <f t="shared" si="93"/>
        <v>9.6567164179104478E-2</v>
      </c>
      <c r="CQ11" s="334">
        <f t="shared" si="94"/>
        <v>9.6567164179104478E-2</v>
      </c>
      <c r="CR11" s="6">
        <f t="shared" si="95"/>
        <v>61.5</v>
      </c>
      <c r="CS11" s="5">
        <f t="shared" si="96"/>
        <v>1.8561368209255533</v>
      </c>
      <c r="CT11" s="6">
        <f t="shared" si="97"/>
        <v>75.5</v>
      </c>
      <c r="CU11" s="5">
        <f t="shared" si="98"/>
        <v>2.2786720321931591</v>
      </c>
      <c r="CV11" s="6">
        <f t="shared" si="99"/>
        <v>216</v>
      </c>
      <c r="CW11" s="5">
        <f t="shared" si="100"/>
        <v>6.5191146881287727</v>
      </c>
      <c r="CX11" s="154">
        <f t="shared" si="101"/>
        <v>392.6</v>
      </c>
      <c r="CY11" s="5">
        <f t="shared" si="102"/>
        <v>11.849094567404427</v>
      </c>
      <c r="CZ11" s="183">
        <f t="shared" si="103"/>
        <v>214</v>
      </c>
      <c r="DA11" s="117">
        <f t="shared" si="104"/>
        <v>6.4587525150905432</v>
      </c>
      <c r="DB11" s="117">
        <f t="shared" si="105"/>
        <v>13.4</v>
      </c>
      <c r="DC11" s="117">
        <f t="shared" si="106"/>
        <v>6.94</v>
      </c>
      <c r="DD11" s="316"/>
      <c r="DE11" s="313" t="s">
        <v>13</v>
      </c>
      <c r="DF11" s="313" t="s">
        <v>800</v>
      </c>
      <c r="DG11" s="313">
        <v>26</v>
      </c>
      <c r="DH11" s="313" t="s">
        <v>778</v>
      </c>
      <c r="DI11" s="313" t="s">
        <v>586</v>
      </c>
      <c r="DJ11" s="313" t="s">
        <v>644</v>
      </c>
      <c r="DK11" s="313" t="s">
        <v>801</v>
      </c>
      <c r="DL11" s="313" t="s">
        <v>641</v>
      </c>
      <c r="DM11" s="318">
        <v>47118</v>
      </c>
      <c r="DN11" s="313">
        <v>2982</v>
      </c>
      <c r="DO11" s="313" t="s">
        <v>776</v>
      </c>
      <c r="DP11" s="313">
        <v>1</v>
      </c>
      <c r="DQ11" s="313">
        <v>0</v>
      </c>
      <c r="DR11" s="313">
        <v>9</v>
      </c>
      <c r="DS11" s="313">
        <v>4</v>
      </c>
      <c r="DT11" s="313">
        <v>4</v>
      </c>
      <c r="DU11" s="313">
        <v>0</v>
      </c>
      <c r="DV11" s="313">
        <v>14</v>
      </c>
      <c r="DW11" s="313">
        <v>13.4</v>
      </c>
      <c r="DX11" s="313">
        <v>8.93</v>
      </c>
      <c r="DY11" s="313">
        <v>6.47</v>
      </c>
      <c r="DZ11" s="313">
        <v>29</v>
      </c>
      <c r="EA11" s="313">
        <v>35</v>
      </c>
      <c r="EB11" s="313">
        <v>121</v>
      </c>
      <c r="EC11" s="313">
        <v>42</v>
      </c>
      <c r="ED11" s="313">
        <v>0.1</v>
      </c>
      <c r="EE11" s="313">
        <v>1432</v>
      </c>
      <c r="EF11" s="313">
        <v>1267</v>
      </c>
      <c r="EG11" s="313">
        <v>67</v>
      </c>
      <c r="EH11" s="313">
        <v>103</v>
      </c>
      <c r="EI11" s="313">
        <v>50</v>
      </c>
      <c r="EJ11" s="313">
        <v>78</v>
      </c>
      <c r="EK11" s="313">
        <v>29</v>
      </c>
      <c r="EL11" s="313">
        <v>182</v>
      </c>
      <c r="EM11" s="313">
        <v>49</v>
      </c>
      <c r="EN11" s="313">
        <v>35</v>
      </c>
      <c r="EO11" s="313">
        <v>26</v>
      </c>
      <c r="EP11" s="313">
        <v>1</v>
      </c>
      <c r="EQ11" s="313">
        <v>5</v>
      </c>
      <c r="ER11" s="313">
        <v>42</v>
      </c>
      <c r="ES11" s="313">
        <v>3</v>
      </c>
      <c r="ET11" s="313">
        <v>11</v>
      </c>
      <c r="EU11" s="313">
        <v>10.5</v>
      </c>
      <c r="EV11" s="313">
        <v>0.9</v>
      </c>
      <c r="EW11" s="313">
        <v>32</v>
      </c>
      <c r="EX11" s="313">
        <v>7</v>
      </c>
      <c r="EY11" s="313">
        <v>0</v>
      </c>
      <c r="EZ11" s="313">
        <v>0</v>
      </c>
      <c r="FA11" s="313">
        <v>0</v>
      </c>
      <c r="FB11" s="313" t="s">
        <v>802</v>
      </c>
      <c r="FC11" s="346">
        <v>6.94</v>
      </c>
    </row>
    <row r="12" spans="1:159" ht="24.95" customHeight="1" x14ac:dyDescent="0.25"/>
    <row r="13" spans="1:159" ht="24.95" customHeight="1" x14ac:dyDescent="0.25"/>
    <row r="14" spans="1:159" ht="24.95" customHeight="1" x14ac:dyDescent="0.25"/>
    <row r="15" spans="1:159" ht="24.95" customHeight="1" x14ac:dyDescent="0.25"/>
    <row r="16" spans="1:159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FC939">
    <sortState ref="B2:FC939">
      <sortCondition ref="B1:B939"/>
    </sortState>
  </autoFilter>
  <phoneticPr fontId="53" type="noConversion"/>
  <conditionalFormatting sqref="BH1:BH104857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:BI1048576">
    <cfRule type="colorScale" priority="239">
      <colorScale>
        <cfvo type="min"/>
        <cfvo type="max"/>
        <color rgb="FFFCFCFF"/>
        <color rgb="FFF8696B"/>
      </colorScale>
    </cfRule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:BJ1048576">
    <cfRule type="colorScale" priority="238">
      <colorScale>
        <cfvo type="min"/>
        <cfvo type="max"/>
        <color rgb="FFFCFCFF"/>
        <color rgb="FFF8696B"/>
      </colorScale>
    </cfRule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:BV1048576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1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0">
      <colorScale>
        <cfvo type="min"/>
        <cfvo type="max"/>
        <color rgb="FFFFEF9C"/>
        <color rgb="FF63BE7B"/>
      </colorScale>
    </cfRule>
  </conditionalFormatting>
  <conditionalFormatting sqref="BL1:BL1048576">
    <cfRule type="iconSet" priority="1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447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B1:AC1048576 AE2:AG104857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48576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L1048576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2:CC1048576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20">
      <colorScale>
        <cfvo type="min"/>
        <cfvo type="max"/>
        <color rgb="FFFFEF9C"/>
        <color rgb="FF63BE7B"/>
      </colorScale>
    </cfRule>
  </conditionalFormatting>
  <conditionalFormatting sqref="CE1:CF1048576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9">
      <colorScale>
        <cfvo type="min"/>
        <cfvo type="max"/>
        <color rgb="FFFFEF9C"/>
        <color rgb="FF63BE7B"/>
      </colorScale>
    </cfRule>
  </conditionalFormatting>
  <conditionalFormatting sqref="R1">
    <cfRule type="colorScale" priority="387">
      <colorScale>
        <cfvo type="min"/>
        <cfvo type="max"/>
        <color rgb="FFFCFCFF"/>
        <color rgb="FFF8696B"/>
      </colorScale>
    </cfRule>
  </conditionalFormatting>
  <conditionalFormatting sqref="P1">
    <cfRule type="colorScale" priority="385">
      <colorScale>
        <cfvo type="min"/>
        <cfvo type="max"/>
        <color rgb="FFFFEF9C"/>
        <color rgb="FF63BE7B"/>
      </colorScale>
    </cfRule>
  </conditionalFormatting>
  <conditionalFormatting sqref="P1">
    <cfRule type="colorScale" priority="382">
      <colorScale>
        <cfvo type="min"/>
        <cfvo type="max"/>
        <color rgb="FFFFEF9C"/>
        <color rgb="FF63BE7B"/>
      </colorScale>
    </cfRule>
  </conditionalFormatting>
  <conditionalFormatting sqref="Q1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363">
      <colorScale>
        <cfvo type="min"/>
        <cfvo type="max"/>
        <color rgb="FFFCFCFF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A1048576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A1048576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8">
      <colorScale>
        <cfvo type="min"/>
        <cfvo type="max"/>
        <color rgb="FFFFEF9C"/>
        <color rgb="FF63BE7B"/>
      </colorScale>
    </cfRule>
  </conditionalFormatting>
  <conditionalFormatting sqref="BN1:BN1048576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1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iconSet" priority="12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iconSet" priority="229">
      <iconSet iconSet="3Arrows">
        <cfvo type="percent" val="0"/>
        <cfvo type="num" val="6.7"/>
        <cfvo type="num" val="7"/>
      </iconSet>
    </cfRule>
    <cfRule type="colorScale" priority="342">
      <colorScale>
        <cfvo type="num" val="6.69"/>
        <cfvo type="num" val="6.97"/>
        <cfvo type="num" val="7"/>
        <color rgb="FFF8696B"/>
        <color rgb="FFFFEB84"/>
        <color rgb="FF63BE7B"/>
      </colorScale>
    </cfRule>
  </conditionalFormatting>
  <conditionalFormatting sqref="CD1:CI1 CC2:CI1048576">
    <cfRule type="colorScale" priority="484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I1048576">
    <cfRule type="colorScale" priority="484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H1048576">
    <cfRule type="colorScale" priority="484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8">
      <colorScale>
        <cfvo type="min"/>
        <cfvo type="max"/>
        <color rgb="FFFFEF9C"/>
        <color rgb="FF63BE7B"/>
      </colorScale>
    </cfRule>
  </conditionalFormatting>
  <conditionalFormatting sqref="AE2:AE1048576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1048576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1048576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48576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L1048576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L1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L1048576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{0BEE6840-99D9-4160-BA1B-72FACB87E6F4}</x14:id>
        </ext>
      </extLst>
    </cfRule>
    <cfRule type="colorScale" priority="22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L1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{E9EFC9C9-0CAE-406B-9CD0-E96A3814585E}</x14:id>
        </ext>
      </extLst>
    </cfRule>
    <cfRule type="colorScale" priority="22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{735C0E13-374C-47B7-92B3-49D157C4AB5C}</x14:id>
        </ext>
      </extLst>
    </cfRule>
    <cfRule type="colorScale" priority="22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{9564D87C-A908-44E0-9614-D4C1C9B4DC8D}</x14:id>
        </ext>
      </extLst>
    </cfRule>
    <cfRule type="colorScale" priority="22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9">
      <colorScale>
        <cfvo type="min"/>
        <cfvo type="max"/>
        <color rgb="FFFFEF9C"/>
        <color rgb="FF63BE7B"/>
      </colorScale>
    </cfRule>
  </conditionalFormatting>
  <conditionalFormatting sqref="BY1:CA1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0">
      <colorScale>
        <cfvo type="min"/>
        <cfvo type="max"/>
        <color rgb="FFFFEF9C"/>
        <color rgb="FF63BE7B"/>
      </colorScale>
    </cfRule>
  </conditionalFormatting>
  <conditionalFormatting sqref="BY1:CA1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CA1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6">
      <colorScale>
        <cfvo type="min"/>
        <cfvo type="max"/>
        <color rgb="FFFFEF9C"/>
        <color rgb="FF63BE7B"/>
      </colorScale>
    </cfRule>
  </conditionalFormatting>
  <conditionalFormatting sqref="CB1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274">
      <colorScale>
        <cfvo type="min"/>
        <cfvo type="max"/>
        <color rgb="FFFCFCFF"/>
        <color rgb="FFF8696B"/>
      </colorScale>
    </cfRule>
  </conditionalFormatting>
  <conditionalFormatting sqref="CC1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0">
      <colorScale>
        <cfvo type="min"/>
        <cfvo type="max"/>
        <color rgb="FFFFEF9C"/>
        <color rgb="FF63BE7B"/>
      </colorScale>
    </cfRule>
  </conditionalFormatting>
  <conditionalFormatting sqref="CC1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269">
      <colorScale>
        <cfvo type="min"/>
        <cfvo type="max"/>
        <color rgb="FFFFEF9C"/>
        <color rgb="FF63BE7B"/>
      </colorScale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G1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G1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1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S1048576 BP1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{894C061B-733F-4E6D-ADBF-F218639729C4}</x14:id>
        </ext>
      </extLst>
    </cfRule>
    <cfRule type="colorScale" priority="2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H1:AH104857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{B7EFE5DE-0AE2-435C-B0DE-FE6F77F733C1}</x14:id>
        </ext>
      </extLst>
    </cfRule>
    <cfRule type="colorScale" priority="22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I1:AI104857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{0DF6CD23-CEEB-4074-ACD1-A2C08491358A}</x14:id>
        </ext>
      </extLst>
    </cfRule>
    <cfRule type="colorScale" priority="22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K1:AK104857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{A3BC3AC7-14A9-4364-9107-F74DF2124DD3}</x14:id>
        </ext>
      </extLst>
    </cfRule>
    <cfRule type="colorScale" priority="22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Q1">
    <cfRule type="iconSet" priority="2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:BS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S1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EF9C"/>
        <color rgb="FF63BE7B"/>
      </colorScale>
    </cfRule>
  </conditionalFormatting>
  <conditionalFormatting sqref="BS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">
    <cfRule type="iconSet" priority="1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{B6818099-FC14-42BA-B46E-6CFFD247E357}</x14:id>
        </ext>
      </extLst>
    </cfRule>
    <cfRule type="colorScale" priority="149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19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92">
      <iconSet iconSet="3Arrows">
        <cfvo type="percent" val="0"/>
        <cfvo type="percent" val="33"/>
        <cfvo type="percent" val="67"/>
      </iconSet>
    </cfRule>
  </conditionalFormatting>
  <conditionalFormatting sqref="BR1:BR1048576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{C5A2172C-C906-4F46-B782-516E132FED96}</x14:id>
        </ext>
      </extLst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19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1:BT1048576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7">
      <dataBar>
        <cfvo type="min"/>
        <cfvo type="max"/>
        <color rgb="FFB0C5E2"/>
      </dataBar>
      <extLst>
        <ext xmlns:x14="http://schemas.microsoft.com/office/spreadsheetml/2009/9/main" uri="{B025F937-C7B1-47D3-B67F-A62EFF666E3E}">
          <x14:id>{DE283332-3E2D-474B-923C-9D2DDC605911}</x14:id>
        </ext>
      </extLst>
    </cfRule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{561122CD-B5E5-4210-806A-062E043B6727}</x14:id>
        </ext>
      </extLst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P1:BP1048576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18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2:CJ11">
    <cfRule type="colorScale" priority="186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CJ2:CJ1048576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iconSet" priority="1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1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">
    <cfRule type="iconSet" priority="115">
      <iconSet iconSet="3ArrowsGray">
        <cfvo type="percent" val="0"/>
        <cfvo type="percent" val="33"/>
        <cfvo type="percent" val="67"/>
      </iconSet>
    </cfRule>
    <cfRule type="colorScale" priority="118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AO1">
    <cfRule type="iconSet" priority="113">
      <iconSet iconSet="3ArrowsGray">
        <cfvo type="percent" val="0"/>
        <cfvo type="percent" val="33"/>
        <cfvo type="percent" val="67"/>
      </iconSet>
    </cfRule>
    <cfRule type="colorScale" priority="11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AM1:AM1048576">
    <cfRule type="colorScale" priority="108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12">
      <iconSet iconSet="3ArrowsGray">
        <cfvo type="percent" val="0"/>
        <cfvo type="percent" val="33"/>
        <cfvo type="percent" val="67"/>
      </iconSet>
    </cfRule>
  </conditionalFormatting>
  <conditionalFormatting sqref="AO1:AO1048576">
    <cfRule type="colorScale" priority="10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10">
      <iconSet iconSet="3ArrowsGray">
        <cfvo type="percent" val="0"/>
        <cfvo type="percent" val="33"/>
        <cfvo type="percent" val="67"/>
      </iconSet>
    </cfRule>
  </conditionalFormatting>
  <conditionalFormatting sqref="AN1:AN1048576">
    <cfRule type="colorScale" priority="107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109">
      <iconSet iconSet="3ArrowsGray" reverse="1">
        <cfvo type="percent" val="0"/>
        <cfvo type="percent" val="33"/>
        <cfvo type="percent" val="67"/>
      </iconSet>
    </cfRule>
  </conditionalFormatting>
  <conditionalFormatting sqref="CX1:CX1048576">
    <cfRule type="colorScale" priority="103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10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1:CY1048576">
    <cfRule type="iconSet" priority="95">
      <iconSet iconSet="3Arrows">
        <cfvo type="percent" val="0"/>
        <cfvo type="percent" val="33"/>
        <cfvo type="percent" val="67"/>
      </iconSet>
    </cfRule>
    <cfRule type="colorScale" priority="96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CZ1:CZ1048576">
    <cfRule type="iconSet" priority="93">
      <iconSet iconSet="3Arrows" reverse="1">
        <cfvo type="percent" val="0"/>
        <cfvo type="percent" val="33"/>
        <cfvo type="percent" val="67"/>
      </iconSet>
    </cfRule>
    <cfRule type="colorScale" priority="94">
      <colorScale>
        <cfvo type="min"/>
        <cfvo type="max"/>
        <color rgb="FFFCFCFF"/>
        <color rgb="FFF8696B"/>
      </colorScale>
    </cfRule>
  </conditionalFormatting>
  <conditionalFormatting sqref="DA1:DA1048576">
    <cfRule type="iconSet" priority="91">
      <iconSet iconSet="3Arrows" reverse="1">
        <cfvo type="percent" val="0"/>
        <cfvo type="percent" val="33"/>
        <cfvo type="percent" val="67"/>
      </iconSet>
    </cfRule>
    <cfRule type="colorScale" priority="92">
      <colorScale>
        <cfvo type="min"/>
        <cfvo type="max"/>
        <color rgb="FFFCFCFF"/>
        <color rgb="FFF8696B"/>
      </colorScale>
    </cfRule>
  </conditionalFormatting>
  <conditionalFormatting sqref="DB1:DB1048576">
    <cfRule type="iconSet" priority="89">
      <iconSet iconSet="3Arrows" reverse="1">
        <cfvo type="percent" val="0"/>
        <cfvo type="percent" val="33"/>
        <cfvo type="percent" val="67"/>
      </iconSet>
    </cfRule>
    <cfRule type="colorScale" priority="90">
      <colorScale>
        <cfvo type="min"/>
        <cfvo type="max"/>
        <color rgb="FFFCFCFF"/>
        <color rgb="FFF8696B"/>
      </colorScale>
    </cfRule>
  </conditionalFormatting>
  <conditionalFormatting sqref="W1:W1048576">
    <cfRule type="iconSet" priority="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048576">
    <cfRule type="iconSet" priority="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M1048576">
    <cfRule type="colorScale" priority="2076819">
      <colorScale>
        <cfvo type="min"/>
        <cfvo type="max"/>
        <color rgb="FFFFEF9C"/>
        <color rgb="FF63BE7B"/>
      </colorScale>
    </cfRule>
  </conditionalFormatting>
  <conditionalFormatting sqref="AR1:AR1048576">
    <cfRule type="iconSet" priority="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max"/>
        <color rgb="FFFFEF9C"/>
        <color rgb="FF63BE7B"/>
      </colorScale>
    </cfRule>
  </conditionalFormatting>
  <conditionalFormatting sqref="AS1:AS1048576"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max"/>
        <color rgb="FFFFEF9C"/>
        <color rgb="FF63BE7B"/>
      </colorScale>
    </cfRule>
  </conditionalFormatting>
  <conditionalFormatting sqref="AT1:AT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{86E95E8D-E0B4-4D9A-AA27-0ECF26914EFE}</x14:id>
        </ext>
      </extLst>
    </cfRule>
    <cfRule type="colorScale" priority="69">
      <colorScale>
        <cfvo type="min"/>
        <cfvo type="max"/>
        <color rgb="FFFCFCFF"/>
        <color rgb="FFF8696B"/>
      </colorScale>
    </cfRule>
  </conditionalFormatting>
  <conditionalFormatting sqref="AZ1:AZ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{442FCEE9-C163-4406-9C75-ED9168CEF606}</x14:id>
        </ext>
      </extLst>
    </cfRule>
    <cfRule type="colorScale" priority="68">
      <colorScale>
        <cfvo type="min"/>
        <cfvo type="max"/>
        <color rgb="FFFCFCFF"/>
        <color rgb="FFF8696B"/>
      </colorScale>
    </cfRule>
  </conditionalFormatting>
  <conditionalFormatting sqref="BA1:BA1048576">
    <cfRule type="colorScale" priority="67">
      <colorScale>
        <cfvo type="min"/>
        <cfvo type="max"/>
        <color rgb="FFFFEF9C"/>
        <color rgb="FF63BE7B"/>
      </colorScale>
    </cfRule>
  </conditionalFormatting>
  <conditionalFormatting sqref="BB1:BB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{F45F5E5B-CAEF-48E2-9502-82F3EF8ED100}</x14:id>
        </ext>
      </extLst>
    </cfRule>
    <cfRule type="colorScale" priority="66">
      <colorScale>
        <cfvo type="min"/>
        <cfvo type="max"/>
        <color rgb="FFFCFCFF"/>
        <color rgb="FFF8696B"/>
      </colorScale>
    </cfRule>
  </conditionalFormatting>
  <conditionalFormatting sqref="AU1:AU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{4FAB539C-D42F-4DB9-B6AC-481FEF821EBB}</x14:id>
        </ext>
      </extLst>
    </cfRule>
    <cfRule type="iconSet" priority="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2">
      <colorScale>
        <cfvo type="min"/>
        <cfvo type="max"/>
        <color rgb="FFFCFCFF"/>
        <color rgb="FFF8696B"/>
      </colorScale>
    </cfRule>
  </conditionalFormatting>
  <conditionalFormatting sqref="AV1:AV1048576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{48BFB06A-434A-4772-A325-4C015B737757}</x14:id>
        </ext>
      </extLst>
    </cfRule>
    <cfRule type="iconSet" priority="5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0">
      <colorScale>
        <cfvo type="min"/>
        <cfvo type="max"/>
        <color rgb="FFFCFCFF"/>
        <color rgb="FFF8696B"/>
      </colorScale>
    </cfRule>
  </conditionalFormatting>
  <conditionalFormatting sqref="CR1:CR1048576"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4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30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CL1:CL1048576">
    <cfRule type="iconSet" priority="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1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2395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{3C6D9AB0-9EF5-47E4-A747-8E9A53086777}</x14:id>
        </ext>
      </extLst>
    </cfRule>
  </conditionalFormatting>
  <conditionalFormatting sqref="AD1:AD1048576">
    <cfRule type="dataBar" priority="6">
      <dataBar>
        <cfvo type="min"/>
        <cfvo type="max"/>
        <color rgb="FF00589A"/>
      </dataBar>
      <extLst>
        <ext xmlns:x14="http://schemas.microsoft.com/office/spreadsheetml/2009/9/main" uri="{B025F937-C7B1-47D3-B67F-A62EFF666E3E}">
          <x14:id>{BBC81912-40CE-4D27-891B-357B2262B56C}</x14:id>
        </ext>
      </extLst>
    </cfRule>
  </conditionalFormatting>
  <conditionalFormatting sqref="BN12:BS1048576 BN1:BP1 BN2:BN11">
    <cfRule type="colorScale" priority="23990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2:BX1048576 BX1">
    <cfRule type="colorScale" priority="23990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V1048576 BT1:BT11 BV1:BV11">
    <cfRule type="colorScale" priority="2399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U1048576 BT1:BT11">
    <cfRule type="colorScale" priority="23990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V1048576 BT1:BT11 BV1:BV11">
    <cfRule type="colorScale" priority="2399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2:BS1048576 BK1:BP1 BK2:BN11">
    <cfRule type="colorScale" priority="2399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2:BS1048576 BK1:BP1 BK2:BN11">
    <cfRule type="colorScale" priority="2399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AA1048576 Y1:AA1 Y2:AC11 AE2:AL11">
    <cfRule type="colorScale" priority="23990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048576 Y1 Y2:AC11 AE2:AL11">
    <cfRule type="colorScale" priority="23990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1">
    <cfRule type="colorScale" priority="23990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Z11">
    <cfRule type="colorScale" priority="2399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2:CA11">
    <cfRule type="colorScale" priority="23990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2:CB11">
    <cfRule type="colorScale" priority="2399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 BV2:BV11">
    <cfRule type="colorScale" priority="23990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1">
    <cfRule type="colorScale" priority="23990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G11">
    <cfRule type="colorScale" priority="2399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1">
    <cfRule type="colorScale" priority="2399096">
      <colorScale>
        <cfvo type="min"/>
        <cfvo type="max"/>
        <color rgb="FFFFEF9C"/>
        <color rgb="FF63BE7B"/>
      </colorScale>
    </cfRule>
  </conditionalFormatting>
  <conditionalFormatting sqref="BO2:BO11">
    <cfRule type="colorScale" priority="2399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1">
    <cfRule type="colorScale" priority="2399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2:BS11">
    <cfRule type="colorScale" priority="23990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S11">
    <cfRule type="colorScale" priority="2399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:DC11">
    <cfRule type="colorScale" priority="2399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2:DC11">
    <cfRule type="colorScale" priority="2399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:DC11">
    <cfRule type="colorScale" priority="2399103">
      <colorScale>
        <cfvo type="min"/>
        <cfvo type="max"/>
        <color rgb="FFFFEF9C"/>
        <color rgb="FF63BE7B"/>
      </colorScale>
    </cfRule>
  </conditionalFormatting>
  <conditionalFormatting sqref="CC2:CI11">
    <cfRule type="colorScale" priority="2399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I11">
    <cfRule type="colorScale" priority="2399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I11">
    <cfRule type="colorScale" priority="2399106">
      <colorScale>
        <cfvo type="min"/>
        <cfvo type="max"/>
        <color rgb="FFFFEF9C"/>
        <color rgb="FF63BE7B"/>
      </colorScale>
    </cfRule>
  </conditionalFormatting>
  <conditionalFormatting sqref="CH1:CH11">
    <cfRule type="colorScale" priority="2399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C11 AE2:AG11">
    <cfRule type="colorScale" priority="2399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C11 AE2:AG11">
    <cfRule type="colorScale" priority="2399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C11 AE2:AG11">
    <cfRule type="colorScale" priority="2399112">
      <colorScale>
        <cfvo type="min"/>
        <cfvo type="max"/>
        <color rgb="FFFFEF9C"/>
        <color rgb="FF63BE7B"/>
      </colorScale>
    </cfRule>
  </conditionalFormatting>
  <conditionalFormatting sqref="CJ2:CJ11">
    <cfRule type="colorScale" priority="2399114">
      <colorScale>
        <cfvo type="min"/>
        <cfvo type="max"/>
        <color rgb="FFFFEF9C"/>
        <color rgb="FF63BE7B"/>
      </colorScale>
    </cfRule>
  </conditionalFormatting>
  <conditionalFormatting sqref="CJ2:CJ11">
    <cfRule type="colorScale" priority="2399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N11">
    <cfRule type="colorScale" priority="2399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N11">
    <cfRule type="colorScale" priority="2399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399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399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99120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399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{BB8606C0-344E-457D-8F38-C8487DBEC240}</x14:id>
        </ext>
      </extLst>
    </cfRule>
    <cfRule type="colorScale" priority="2399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399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EE6840-99D9-4160-BA1B-72FACB87E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E9EFC9C9-0CAE-406B-9CD0-E96A38145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735C0E13-374C-47B7-92B3-49D157C4A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9564D87C-A908-44E0-9614-D4C1C9B4DC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894C061B-733F-4E6D-ADBF-F21863972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B7EFE5DE-0AE2-435C-B0DE-FE6F77F73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AH1:AH1048576</xm:sqref>
        </x14:conditionalFormatting>
        <x14:conditionalFormatting xmlns:xm="http://schemas.microsoft.com/office/excel/2006/main">
          <x14:cfRule type="dataBar" id="{0DF6CD23-CEEB-4074-ACD1-A2C084913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AI1:AI1048576</xm:sqref>
        </x14:conditionalFormatting>
        <x14:conditionalFormatting xmlns:xm="http://schemas.microsoft.com/office/excel/2006/main">
          <x14:cfRule type="dataBar" id="{A3BC3AC7-14A9-4364-9107-F74DF2124D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B6818099-FC14-42BA-B46E-6CFFD247E3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C5A2172C-C906-4F46-B782-516E132FED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DE283332-3E2D-474B-923C-9D2DDC6059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61122CD-B5E5-4210-806A-062E043B6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86E95E8D-E0B4-4D9A-AA27-0ECF26914E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442FCEE9-C163-4406-9C75-ED9168CEF6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F45F5E5B-CAEF-48E2-9502-82F3EF8ED1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4FAB539C-D42F-4DB9-B6AC-481FEF821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48BFB06A-434A-4772-A325-4C015B737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C6D9AB0-9EF5-47E4-A747-8E9A53086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CQ1:CQ1048576</xm:sqref>
        </x14:conditionalFormatting>
        <x14:conditionalFormatting xmlns:xm="http://schemas.microsoft.com/office/excel/2006/main">
          <x14:cfRule type="dataBar" id="{BBC81912-40CE-4D27-891B-357B2262B5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BB8606C0-344E-457D-8F38-C8487DBEC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9" tint="-0.249977111117893"/>
  </sheetPr>
  <dimension ref="A1:EU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27.95" customHeight="1" x14ac:dyDescent="0.25"/>
  <cols>
    <col min="2" max="2" width="30.7109375" customWidth="1"/>
    <col min="3" max="3" width="12.5703125" customWidth="1"/>
    <col min="4" max="4" width="21.7109375" customWidth="1"/>
    <col min="5" max="5" width="24.42578125" bestFit="1" customWidth="1"/>
    <col min="6" max="6" width="14.7109375" customWidth="1"/>
    <col min="7" max="7" width="18.28515625" customWidth="1"/>
    <col min="8" max="8" width="15.7109375" customWidth="1"/>
    <col min="9" max="9" width="15.85546875" style="13" customWidth="1"/>
    <col min="10" max="10" width="17.28515625" bestFit="1" customWidth="1"/>
    <col min="11" max="11" width="11.140625" customWidth="1"/>
    <col min="12" max="12" width="15.28515625" customWidth="1"/>
    <col min="13" max="25" width="18.7109375" customWidth="1"/>
    <col min="26" max="26" width="20.5703125" customWidth="1"/>
    <col min="27" max="65" width="18.7109375" customWidth="1"/>
    <col min="66" max="67" width="18.7109375" style="1" customWidth="1"/>
    <col min="68" max="71" width="18.7109375" customWidth="1"/>
    <col min="72" max="78" width="18.7109375" style="1" customWidth="1"/>
    <col min="79" max="81" width="18.7109375" style="206" customWidth="1"/>
    <col min="82" max="82" width="18.7109375" style="357" customWidth="1"/>
    <col min="83" max="108" width="18.7109375" customWidth="1"/>
    <col min="109" max="109" width="18.7109375" style="103" customWidth="1"/>
    <col min="110" max="110" width="8.7109375" style="1" customWidth="1"/>
    <col min="111" max="120" width="11.7109375" style="1" customWidth="1"/>
    <col min="121" max="121" width="11.7109375" style="206" customWidth="1"/>
    <col min="122" max="141" width="11.7109375" style="1" customWidth="1"/>
    <col min="142" max="143" width="9.140625" style="1"/>
    <col min="144" max="150" width="11.7109375" style="1" customWidth="1"/>
    <col min="151" max="151" width="11.7109375" style="206" customWidth="1"/>
  </cols>
  <sheetData>
    <row r="1" spans="1:151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88</v>
      </c>
      <c r="H1" s="4" t="s">
        <v>1</v>
      </c>
      <c r="I1" s="85" t="s">
        <v>3</v>
      </c>
      <c r="J1" s="4" t="s">
        <v>21</v>
      </c>
      <c r="K1" s="4" t="s">
        <v>231</v>
      </c>
      <c r="L1" s="30" t="s">
        <v>121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24</v>
      </c>
      <c r="R1" s="224" t="s">
        <v>66</v>
      </c>
      <c r="S1" s="98" t="s">
        <v>38</v>
      </c>
      <c r="T1" s="98" t="s">
        <v>417</v>
      </c>
      <c r="U1" s="98" t="s">
        <v>416</v>
      </c>
      <c r="V1" s="104" t="s">
        <v>823</v>
      </c>
      <c r="W1" s="104" t="s">
        <v>826</v>
      </c>
      <c r="X1" s="104" t="s">
        <v>817</v>
      </c>
      <c r="Y1" s="104" t="s">
        <v>827</v>
      </c>
      <c r="Z1" s="104" t="s">
        <v>824</v>
      </c>
      <c r="AA1" s="104" t="s">
        <v>818</v>
      </c>
      <c r="AB1" s="104" t="s">
        <v>241</v>
      </c>
      <c r="AC1" s="104" t="s">
        <v>238</v>
      </c>
      <c r="AD1" s="105" t="s">
        <v>239</v>
      </c>
      <c r="AE1" s="104" t="s">
        <v>240</v>
      </c>
      <c r="AF1" s="38" t="s">
        <v>22</v>
      </c>
      <c r="AG1" s="38" t="s">
        <v>65</v>
      </c>
      <c r="AH1" s="38" t="s">
        <v>66</v>
      </c>
      <c r="AI1" s="38" t="s">
        <v>54</v>
      </c>
      <c r="AJ1" s="38" t="s">
        <v>318</v>
      </c>
      <c r="AK1" s="38" t="s">
        <v>150</v>
      </c>
      <c r="AL1" s="38" t="s">
        <v>155</v>
      </c>
      <c r="AM1" s="38" t="s">
        <v>432</v>
      </c>
      <c r="AN1" s="356" t="s">
        <v>92</v>
      </c>
      <c r="AO1" s="356" t="s">
        <v>181</v>
      </c>
      <c r="AP1" s="46" t="s">
        <v>7</v>
      </c>
      <c r="AQ1" s="46" t="s">
        <v>475</v>
      </c>
      <c r="AR1" s="46" t="s">
        <v>476</v>
      </c>
      <c r="AS1" s="46" t="s">
        <v>169</v>
      </c>
      <c r="AT1" s="46" t="s">
        <v>337</v>
      </c>
      <c r="AU1" s="46" t="s">
        <v>345</v>
      </c>
      <c r="AV1" s="46" t="s">
        <v>346</v>
      </c>
      <c r="AW1" s="46" t="s">
        <v>542</v>
      </c>
      <c r="AX1" s="46" t="s">
        <v>541</v>
      </c>
      <c r="AY1" s="26" t="s">
        <v>390</v>
      </c>
      <c r="AZ1" s="26" t="s">
        <v>391</v>
      </c>
      <c r="BA1" s="4" t="s">
        <v>392</v>
      </c>
      <c r="BB1" s="17" t="s">
        <v>78</v>
      </c>
      <c r="BC1" s="17" t="s">
        <v>53</v>
      </c>
      <c r="BD1" s="17" t="s">
        <v>117</v>
      </c>
      <c r="BE1" s="17" t="s">
        <v>129</v>
      </c>
      <c r="BF1" s="17" t="s">
        <v>130</v>
      </c>
      <c r="BG1" s="17" t="s">
        <v>52</v>
      </c>
      <c r="BH1" s="17" t="s">
        <v>27</v>
      </c>
      <c r="BI1" s="17" t="s">
        <v>87</v>
      </c>
      <c r="BJ1" s="40" t="s">
        <v>442</v>
      </c>
      <c r="BK1" s="40" t="s">
        <v>434</v>
      </c>
      <c r="BL1" s="40" t="s">
        <v>444</v>
      </c>
      <c r="BM1" s="174" t="s">
        <v>445</v>
      </c>
      <c r="BN1" s="17" t="s">
        <v>443</v>
      </c>
      <c r="BO1" s="46" t="s">
        <v>450</v>
      </c>
      <c r="BP1" s="4" t="s">
        <v>350</v>
      </c>
      <c r="BQ1" s="4" t="s">
        <v>351</v>
      </c>
      <c r="BR1" s="4" t="s">
        <v>62</v>
      </c>
      <c r="BS1" s="4" t="s">
        <v>175</v>
      </c>
      <c r="BT1" s="41" t="s">
        <v>426</v>
      </c>
      <c r="BU1" s="41" t="s">
        <v>330</v>
      </c>
      <c r="BV1" s="41" t="s">
        <v>436</v>
      </c>
      <c r="BW1" s="16" t="s">
        <v>435</v>
      </c>
      <c r="BX1" s="40" t="s">
        <v>61</v>
      </c>
      <c r="BY1" s="40" t="s">
        <v>86</v>
      </c>
      <c r="BZ1" s="174" t="s">
        <v>399</v>
      </c>
      <c r="CA1" s="358" t="s">
        <v>829</v>
      </c>
      <c r="CB1" s="358" t="s">
        <v>318</v>
      </c>
      <c r="CC1" s="358" t="s">
        <v>830</v>
      </c>
      <c r="CD1" s="359" t="s">
        <v>828</v>
      </c>
      <c r="CE1" s="204" t="s">
        <v>26</v>
      </c>
      <c r="CF1" s="205" t="s">
        <v>120</v>
      </c>
      <c r="CG1" s="200" t="s">
        <v>488</v>
      </c>
      <c r="CH1" s="200" t="s">
        <v>489</v>
      </c>
      <c r="CI1" s="200" t="s">
        <v>487</v>
      </c>
      <c r="CJ1" s="200" t="s">
        <v>490</v>
      </c>
      <c r="CK1" s="200" t="s">
        <v>491</v>
      </c>
      <c r="CL1" s="22" t="s">
        <v>248</v>
      </c>
      <c r="CM1" s="22" t="s">
        <v>249</v>
      </c>
      <c r="CN1" s="34" t="s">
        <v>311</v>
      </c>
      <c r="CO1" s="34" t="s">
        <v>312</v>
      </c>
      <c r="CP1" s="141" t="s">
        <v>154</v>
      </c>
      <c r="CQ1" s="52" t="s">
        <v>134</v>
      </c>
      <c r="CR1" s="52" t="s">
        <v>313</v>
      </c>
      <c r="CS1" s="46" t="s">
        <v>314</v>
      </c>
      <c r="CT1" s="52" t="s">
        <v>393</v>
      </c>
      <c r="CU1" s="46" t="s">
        <v>208</v>
      </c>
      <c r="CV1" s="52" t="s">
        <v>207</v>
      </c>
      <c r="CW1" s="46" t="s">
        <v>135</v>
      </c>
      <c r="CX1" s="43" t="s">
        <v>414</v>
      </c>
      <c r="CY1" s="43" t="s">
        <v>415</v>
      </c>
      <c r="CZ1" s="43" t="s">
        <v>180</v>
      </c>
      <c r="DA1" s="45" t="s">
        <v>347</v>
      </c>
      <c r="DB1" s="45" t="s">
        <v>81</v>
      </c>
      <c r="DC1" s="40" t="s">
        <v>431</v>
      </c>
      <c r="DD1" s="40" t="s">
        <v>167</v>
      </c>
      <c r="DE1" s="110" t="s">
        <v>25</v>
      </c>
      <c r="DF1" s="293" t="s">
        <v>14</v>
      </c>
      <c r="DG1" s="294" t="s">
        <v>621</v>
      </c>
      <c r="DH1" s="294" t="s">
        <v>20</v>
      </c>
      <c r="DI1" s="294" t="s">
        <v>1</v>
      </c>
      <c r="DJ1" s="294" t="s">
        <v>0</v>
      </c>
      <c r="DK1" s="294" t="s">
        <v>29</v>
      </c>
      <c r="DL1" s="294" t="s">
        <v>40</v>
      </c>
      <c r="DM1" s="294" t="s">
        <v>2</v>
      </c>
      <c r="DN1" s="294" t="s">
        <v>3</v>
      </c>
      <c r="DO1" s="294" t="s">
        <v>89</v>
      </c>
      <c r="DP1" s="294" t="s">
        <v>622</v>
      </c>
      <c r="DQ1" s="294" t="s">
        <v>683</v>
      </c>
      <c r="DR1" s="294" t="s">
        <v>30</v>
      </c>
      <c r="DS1" s="294" t="s">
        <v>684</v>
      </c>
      <c r="DT1" s="294" t="s">
        <v>685</v>
      </c>
      <c r="DU1" s="294" t="s">
        <v>4</v>
      </c>
      <c r="DV1" s="294" t="s">
        <v>179</v>
      </c>
      <c r="DW1" s="294" t="s">
        <v>7</v>
      </c>
      <c r="DX1" s="294" t="s">
        <v>166</v>
      </c>
      <c r="DY1" s="294" t="s">
        <v>646</v>
      </c>
      <c r="DZ1" s="294" t="s">
        <v>647</v>
      </c>
      <c r="EA1" s="294" t="s">
        <v>15</v>
      </c>
      <c r="EB1" s="294" t="s">
        <v>16</v>
      </c>
      <c r="EC1" s="294" t="s">
        <v>649</v>
      </c>
      <c r="ED1" s="294" t="s">
        <v>648</v>
      </c>
      <c r="EE1" s="294" t="s">
        <v>10</v>
      </c>
      <c r="EF1" s="294" t="s">
        <v>8</v>
      </c>
      <c r="EG1" s="294" t="s">
        <v>9</v>
      </c>
      <c r="EH1" s="294" t="s">
        <v>189</v>
      </c>
      <c r="EI1" s="294" t="s">
        <v>190</v>
      </c>
      <c r="EJ1" s="294" t="s">
        <v>568</v>
      </c>
      <c r="EK1" s="294" t="s">
        <v>569</v>
      </c>
      <c r="EL1" s="294" t="s">
        <v>93</v>
      </c>
      <c r="EM1" s="294" t="s">
        <v>94</v>
      </c>
      <c r="EN1" s="294" t="s">
        <v>812</v>
      </c>
      <c r="EO1" s="294" t="s">
        <v>788</v>
      </c>
      <c r="EP1" s="294" t="s">
        <v>686</v>
      </c>
      <c r="EQ1" s="294" t="s">
        <v>5</v>
      </c>
      <c r="ER1" s="294" t="s">
        <v>103</v>
      </c>
      <c r="ES1" s="294" t="s">
        <v>167</v>
      </c>
      <c r="ET1" s="294" t="s">
        <v>18</v>
      </c>
      <c r="EU1" s="295" t="s">
        <v>643</v>
      </c>
    </row>
    <row r="2" spans="1:151" ht="24.95" customHeight="1" thickBot="1" x14ac:dyDescent="0.3">
      <c r="A2" s="29" t="str">
        <f t="shared" ref="A2:A11" si="0">ROW()-1 &amp; "º"</f>
        <v>1º</v>
      </c>
      <c r="B2" s="69" t="str">
        <f t="shared" ref="B2:B11" si="1">DH2</f>
        <v>Bruno Gomes</v>
      </c>
      <c r="C2" s="86" t="str">
        <f t="shared" ref="C2:C11" si="2">DG2</f>
        <v>BRA</v>
      </c>
      <c r="D2" s="99" t="str">
        <f t="shared" ref="D2:D11" si="3">DL2</f>
        <v>Pé Direito</v>
      </c>
      <c r="E2" s="9" t="str">
        <f t="shared" ref="E2:E11" si="4">DJ2</f>
        <v>Internacional</v>
      </c>
      <c r="F2" s="168">
        <f t="shared" ref="F2:F11" si="5">IFERROR(SUBSTITUTE(DK2," cm","")/100,0)</f>
        <v>1.75</v>
      </c>
      <c r="G2" s="35">
        <f t="shared" ref="G2:G11" si="6">IF(DO2="-", "Sem Data Final", DO2)</f>
        <v>46752</v>
      </c>
      <c r="H2" s="7">
        <f t="shared" ref="H2:H11" si="7">DI2</f>
        <v>25</v>
      </c>
      <c r="I2" s="349" t="str">
        <f t="shared" ref="I2:I11" si="8">DN2</f>
        <v>26,5m € p/m</v>
      </c>
      <c r="J2" s="3" t="str">
        <f t="shared" ref="J2:J11" si="9">DM2</f>
        <v>650m € - 8M €</v>
      </c>
      <c r="K2" s="96">
        <f t="shared" ref="K2:K11" si="10">AVERAGE(L:L)</f>
        <v>27.547777777777775</v>
      </c>
      <c r="L2" s="145">
        <f t="shared" ref="L2:L11" si="11">DP2/90</f>
        <v>33.5</v>
      </c>
      <c r="M2" s="146">
        <f t="shared" ref="M2:M11" si="12">IF(ISERROR(FIND("(",DQ2)), VALUE(DQ2), VALUE(LEFT(DQ2,FIND("(",DQ2)-2)) + VALUE(MID(DQ2,FIND("(",DQ2)+1,FIND(")",DQ2)-FIND("(",DQ2)-1)))</f>
        <v>39</v>
      </c>
      <c r="N2" s="146">
        <f t="shared" ref="N2:N11" si="13">IFERROR(DP2/M2,0)</f>
        <v>77.307692307692307</v>
      </c>
      <c r="O2" s="187">
        <f t="shared" ref="O2:O11" si="14">IFERROR(IF(ISERROR(FIND("(",DQ2)), "100%", TEXT(VALUE(LEFT(DQ2,FIND("(",DQ2)-2)) / (VALUE(LEFT(DQ2,FIND("(",DQ2)-2)) + VALUE(MID(DQ2,FIND("(",DQ2)+1,FIND(")",DQ2)-FIND("(",DQ2)-1))),"0%")),0)*1</f>
        <v>0.92</v>
      </c>
      <c r="P2" s="2">
        <f t="shared" ref="P2:P11" si="15">DS2</f>
        <v>2</v>
      </c>
      <c r="Q2" s="2">
        <f t="shared" ref="Q2:Q11" si="16">DT2</f>
        <v>6</v>
      </c>
      <c r="R2" s="2">
        <f t="shared" ref="R2:R11" si="17">P2+Q2</f>
        <v>8</v>
      </c>
      <c r="S2" s="6">
        <f t="shared" ref="S2:S11" si="18">DR2</f>
        <v>0</v>
      </c>
      <c r="T2" s="24">
        <f t="shared" ref="T2:T11" si="19">IFERROR(DP2/S2,5000)</f>
        <v>5000</v>
      </c>
      <c r="U2" s="21">
        <f t="shared" ref="U2:U11" si="20">(S2*1)/L2</f>
        <v>0</v>
      </c>
      <c r="V2" s="348">
        <f t="shared" ref="V2:V11" si="21">EL2-EJ2</f>
        <v>0</v>
      </c>
      <c r="W2" s="350">
        <f t="shared" ref="W2:W11" si="22">IFERROR(V2/L2,0)</f>
        <v>0</v>
      </c>
      <c r="X2" s="348">
        <f t="shared" ref="X2:X11" si="23">EM2-EK2</f>
        <v>0</v>
      </c>
      <c r="Y2" s="350">
        <f t="shared" ref="Y2:Y11" si="24">IFERROR(X2/L2,0)</f>
        <v>0</v>
      </c>
      <c r="Z2" s="337">
        <f t="shared" ref="Z2:Z11" si="25">IFERROR(X2/V2,0)</f>
        <v>0</v>
      </c>
      <c r="AA2" s="348">
        <f t="shared" ref="AA2:AA11" si="26">EP2</f>
        <v>1</v>
      </c>
      <c r="AB2" s="333">
        <f t="shared" ref="AB2:AB11" si="27">EQ2</f>
        <v>0</v>
      </c>
      <c r="AC2" s="333">
        <f t="shared" ref="AC2:AC11" si="28">ER2</f>
        <v>0</v>
      </c>
      <c r="AD2" s="333">
        <f t="shared" ref="AD2:AD11" si="29">EQ2-ER2</f>
        <v>0</v>
      </c>
      <c r="AE2" s="21">
        <f t="shared" ref="AE2:AE11" si="30">IFERROR((ER2*1)/EQ2,0.0000001)</f>
        <v>9.9999999999999995E-8</v>
      </c>
      <c r="AF2" s="6">
        <f t="shared" ref="AF2:AF11" si="31">DS2</f>
        <v>2</v>
      </c>
      <c r="AG2" s="6">
        <f t="shared" ref="AG2:AG11" si="32">DT2</f>
        <v>6</v>
      </c>
      <c r="AH2" s="6">
        <f t="shared" ref="AH2:AH11" si="33">AF2+AG2</f>
        <v>8</v>
      </c>
      <c r="AI2" s="6">
        <f t="shared" ref="AI2:AI11" si="34">AF2-ER2</f>
        <v>2</v>
      </c>
      <c r="AJ2" s="2">
        <f t="shared" ref="AJ2:AJ11" si="35">EN2</f>
        <v>1</v>
      </c>
      <c r="AK2" s="5">
        <f t="shared" ref="AK2:AK11" si="36">IFERROR((P2/L2),0)</f>
        <v>5.9701492537313432E-2</v>
      </c>
      <c r="AL2" s="5">
        <f t="shared" ref="AL2:AL11" si="37">IFERROR((Q2/L2),0)</f>
        <v>0.17910447761194029</v>
      </c>
      <c r="AM2" s="5">
        <f t="shared" ref="AM2:AM11" si="38">IFERROR((P2+Q2)/L2,0)</f>
        <v>0.23880597014925373</v>
      </c>
      <c r="AN2" s="354">
        <f t="shared" ref="AN2:AN11" si="39">EE2</f>
        <v>81</v>
      </c>
      <c r="AO2" s="355">
        <f t="shared" ref="AO2:AO11" si="40">IFERROR(AN2/L2,0)</f>
        <v>2.4179104477611939</v>
      </c>
      <c r="AP2" s="5">
        <f t="shared" ref="AP2:AP11" si="41">SUBSTITUTE(DW2,".","," )*1</f>
        <v>1.65</v>
      </c>
      <c r="AQ2" s="5">
        <f t="shared" ref="AQ2:AQ11" si="42">IFERROR(AP2-(EQ2*0.79),0)</f>
        <v>1.65</v>
      </c>
      <c r="AR2" s="5">
        <f t="shared" ref="AR2:AR11" si="43">IFERROR(AQ2/L2,0)</f>
        <v>4.9253731343283577E-2</v>
      </c>
      <c r="AS2" s="5">
        <f t="shared" ref="AS2:AS11" si="44">SUBSTITUTE(DX2,".","," )*1</f>
        <v>5.74</v>
      </c>
      <c r="AT2" s="5">
        <f t="shared" ref="AT2:AT11" si="45">IFERROR(AS2/L2,0)</f>
        <v>0.17134328358208956</v>
      </c>
      <c r="AU2" s="5">
        <f t="shared" ref="AU2:AU11" si="46">AQ2+AS2</f>
        <v>7.3900000000000006</v>
      </c>
      <c r="AV2" s="5">
        <f t="shared" ref="AV2:AV11" si="47">IFERROR(AU2/L2,0)</f>
        <v>0.22059701492537315</v>
      </c>
      <c r="AW2" s="21">
        <f t="shared" ref="AW2:AW11" si="48">IFERROR(AS2/(AS2+DT2),0)</f>
        <v>0.48892674616695059</v>
      </c>
      <c r="AX2" s="21">
        <f t="shared" ref="AX2:AX11" si="49">IFERROR(DS2/(DS2+AP2),0)</f>
        <v>0.54794520547945202</v>
      </c>
      <c r="AY2" s="6">
        <f t="shared" ref="AY2:AY11" si="50">EJ2</f>
        <v>188</v>
      </c>
      <c r="AZ2" s="6">
        <f t="shared" ref="AZ2:AZ11" si="51">EK2</f>
        <v>36</v>
      </c>
      <c r="BA2" s="21">
        <f t="shared" ref="BA2:BA11" si="52">IFERROR((AZ2*1)/AY2,0)</f>
        <v>0.19148936170212766</v>
      </c>
      <c r="BB2" s="6">
        <f t="shared" ref="BB2:BB11" si="53">EA2</f>
        <v>1687</v>
      </c>
      <c r="BC2" s="6">
        <f t="shared" ref="BC2:BC11" si="54">EB2</f>
        <v>1510</v>
      </c>
      <c r="BD2" s="24">
        <f t="shared" ref="BD2:BD11" si="55">IFERROR(EA2/L2,0)</f>
        <v>50.35820895522388</v>
      </c>
      <c r="BE2" s="24">
        <f t="shared" ref="BE2:BE11" si="56">IFERROR(EB2/L2,0)</f>
        <v>45.07462686567164</v>
      </c>
      <c r="BF2" s="24">
        <f t="shared" ref="BF2:BF11" si="57">IFERROR(BD2-BE2,0)</f>
        <v>5.2835820895522403</v>
      </c>
      <c r="BG2" s="20">
        <f t="shared" ref="BG2:BG11" si="58">IFERROR((EB2*1)/EA2,0)</f>
        <v>0.89508002371072914</v>
      </c>
      <c r="BH2" s="6">
        <f t="shared" ref="BH2:BH11" si="59">IFERROR(EA2-EB2,0)</f>
        <v>177</v>
      </c>
      <c r="BI2" s="21">
        <f t="shared" ref="BI2:BI11" si="60">100%-BG2</f>
        <v>0.10491997628927086</v>
      </c>
      <c r="BJ2" s="211">
        <f t="shared" ref="BJ2:BJ11" si="61">IFERROR(EC2,0)</f>
        <v>62</v>
      </c>
      <c r="BK2" s="199">
        <f t="shared" ref="BK2:BK11" si="62">IFERROR(BJ2/L2,0)</f>
        <v>1.8507462686567164</v>
      </c>
      <c r="BL2" s="5">
        <f t="shared" ref="BL2:BL11" si="63">IFERROR(EC2/DT2,25)</f>
        <v>10.333333333333334</v>
      </c>
      <c r="BM2" s="21">
        <f t="shared" ref="BM2:BM11" si="64">IFERROR(DT2/EC2,0)</f>
        <v>9.6774193548387094E-2</v>
      </c>
      <c r="BN2" s="5">
        <f t="shared" ref="BN2:BN11" si="65">IFERROR((AS2-DT2),0)</f>
        <v>-0.25999999999999979</v>
      </c>
      <c r="BO2" s="5">
        <f t="shared" ref="BO2:BO11" si="66">IFERROR(AS2/EC2,0)</f>
        <v>9.2580645161290331E-2</v>
      </c>
      <c r="BP2" s="24">
        <f t="shared" ref="BP2:BP11" si="67">IFERROR(DP2/EC2,0)</f>
        <v>48.62903225806452</v>
      </c>
      <c r="BQ2" s="5">
        <f t="shared" ref="BQ2:BQ11" si="68">IFERROR(DP2/((DU2-EQ2)+EG2+EC2),0)</f>
        <v>34.261363636363633</v>
      </c>
      <c r="BR2" s="5">
        <f t="shared" ref="BR2:BR11" si="69">IFERROR(DS2-AP2,0)</f>
        <v>0.35000000000000009</v>
      </c>
      <c r="BS2" s="5">
        <f t="shared" ref="BS2:BS11" si="70">IFERROR(BR2-(ER2*0.79),0)</f>
        <v>0.35000000000000009</v>
      </c>
      <c r="BT2" s="6">
        <f t="shared" ref="BT2:BT11" si="71">IFERROR(EF2-EQ2,0)</f>
        <v>22</v>
      </c>
      <c r="BU2" s="5">
        <f t="shared" ref="BU2:BU11" si="72">IFERROR(BT2/L2,0)</f>
        <v>0.65671641791044777</v>
      </c>
      <c r="BV2" s="5">
        <f t="shared" ref="BV2:BV11" si="73">IFERROR((EG2-ER2)/L2,0)</f>
        <v>0.26865671641791045</v>
      </c>
      <c r="BW2" s="21">
        <f t="shared" ref="BW2:BW11" si="74">IFERROR(((EG2-ER2)/(EF2-EQ2)),0)</f>
        <v>0.40909090909090912</v>
      </c>
      <c r="BX2" s="5">
        <f t="shared" ref="BX2:BX11" si="75">IFERROR(BT2/(DS2-ER2),50)</f>
        <v>11</v>
      </c>
      <c r="BY2" s="5">
        <f t="shared" ref="BY2:BY11" si="76">IFERROR(EG2/DS2,50)</f>
        <v>4.5</v>
      </c>
      <c r="BZ2" s="21">
        <f t="shared" ref="BZ2:BZ11" si="77">IFERROR(AI2/BT2,0)</f>
        <v>9.0909090909090912E-2</v>
      </c>
      <c r="CA2" s="348">
        <f t="shared" ref="CA2:CA11" si="78">DS2-EN2-EQ2</f>
        <v>1</v>
      </c>
      <c r="CB2" s="348">
        <f t="shared" ref="CB2:CB11" si="79">EN2</f>
        <v>1</v>
      </c>
      <c r="CC2" s="348">
        <f t="shared" ref="CC2:CC11" si="80">EQ2</f>
        <v>0</v>
      </c>
      <c r="CD2" s="21">
        <f t="shared" ref="CD2:CD11" si="81">(EN2/L2)/EO2</f>
        <v>7.4626865671641784E-2</v>
      </c>
      <c r="CE2" s="6">
        <f t="shared" ref="CE2:CE11" si="82">DV2</f>
        <v>13.8</v>
      </c>
      <c r="CF2" s="5">
        <f t="shared" ref="CF2:CF11" si="83">IFERROR(CE2/L2,0)</f>
        <v>0.41194029850746272</v>
      </c>
      <c r="CG2" s="181">
        <f t="shared" ref="CG2:CG11" si="84">IFERROR(EJ2+EF2+EE2+EC2,0)</f>
        <v>353</v>
      </c>
      <c r="CH2" s="5">
        <f t="shared" ref="CH2:CH11" si="85">IFERROR(CG2/L2,0)</f>
        <v>10.537313432835822</v>
      </c>
      <c r="CI2" s="6">
        <f t="shared" ref="CI2:CI11" si="86">IFERROR(EK2+EG2+EE2+EC2,0)</f>
        <v>188</v>
      </c>
      <c r="CJ2" s="5">
        <f t="shared" ref="CJ2:CJ11" si="87">IFERROR(CI2/L2,0)</f>
        <v>5.6119402985074629</v>
      </c>
      <c r="CK2" s="21">
        <f t="shared" ref="CK2:CK11" si="88">IFERROR(CI2/CG2,0)</f>
        <v>0.53257790368271951</v>
      </c>
      <c r="CL2" s="6">
        <f t="shared" ref="CL2:CL11" si="89">IFERROR(EG2+AS2+(DU2-EQ2)+EC2+EN2+EK2+(DS2*0.5)+(DT2*0.5),0)</f>
        <v>134.74</v>
      </c>
      <c r="CM2" s="5">
        <f t="shared" ref="CM2:CM11" si="90">IFERROR(CL2/L2,0)</f>
        <v>4.022089552238806</v>
      </c>
      <c r="CN2" s="6">
        <f t="shared" ref="CN2:CN11" si="91">IFERROR((EC2+(DU2-EQ2)+AS2)+(DS2*0.75)+(DT2*0.75)+EG2+EK2,0)</f>
        <v>135.74</v>
      </c>
      <c r="CO2" s="5">
        <f t="shared" ref="CO2:CO11" si="92">IFERROR(CN2/L2,0)</f>
        <v>4.0519402985074633</v>
      </c>
      <c r="CP2" s="5">
        <f t="shared" ref="CP2:CP11" si="93">IFERROR((EA2+EE2+EK2+EM2+EP2+ER2+EI2+EF2+DU2+EC2+ED2)/L2,0)</f>
        <v>65.731343283582092</v>
      </c>
      <c r="CQ2" s="5">
        <f t="shared" ref="CQ2:CQ11" si="94">IFERROR((EB2+EC2+DU2+ED2)/L2,0)</f>
        <v>52.895522388059703</v>
      </c>
      <c r="CR2" s="6">
        <f t="shared" ref="CR2:CR11" si="95">IFERROR((EC2+ED2),0)</f>
        <v>245</v>
      </c>
      <c r="CS2" s="5">
        <f t="shared" ref="CS2:CS11" si="96">IFERROR(CR2/L2,0)</f>
        <v>7.3134328358208958</v>
      </c>
      <c r="CT2" s="6">
        <f t="shared" ref="CT2:CT11" si="97">IFERROR(EE2+EF2+EC2+(DU2-EQ2)+ED2+EJ2,0)</f>
        <v>553</v>
      </c>
      <c r="CU2" s="5">
        <f t="shared" ref="CU2:CU11" si="98">IFERROR(CT2/L2,0)</f>
        <v>16.507462686567163</v>
      </c>
      <c r="CV2" s="6">
        <f t="shared" ref="CV2:CV11" si="99">IFERROR(EC2+DU2+EF2,0)</f>
        <v>101</v>
      </c>
      <c r="CW2" s="5">
        <f t="shared" ref="CW2:CW11" si="100">IFERROR(CV2/L2,0)</f>
        <v>3.0149253731343282</v>
      </c>
      <c r="CX2" s="6">
        <f t="shared" ref="CX2:CX11" si="101">(EF2-EG2)+(EA2-EB2)+(EJ2-EK2)</f>
        <v>342</v>
      </c>
      <c r="CY2" s="5">
        <f t="shared" ref="CY2:CY11" si="102">IFERROR(CX2/L2,0)</f>
        <v>10.208955223880597</v>
      </c>
      <c r="CZ2" s="5">
        <f t="shared" ref="CZ2:CZ11" si="103">DV2</f>
        <v>13.8</v>
      </c>
      <c r="DA2" s="5">
        <f t="shared" ref="DA2:DA11" si="104">VALUE(SUBSTITUTE(ET2, " km", ""))</f>
        <v>420.3</v>
      </c>
      <c r="DB2" s="5">
        <f t="shared" ref="DB2:DB11" si="105">IFERROR(DA2/L2,0)</f>
        <v>12.546268656716418</v>
      </c>
      <c r="DC2" s="333">
        <f t="shared" ref="DC2:DC11" si="106">DD2*L2</f>
        <v>770.5</v>
      </c>
      <c r="DD2" s="334">
        <f t="shared" ref="DD2:DD11" si="107">ES2</f>
        <v>23</v>
      </c>
      <c r="DE2" s="62">
        <f t="shared" ref="DE2:DE11" si="108">IFERROR(VALUE(SUBSTITUTE(EU2, ".", ",")),0)</f>
        <v>6.92</v>
      </c>
      <c r="DF2" s="302"/>
      <c r="DG2" s="298" t="s">
        <v>13</v>
      </c>
      <c r="DH2" s="298" t="s">
        <v>629</v>
      </c>
      <c r="DI2" s="298">
        <v>25</v>
      </c>
      <c r="DJ2" s="298" t="s">
        <v>584</v>
      </c>
      <c r="DK2" s="298" t="s">
        <v>588</v>
      </c>
      <c r="DL2" s="298" t="s">
        <v>644</v>
      </c>
      <c r="DM2" s="298" t="s">
        <v>630</v>
      </c>
      <c r="DN2" s="298" t="s">
        <v>631</v>
      </c>
      <c r="DO2" s="299">
        <v>46752</v>
      </c>
      <c r="DP2" s="298">
        <v>3015</v>
      </c>
      <c r="DQ2" s="298" t="s">
        <v>850</v>
      </c>
      <c r="DR2" s="298">
        <v>0</v>
      </c>
      <c r="DS2" s="298">
        <v>2</v>
      </c>
      <c r="DT2" s="298">
        <v>6</v>
      </c>
      <c r="DU2" s="298">
        <v>17</v>
      </c>
      <c r="DV2" s="298">
        <v>13.8</v>
      </c>
      <c r="DW2" s="298" t="s">
        <v>915</v>
      </c>
      <c r="DX2" s="298" t="s">
        <v>976</v>
      </c>
      <c r="DY2" s="298">
        <v>56</v>
      </c>
      <c r="DZ2" s="298">
        <v>25</v>
      </c>
      <c r="EA2" s="298">
        <v>1687</v>
      </c>
      <c r="EB2" s="298">
        <v>1510</v>
      </c>
      <c r="EC2" s="298">
        <v>62</v>
      </c>
      <c r="ED2" s="298">
        <v>183</v>
      </c>
      <c r="EE2" s="298">
        <v>81</v>
      </c>
      <c r="EF2" s="298">
        <v>22</v>
      </c>
      <c r="EG2" s="298">
        <v>9</v>
      </c>
      <c r="EH2" s="298">
        <v>293</v>
      </c>
      <c r="EI2" s="298">
        <v>77</v>
      </c>
      <c r="EJ2" s="298">
        <v>188</v>
      </c>
      <c r="EK2" s="298">
        <v>36</v>
      </c>
      <c r="EL2" s="298">
        <v>188</v>
      </c>
      <c r="EM2" s="298">
        <v>36</v>
      </c>
      <c r="EN2" s="298">
        <v>1</v>
      </c>
      <c r="EO2" s="298">
        <v>0.4</v>
      </c>
      <c r="EP2" s="298">
        <v>1</v>
      </c>
      <c r="EQ2" s="298">
        <v>0</v>
      </c>
      <c r="ER2" s="298">
        <v>0</v>
      </c>
      <c r="ES2" s="298">
        <v>23</v>
      </c>
      <c r="ET2" s="298" t="s">
        <v>1021</v>
      </c>
      <c r="EU2" s="303">
        <v>6.92</v>
      </c>
    </row>
    <row r="3" spans="1:151" ht="24.95" customHeight="1" thickBot="1" x14ac:dyDescent="0.3">
      <c r="A3" s="29" t="str">
        <f t="shared" si="0"/>
        <v>2º</v>
      </c>
      <c r="B3" s="69" t="str">
        <f t="shared" si="1"/>
        <v>David Terans</v>
      </c>
      <c r="C3" s="86" t="str">
        <f t="shared" si="2"/>
        <v>URU</v>
      </c>
      <c r="D3" s="99" t="str">
        <f t="shared" si="3"/>
        <v>Pé Esquerdo</v>
      </c>
      <c r="E3" s="9" t="str">
        <f t="shared" si="4"/>
        <v>Fluminense</v>
      </c>
      <c r="F3" s="168">
        <f t="shared" si="5"/>
        <v>1.71</v>
      </c>
      <c r="G3" s="35">
        <f t="shared" si="6"/>
        <v>46752</v>
      </c>
      <c r="H3" s="7">
        <f t="shared" si="7"/>
        <v>32</v>
      </c>
      <c r="I3" s="349" t="str">
        <f t="shared" si="8"/>
        <v>48m € p/m</v>
      </c>
      <c r="J3" s="3" t="str">
        <f t="shared" si="9"/>
        <v>160m € - 1,6M €</v>
      </c>
      <c r="K3" s="96">
        <f t="shared" si="10"/>
        <v>27.547777777777775</v>
      </c>
      <c r="L3" s="145">
        <f t="shared" si="11"/>
        <v>19.7</v>
      </c>
      <c r="M3" s="146">
        <f t="shared" si="12"/>
        <v>35</v>
      </c>
      <c r="N3" s="146">
        <f t="shared" si="13"/>
        <v>50.657142857142858</v>
      </c>
      <c r="O3" s="187">
        <f t="shared" si="14"/>
        <v>0.49</v>
      </c>
      <c r="P3" s="2">
        <f t="shared" si="15"/>
        <v>10</v>
      </c>
      <c r="Q3" s="2">
        <f t="shared" si="16"/>
        <v>5</v>
      </c>
      <c r="R3" s="2">
        <f t="shared" si="17"/>
        <v>15</v>
      </c>
      <c r="S3" s="6">
        <f t="shared" si="18"/>
        <v>1</v>
      </c>
      <c r="T3" s="24">
        <f t="shared" si="19"/>
        <v>1773</v>
      </c>
      <c r="U3" s="21">
        <f t="shared" si="20"/>
        <v>5.0761421319796954E-2</v>
      </c>
      <c r="V3" s="348">
        <f t="shared" si="21"/>
        <v>119</v>
      </c>
      <c r="W3" s="350">
        <f t="shared" si="22"/>
        <v>6.0406091370558377</v>
      </c>
      <c r="X3" s="348">
        <f t="shared" si="23"/>
        <v>16</v>
      </c>
      <c r="Y3" s="350">
        <f t="shared" si="24"/>
        <v>0.81218274111675126</v>
      </c>
      <c r="Z3" s="337">
        <f t="shared" si="25"/>
        <v>0.13445378151260504</v>
      </c>
      <c r="AA3" s="348">
        <f t="shared" si="26"/>
        <v>12</v>
      </c>
      <c r="AB3" s="333">
        <f t="shared" si="27"/>
        <v>4</v>
      </c>
      <c r="AC3" s="333">
        <f t="shared" si="28"/>
        <v>4</v>
      </c>
      <c r="AD3" s="333">
        <f t="shared" si="29"/>
        <v>0</v>
      </c>
      <c r="AE3" s="21">
        <f t="shared" si="30"/>
        <v>1</v>
      </c>
      <c r="AF3" s="6">
        <f t="shared" si="31"/>
        <v>10</v>
      </c>
      <c r="AG3" s="6">
        <f t="shared" si="32"/>
        <v>5</v>
      </c>
      <c r="AH3" s="6">
        <f t="shared" si="33"/>
        <v>15</v>
      </c>
      <c r="AI3" s="6">
        <f t="shared" si="34"/>
        <v>6</v>
      </c>
      <c r="AJ3" s="2">
        <f t="shared" si="35"/>
        <v>1</v>
      </c>
      <c r="AK3" s="5">
        <f t="shared" si="36"/>
        <v>0.50761421319796951</v>
      </c>
      <c r="AL3" s="5">
        <f t="shared" si="37"/>
        <v>0.25380710659898476</v>
      </c>
      <c r="AM3" s="5">
        <f t="shared" si="38"/>
        <v>0.76142131979695438</v>
      </c>
      <c r="AN3" s="354">
        <f t="shared" si="39"/>
        <v>40</v>
      </c>
      <c r="AO3" s="355">
        <f t="shared" si="40"/>
        <v>2.030456852791878</v>
      </c>
      <c r="AP3" s="5">
        <f t="shared" si="41"/>
        <v>11.24</v>
      </c>
      <c r="AQ3" s="5">
        <f t="shared" si="42"/>
        <v>8.08</v>
      </c>
      <c r="AR3" s="5">
        <f t="shared" si="43"/>
        <v>0.41015228426395939</v>
      </c>
      <c r="AS3" s="5">
        <f t="shared" si="44"/>
        <v>5.92</v>
      </c>
      <c r="AT3" s="5">
        <f t="shared" si="45"/>
        <v>0.30050761421319799</v>
      </c>
      <c r="AU3" s="5">
        <f t="shared" si="46"/>
        <v>14</v>
      </c>
      <c r="AV3" s="5">
        <f t="shared" si="47"/>
        <v>0.71065989847715738</v>
      </c>
      <c r="AW3" s="21">
        <f t="shared" si="48"/>
        <v>0.54212454212454209</v>
      </c>
      <c r="AX3" s="21">
        <f t="shared" si="49"/>
        <v>0.47080979284369112</v>
      </c>
      <c r="AY3" s="6">
        <f t="shared" si="50"/>
        <v>62</v>
      </c>
      <c r="AZ3" s="6">
        <f t="shared" si="51"/>
        <v>13</v>
      </c>
      <c r="BA3" s="21">
        <f t="shared" si="52"/>
        <v>0.20967741935483872</v>
      </c>
      <c r="BB3" s="6">
        <f t="shared" si="53"/>
        <v>872</v>
      </c>
      <c r="BC3" s="6">
        <f t="shared" si="54"/>
        <v>766</v>
      </c>
      <c r="BD3" s="24">
        <f t="shared" si="55"/>
        <v>44.263959390862944</v>
      </c>
      <c r="BE3" s="24">
        <f t="shared" si="56"/>
        <v>38.883248730964468</v>
      </c>
      <c r="BF3" s="24">
        <f t="shared" si="57"/>
        <v>5.380710659898476</v>
      </c>
      <c r="BG3" s="20">
        <f t="shared" si="58"/>
        <v>0.87844036697247707</v>
      </c>
      <c r="BH3" s="6">
        <f t="shared" si="59"/>
        <v>106</v>
      </c>
      <c r="BI3" s="21">
        <f t="shared" si="60"/>
        <v>0.12155963302752293</v>
      </c>
      <c r="BJ3" s="211">
        <f t="shared" si="61"/>
        <v>63</v>
      </c>
      <c r="BK3" s="199">
        <f t="shared" si="62"/>
        <v>3.1979695431472082</v>
      </c>
      <c r="BL3" s="5">
        <f t="shared" si="63"/>
        <v>12.6</v>
      </c>
      <c r="BM3" s="21">
        <f t="shared" si="64"/>
        <v>7.9365079365079361E-2</v>
      </c>
      <c r="BN3" s="5">
        <f t="shared" si="65"/>
        <v>0.91999999999999993</v>
      </c>
      <c r="BO3" s="5">
        <f t="shared" si="66"/>
        <v>9.3968253968253965E-2</v>
      </c>
      <c r="BP3" s="24">
        <f t="shared" si="67"/>
        <v>28.142857142857142</v>
      </c>
      <c r="BQ3" s="5">
        <f t="shared" si="68"/>
        <v>15.552631578947368</v>
      </c>
      <c r="BR3" s="5">
        <f t="shared" si="69"/>
        <v>-1.2400000000000002</v>
      </c>
      <c r="BS3" s="5">
        <f t="shared" si="70"/>
        <v>-4.4000000000000004</v>
      </c>
      <c r="BT3" s="6">
        <f t="shared" si="71"/>
        <v>70</v>
      </c>
      <c r="BU3" s="5">
        <f t="shared" si="72"/>
        <v>3.5532994923857868</v>
      </c>
      <c r="BV3" s="5">
        <f t="shared" si="73"/>
        <v>1.9796954314720814</v>
      </c>
      <c r="BW3" s="21">
        <f t="shared" si="74"/>
        <v>0.55714285714285716</v>
      </c>
      <c r="BX3" s="5">
        <f t="shared" si="75"/>
        <v>11.666666666666666</v>
      </c>
      <c r="BY3" s="5">
        <f t="shared" si="76"/>
        <v>4.3</v>
      </c>
      <c r="BZ3" s="21">
        <f t="shared" si="77"/>
        <v>8.5714285714285715E-2</v>
      </c>
      <c r="CA3" s="348">
        <f t="shared" si="78"/>
        <v>5</v>
      </c>
      <c r="CB3" s="348">
        <f t="shared" si="79"/>
        <v>1</v>
      </c>
      <c r="CC3" s="348">
        <f t="shared" si="80"/>
        <v>4</v>
      </c>
      <c r="CD3" s="21">
        <f t="shared" si="81"/>
        <v>2.2070183182520416E-2</v>
      </c>
      <c r="CE3" s="6">
        <f t="shared" si="82"/>
        <v>13.1</v>
      </c>
      <c r="CF3" s="5">
        <f t="shared" si="83"/>
        <v>0.6649746192893401</v>
      </c>
      <c r="CG3" s="181">
        <f t="shared" si="84"/>
        <v>239</v>
      </c>
      <c r="CH3" s="5">
        <f t="shared" si="85"/>
        <v>12.131979695431472</v>
      </c>
      <c r="CI3" s="6">
        <f t="shared" si="86"/>
        <v>159</v>
      </c>
      <c r="CJ3" s="5">
        <f t="shared" si="87"/>
        <v>8.0710659898477157</v>
      </c>
      <c r="CK3" s="21">
        <f t="shared" si="88"/>
        <v>0.66527196652719667</v>
      </c>
      <c r="CL3" s="6">
        <f t="shared" si="89"/>
        <v>141.42000000000002</v>
      </c>
      <c r="CM3" s="5">
        <f t="shared" si="90"/>
        <v>7.178680203045686</v>
      </c>
      <c r="CN3" s="6">
        <f t="shared" si="91"/>
        <v>144.17000000000002</v>
      </c>
      <c r="CO3" s="5">
        <f t="shared" si="92"/>
        <v>7.3182741116751275</v>
      </c>
      <c r="CP3" s="5">
        <f t="shared" si="93"/>
        <v>61.979695431472081</v>
      </c>
      <c r="CQ3" s="5">
        <f t="shared" si="94"/>
        <v>46.649746192893403</v>
      </c>
      <c r="CR3" s="6">
        <f t="shared" si="95"/>
        <v>141</v>
      </c>
      <c r="CS3" s="5">
        <f t="shared" si="96"/>
        <v>7.1573604060913709</v>
      </c>
      <c r="CT3" s="6">
        <f t="shared" si="97"/>
        <v>325</v>
      </c>
      <c r="CU3" s="5">
        <f t="shared" si="98"/>
        <v>16.497461928934012</v>
      </c>
      <c r="CV3" s="6">
        <f t="shared" si="99"/>
        <v>149</v>
      </c>
      <c r="CW3" s="5">
        <f t="shared" si="100"/>
        <v>7.5634517766497469</v>
      </c>
      <c r="CX3" s="6">
        <f t="shared" si="101"/>
        <v>186</v>
      </c>
      <c r="CY3" s="5">
        <f t="shared" si="102"/>
        <v>9.4416243654822338</v>
      </c>
      <c r="CZ3" s="5">
        <f t="shared" si="103"/>
        <v>13.1</v>
      </c>
      <c r="DA3" s="5">
        <f t="shared" si="104"/>
        <v>242.2</v>
      </c>
      <c r="DB3" s="5">
        <f t="shared" si="105"/>
        <v>12.294416243654823</v>
      </c>
      <c r="DC3" s="333">
        <f t="shared" si="106"/>
        <v>204.88</v>
      </c>
      <c r="DD3" s="334">
        <f t="shared" si="107"/>
        <v>10.4</v>
      </c>
      <c r="DE3" s="62">
        <f t="shared" si="108"/>
        <v>6.98</v>
      </c>
      <c r="DF3" s="300" t="s">
        <v>19</v>
      </c>
      <c r="DG3" s="296" t="s">
        <v>594</v>
      </c>
      <c r="DH3" s="296" t="s">
        <v>815</v>
      </c>
      <c r="DI3" s="296">
        <v>32</v>
      </c>
      <c r="DJ3" s="296" t="s">
        <v>582</v>
      </c>
      <c r="DK3" s="296" t="s">
        <v>783</v>
      </c>
      <c r="DL3" s="296" t="s">
        <v>652</v>
      </c>
      <c r="DM3" s="296" t="s">
        <v>620</v>
      </c>
      <c r="DN3" s="296" t="s">
        <v>816</v>
      </c>
      <c r="DO3" s="297">
        <v>46752</v>
      </c>
      <c r="DP3" s="296">
        <v>1773</v>
      </c>
      <c r="DQ3" s="296" t="s">
        <v>1063</v>
      </c>
      <c r="DR3" s="296">
        <v>1</v>
      </c>
      <c r="DS3" s="296">
        <v>10</v>
      </c>
      <c r="DT3" s="296">
        <v>5</v>
      </c>
      <c r="DU3" s="296">
        <v>12</v>
      </c>
      <c r="DV3" s="296">
        <v>13.1</v>
      </c>
      <c r="DW3" s="296" t="s">
        <v>1064</v>
      </c>
      <c r="DX3" s="296" t="s">
        <v>1065</v>
      </c>
      <c r="DY3" s="296">
        <v>16</v>
      </c>
      <c r="DZ3" s="296">
        <v>23</v>
      </c>
      <c r="EA3" s="296">
        <v>872</v>
      </c>
      <c r="EB3" s="296">
        <v>766</v>
      </c>
      <c r="EC3" s="296">
        <v>63</v>
      </c>
      <c r="ED3" s="296">
        <v>78</v>
      </c>
      <c r="EE3" s="296">
        <v>40</v>
      </c>
      <c r="EF3" s="296">
        <v>74</v>
      </c>
      <c r="EG3" s="296">
        <v>43</v>
      </c>
      <c r="EH3" s="296">
        <v>123</v>
      </c>
      <c r="EI3" s="296">
        <v>24</v>
      </c>
      <c r="EJ3" s="296">
        <v>62</v>
      </c>
      <c r="EK3" s="296">
        <v>13</v>
      </c>
      <c r="EL3" s="296">
        <v>181</v>
      </c>
      <c r="EM3" s="296">
        <v>29</v>
      </c>
      <c r="EN3" s="296">
        <v>1</v>
      </c>
      <c r="EO3" s="296">
        <v>2.2999999999999998</v>
      </c>
      <c r="EP3" s="296">
        <v>12</v>
      </c>
      <c r="EQ3" s="296">
        <v>4</v>
      </c>
      <c r="ER3" s="296">
        <v>4</v>
      </c>
      <c r="ES3" s="296">
        <v>10.4</v>
      </c>
      <c r="ET3" s="296" t="s">
        <v>710</v>
      </c>
      <c r="EU3" s="301">
        <v>6.98</v>
      </c>
    </row>
    <row r="4" spans="1:151" ht="24.95" customHeight="1" thickBot="1" x14ac:dyDescent="0.3">
      <c r="A4" s="29" t="str">
        <f t="shared" si="0"/>
        <v>3º</v>
      </c>
      <c r="B4" s="69" t="str">
        <f t="shared" si="1"/>
        <v>Jean Lucas</v>
      </c>
      <c r="C4" s="86" t="str">
        <f t="shared" si="2"/>
        <v>BRA</v>
      </c>
      <c r="D4" s="99" t="str">
        <f t="shared" si="3"/>
        <v>Pé Direito</v>
      </c>
      <c r="E4" s="9" t="str">
        <f t="shared" si="4"/>
        <v>Bahia</v>
      </c>
      <c r="F4" s="168">
        <f t="shared" si="5"/>
        <v>1.81</v>
      </c>
      <c r="G4" s="35">
        <f t="shared" si="6"/>
        <v>47118</v>
      </c>
      <c r="H4" s="7">
        <f t="shared" si="7"/>
        <v>28</v>
      </c>
      <c r="I4" s="349" t="str">
        <f t="shared" si="8"/>
        <v>141m € p/m</v>
      </c>
      <c r="J4" s="3" t="str">
        <f t="shared" si="9"/>
        <v>850m € - 8,4M €</v>
      </c>
      <c r="K4" s="96">
        <f t="shared" si="10"/>
        <v>27.547777777777775</v>
      </c>
      <c r="L4" s="145">
        <f t="shared" si="11"/>
        <v>38.611111111111114</v>
      </c>
      <c r="M4" s="146">
        <f t="shared" si="12"/>
        <v>48</v>
      </c>
      <c r="N4" s="146">
        <f t="shared" si="13"/>
        <v>72.395833333333329</v>
      </c>
      <c r="O4" s="187">
        <f t="shared" si="14"/>
        <v>0.92</v>
      </c>
      <c r="P4" s="2">
        <f t="shared" si="15"/>
        <v>6</v>
      </c>
      <c r="Q4" s="2">
        <f t="shared" si="16"/>
        <v>4</v>
      </c>
      <c r="R4" s="2">
        <f t="shared" si="17"/>
        <v>10</v>
      </c>
      <c r="S4" s="6">
        <f t="shared" si="18"/>
        <v>2</v>
      </c>
      <c r="T4" s="24">
        <f t="shared" si="19"/>
        <v>1737.5</v>
      </c>
      <c r="U4" s="21">
        <f t="shared" si="20"/>
        <v>5.1798561151079135E-2</v>
      </c>
      <c r="V4" s="348">
        <f t="shared" si="21"/>
        <v>1</v>
      </c>
      <c r="W4" s="350">
        <f t="shared" si="22"/>
        <v>2.5899280575539568E-2</v>
      </c>
      <c r="X4" s="348">
        <f t="shared" si="23"/>
        <v>1</v>
      </c>
      <c r="Y4" s="350">
        <f t="shared" si="24"/>
        <v>2.5899280575539568E-2</v>
      </c>
      <c r="Z4" s="337">
        <f t="shared" si="25"/>
        <v>1</v>
      </c>
      <c r="AA4" s="348">
        <f t="shared" si="26"/>
        <v>1</v>
      </c>
      <c r="AB4" s="333">
        <f t="shared" si="27"/>
        <v>0</v>
      </c>
      <c r="AC4" s="333">
        <f t="shared" si="28"/>
        <v>0</v>
      </c>
      <c r="AD4" s="333">
        <f t="shared" si="29"/>
        <v>0</v>
      </c>
      <c r="AE4" s="21">
        <f t="shared" si="30"/>
        <v>9.9999999999999995E-8</v>
      </c>
      <c r="AF4" s="6">
        <f t="shared" si="31"/>
        <v>6</v>
      </c>
      <c r="AG4" s="6">
        <f t="shared" si="32"/>
        <v>4</v>
      </c>
      <c r="AH4" s="6">
        <f t="shared" si="33"/>
        <v>10</v>
      </c>
      <c r="AI4" s="6">
        <f t="shared" si="34"/>
        <v>6</v>
      </c>
      <c r="AJ4" s="2">
        <f t="shared" si="35"/>
        <v>1</v>
      </c>
      <c r="AK4" s="5">
        <f t="shared" si="36"/>
        <v>0.1553956834532374</v>
      </c>
      <c r="AL4" s="5">
        <f t="shared" si="37"/>
        <v>0.10359712230215827</v>
      </c>
      <c r="AM4" s="5">
        <f t="shared" si="38"/>
        <v>0.25899280575539568</v>
      </c>
      <c r="AN4" s="354">
        <f t="shared" si="39"/>
        <v>12</v>
      </c>
      <c r="AO4" s="355">
        <f t="shared" si="40"/>
        <v>0.3107913669064748</v>
      </c>
      <c r="AP4" s="5">
        <f t="shared" si="41"/>
        <v>4.4000000000000004</v>
      </c>
      <c r="AQ4" s="5">
        <f t="shared" si="42"/>
        <v>4.4000000000000004</v>
      </c>
      <c r="AR4" s="5">
        <f t="shared" si="43"/>
        <v>0.1139568345323741</v>
      </c>
      <c r="AS4" s="5">
        <f t="shared" si="44"/>
        <v>4.53</v>
      </c>
      <c r="AT4" s="5">
        <f t="shared" si="45"/>
        <v>0.11732374100719424</v>
      </c>
      <c r="AU4" s="5">
        <f t="shared" si="46"/>
        <v>8.93</v>
      </c>
      <c r="AV4" s="5">
        <f t="shared" si="47"/>
        <v>0.23128057553956832</v>
      </c>
      <c r="AW4" s="21">
        <f t="shared" si="48"/>
        <v>0.53106682297772567</v>
      </c>
      <c r="AX4" s="21">
        <f t="shared" si="49"/>
        <v>0.57692307692307687</v>
      </c>
      <c r="AY4" s="6">
        <f t="shared" si="50"/>
        <v>16</v>
      </c>
      <c r="AZ4" s="6">
        <f t="shared" si="51"/>
        <v>6</v>
      </c>
      <c r="BA4" s="21">
        <f t="shared" si="52"/>
        <v>0.375</v>
      </c>
      <c r="BB4" s="6">
        <f t="shared" si="53"/>
        <v>2225</v>
      </c>
      <c r="BC4" s="6">
        <f t="shared" si="54"/>
        <v>2024</v>
      </c>
      <c r="BD4" s="24">
        <f t="shared" si="55"/>
        <v>57.625899280575538</v>
      </c>
      <c r="BE4" s="24">
        <f t="shared" si="56"/>
        <v>52.420143884892084</v>
      </c>
      <c r="BF4" s="24">
        <f t="shared" si="57"/>
        <v>5.2057553956834539</v>
      </c>
      <c r="BG4" s="20">
        <f t="shared" si="58"/>
        <v>0.90966292134831461</v>
      </c>
      <c r="BH4" s="6">
        <f t="shared" si="59"/>
        <v>201</v>
      </c>
      <c r="BI4" s="21">
        <f t="shared" si="60"/>
        <v>9.0337078651685387E-2</v>
      </c>
      <c r="BJ4" s="211">
        <f t="shared" si="61"/>
        <v>44</v>
      </c>
      <c r="BK4" s="199">
        <f t="shared" si="62"/>
        <v>1.1395683453237409</v>
      </c>
      <c r="BL4" s="5">
        <f t="shared" si="63"/>
        <v>11</v>
      </c>
      <c r="BM4" s="21">
        <f t="shared" si="64"/>
        <v>9.0909090909090912E-2</v>
      </c>
      <c r="BN4" s="5">
        <f t="shared" si="65"/>
        <v>0.53000000000000025</v>
      </c>
      <c r="BO4" s="5">
        <f t="shared" si="66"/>
        <v>0.10295454545454547</v>
      </c>
      <c r="BP4" s="24">
        <f t="shared" si="67"/>
        <v>78.977272727272734</v>
      </c>
      <c r="BQ4" s="5">
        <f t="shared" si="68"/>
        <v>47.602739726027394</v>
      </c>
      <c r="BR4" s="5">
        <f t="shared" si="69"/>
        <v>1.5999999999999996</v>
      </c>
      <c r="BS4" s="5">
        <f t="shared" si="70"/>
        <v>1.5999999999999996</v>
      </c>
      <c r="BT4" s="6">
        <f t="shared" si="71"/>
        <v>66</v>
      </c>
      <c r="BU4" s="5">
        <f t="shared" si="72"/>
        <v>1.7093525179856113</v>
      </c>
      <c r="BV4" s="5">
        <f t="shared" si="73"/>
        <v>0.4661870503597122</v>
      </c>
      <c r="BW4" s="21">
        <f t="shared" si="74"/>
        <v>0.27272727272727271</v>
      </c>
      <c r="BX4" s="5">
        <f t="shared" si="75"/>
        <v>11</v>
      </c>
      <c r="BY4" s="5">
        <f t="shared" si="76"/>
        <v>3</v>
      </c>
      <c r="BZ4" s="21">
        <f t="shared" si="77"/>
        <v>9.0909090909090912E-2</v>
      </c>
      <c r="CA4" s="348">
        <f t="shared" si="78"/>
        <v>5</v>
      </c>
      <c r="CB4" s="348">
        <f t="shared" si="79"/>
        <v>1</v>
      </c>
      <c r="CC4" s="348">
        <f t="shared" si="80"/>
        <v>0</v>
      </c>
      <c r="CD4" s="21">
        <f t="shared" si="81"/>
        <v>2.5899280575539568E-2</v>
      </c>
      <c r="CE4" s="6">
        <f t="shared" si="82"/>
        <v>6.6</v>
      </c>
      <c r="CF4" s="5">
        <f t="shared" si="83"/>
        <v>0.17093525179856112</v>
      </c>
      <c r="CG4" s="181">
        <f t="shared" si="84"/>
        <v>138</v>
      </c>
      <c r="CH4" s="5">
        <f t="shared" si="85"/>
        <v>3.5741007194244601</v>
      </c>
      <c r="CI4" s="6">
        <f t="shared" si="86"/>
        <v>80</v>
      </c>
      <c r="CJ4" s="5">
        <f t="shared" si="87"/>
        <v>2.0719424460431655</v>
      </c>
      <c r="CK4" s="21">
        <f t="shared" si="88"/>
        <v>0.57971014492753625</v>
      </c>
      <c r="CL4" s="6">
        <f t="shared" si="89"/>
        <v>89.53</v>
      </c>
      <c r="CM4" s="5">
        <f t="shared" si="90"/>
        <v>2.3187625899280575</v>
      </c>
      <c r="CN4" s="6">
        <f t="shared" si="91"/>
        <v>91.03</v>
      </c>
      <c r="CO4" s="5">
        <f t="shared" si="92"/>
        <v>2.3576115107913669</v>
      </c>
      <c r="CP4" s="5">
        <f t="shared" si="93"/>
        <v>70.601438848920864</v>
      </c>
      <c r="CQ4" s="5">
        <f t="shared" si="94"/>
        <v>61.407194244604312</v>
      </c>
      <c r="CR4" s="6">
        <f t="shared" si="95"/>
        <v>336</v>
      </c>
      <c r="CS4" s="5">
        <f t="shared" si="96"/>
        <v>8.7021582733812934</v>
      </c>
      <c r="CT4" s="6">
        <f t="shared" si="97"/>
        <v>441</v>
      </c>
      <c r="CU4" s="5">
        <f t="shared" si="98"/>
        <v>11.421582733812949</v>
      </c>
      <c r="CV4" s="6">
        <f t="shared" si="99"/>
        <v>121</v>
      </c>
      <c r="CW4" s="5">
        <f t="shared" si="100"/>
        <v>3.1338129496402876</v>
      </c>
      <c r="CX4" s="6">
        <f t="shared" si="101"/>
        <v>259</v>
      </c>
      <c r="CY4" s="5">
        <f t="shared" si="102"/>
        <v>6.7079136690647481</v>
      </c>
      <c r="CZ4" s="5">
        <f t="shared" si="103"/>
        <v>6.6</v>
      </c>
      <c r="DA4" s="5">
        <f t="shared" si="104"/>
        <v>469.6</v>
      </c>
      <c r="DB4" s="5">
        <f t="shared" si="105"/>
        <v>12.162302158273381</v>
      </c>
      <c r="DC4" s="333">
        <f t="shared" si="106"/>
        <v>459.47222222222229</v>
      </c>
      <c r="DD4" s="334">
        <f t="shared" si="107"/>
        <v>11.9</v>
      </c>
      <c r="DE4" s="62">
        <f t="shared" si="108"/>
        <v>7</v>
      </c>
      <c r="DF4" s="302" t="s">
        <v>928</v>
      </c>
      <c r="DG4" s="298" t="s">
        <v>13</v>
      </c>
      <c r="DH4" s="298" t="s">
        <v>1025</v>
      </c>
      <c r="DI4" s="298">
        <v>28</v>
      </c>
      <c r="DJ4" s="298" t="s">
        <v>580</v>
      </c>
      <c r="DK4" s="298" t="s">
        <v>607</v>
      </c>
      <c r="DL4" s="298" t="s">
        <v>644</v>
      </c>
      <c r="DM4" s="298" t="s">
        <v>942</v>
      </c>
      <c r="DN4" s="298" t="s">
        <v>927</v>
      </c>
      <c r="DO4" s="299">
        <v>47118</v>
      </c>
      <c r="DP4" s="298">
        <v>3475</v>
      </c>
      <c r="DQ4" s="298" t="s">
        <v>1069</v>
      </c>
      <c r="DR4" s="298">
        <v>2</v>
      </c>
      <c r="DS4" s="298">
        <v>6</v>
      </c>
      <c r="DT4" s="298">
        <v>4</v>
      </c>
      <c r="DU4" s="298">
        <v>11</v>
      </c>
      <c r="DV4" s="298">
        <v>6.6</v>
      </c>
      <c r="DW4" s="298" t="s">
        <v>1070</v>
      </c>
      <c r="DX4" s="298" t="s">
        <v>948</v>
      </c>
      <c r="DY4" s="298">
        <v>40</v>
      </c>
      <c r="DZ4" s="298">
        <v>16</v>
      </c>
      <c r="EA4" s="298">
        <v>2225</v>
      </c>
      <c r="EB4" s="298">
        <v>2024</v>
      </c>
      <c r="EC4" s="298">
        <v>44</v>
      </c>
      <c r="ED4" s="298">
        <v>292</v>
      </c>
      <c r="EE4" s="298">
        <v>12</v>
      </c>
      <c r="EF4" s="298">
        <v>66</v>
      </c>
      <c r="EG4" s="298">
        <v>18</v>
      </c>
      <c r="EH4" s="298">
        <v>288</v>
      </c>
      <c r="EI4" s="298">
        <v>62</v>
      </c>
      <c r="EJ4" s="298">
        <v>16</v>
      </c>
      <c r="EK4" s="298">
        <v>6</v>
      </c>
      <c r="EL4" s="298">
        <v>17</v>
      </c>
      <c r="EM4" s="298">
        <v>7</v>
      </c>
      <c r="EN4" s="298">
        <v>1</v>
      </c>
      <c r="EO4" s="298">
        <v>1</v>
      </c>
      <c r="EP4" s="298">
        <v>1</v>
      </c>
      <c r="EQ4" s="298">
        <v>0</v>
      </c>
      <c r="ER4" s="298">
        <v>0</v>
      </c>
      <c r="ES4" s="298">
        <v>11.9</v>
      </c>
      <c r="ET4" s="298" t="s">
        <v>1026</v>
      </c>
      <c r="EU4" s="303">
        <v>7</v>
      </c>
    </row>
    <row r="5" spans="1:151" ht="24.95" customHeight="1" thickBot="1" x14ac:dyDescent="0.3">
      <c r="A5" s="29" t="str">
        <f t="shared" si="0"/>
        <v>4º</v>
      </c>
      <c r="B5" s="69" t="str">
        <f t="shared" si="1"/>
        <v>Matheuzinho</v>
      </c>
      <c r="C5" s="86" t="str">
        <f t="shared" si="2"/>
        <v>BRA</v>
      </c>
      <c r="D5" s="99" t="str">
        <f t="shared" si="3"/>
        <v>Pé Esquerdo</v>
      </c>
      <c r="E5" s="9" t="str">
        <f t="shared" si="4"/>
        <v>Vitória</v>
      </c>
      <c r="F5" s="168">
        <f t="shared" si="5"/>
        <v>1.65</v>
      </c>
      <c r="G5" s="35">
        <f t="shared" si="6"/>
        <v>47483</v>
      </c>
      <c r="H5" s="7">
        <f t="shared" si="7"/>
        <v>28</v>
      </c>
      <c r="I5" s="349" t="str">
        <f t="shared" si="8"/>
        <v>56,5m € p/m</v>
      </c>
      <c r="J5" s="3" t="str">
        <f t="shared" si="9"/>
        <v>1M € - 2,3M €</v>
      </c>
      <c r="K5" s="96">
        <f t="shared" si="10"/>
        <v>27.547777777777775</v>
      </c>
      <c r="L5" s="145">
        <f t="shared" si="11"/>
        <v>26.755555555555556</v>
      </c>
      <c r="M5" s="146">
        <f t="shared" si="12"/>
        <v>33</v>
      </c>
      <c r="N5" s="146">
        <f t="shared" si="13"/>
        <v>72.969696969696969</v>
      </c>
      <c r="O5" s="187">
        <f t="shared" si="14"/>
        <v>0.91</v>
      </c>
      <c r="P5" s="2">
        <f t="shared" si="15"/>
        <v>6</v>
      </c>
      <c r="Q5" s="2">
        <f t="shared" si="16"/>
        <v>7</v>
      </c>
      <c r="R5" s="2">
        <f t="shared" si="17"/>
        <v>13</v>
      </c>
      <c r="S5" s="6">
        <f t="shared" si="18"/>
        <v>0</v>
      </c>
      <c r="T5" s="24">
        <f t="shared" si="19"/>
        <v>5000</v>
      </c>
      <c r="U5" s="21">
        <f t="shared" si="20"/>
        <v>0</v>
      </c>
      <c r="V5" s="348">
        <f t="shared" si="21"/>
        <v>120</v>
      </c>
      <c r="W5" s="350">
        <f t="shared" si="22"/>
        <v>4.485049833887043</v>
      </c>
      <c r="X5" s="348">
        <f t="shared" si="23"/>
        <v>18</v>
      </c>
      <c r="Y5" s="350">
        <f t="shared" si="24"/>
        <v>0.6727574750830565</v>
      </c>
      <c r="Z5" s="337">
        <f t="shared" si="25"/>
        <v>0.15</v>
      </c>
      <c r="AA5" s="348">
        <f t="shared" si="26"/>
        <v>3</v>
      </c>
      <c r="AB5" s="333">
        <f t="shared" si="27"/>
        <v>0</v>
      </c>
      <c r="AC5" s="333">
        <f t="shared" si="28"/>
        <v>0</v>
      </c>
      <c r="AD5" s="333">
        <f t="shared" si="29"/>
        <v>0</v>
      </c>
      <c r="AE5" s="21">
        <f t="shared" si="30"/>
        <v>9.9999999999999995E-8</v>
      </c>
      <c r="AF5" s="6">
        <f t="shared" si="31"/>
        <v>6</v>
      </c>
      <c r="AG5" s="6">
        <f t="shared" si="32"/>
        <v>7</v>
      </c>
      <c r="AH5" s="6">
        <f t="shared" si="33"/>
        <v>13</v>
      </c>
      <c r="AI5" s="6">
        <f t="shared" si="34"/>
        <v>6</v>
      </c>
      <c r="AJ5" s="2">
        <f t="shared" si="35"/>
        <v>2</v>
      </c>
      <c r="AK5" s="5">
        <f t="shared" si="36"/>
        <v>0.22425249169435216</v>
      </c>
      <c r="AL5" s="5">
        <f t="shared" si="37"/>
        <v>0.26162790697674415</v>
      </c>
      <c r="AM5" s="5">
        <f t="shared" si="38"/>
        <v>0.48588039867109634</v>
      </c>
      <c r="AN5" s="354">
        <f t="shared" si="39"/>
        <v>59</v>
      </c>
      <c r="AO5" s="355">
        <f t="shared" si="40"/>
        <v>2.2051495016611296</v>
      </c>
      <c r="AP5" s="5">
        <f t="shared" si="41"/>
        <v>7.48</v>
      </c>
      <c r="AQ5" s="5">
        <f t="shared" si="42"/>
        <v>7.48</v>
      </c>
      <c r="AR5" s="5">
        <f t="shared" si="43"/>
        <v>0.27956810631229234</v>
      </c>
      <c r="AS5" s="5">
        <f t="shared" si="44"/>
        <v>7.01</v>
      </c>
      <c r="AT5" s="5">
        <f t="shared" si="45"/>
        <v>0.26200166112956808</v>
      </c>
      <c r="AU5" s="5">
        <f t="shared" si="46"/>
        <v>14.49</v>
      </c>
      <c r="AV5" s="5">
        <f t="shared" si="47"/>
        <v>0.54156976744186047</v>
      </c>
      <c r="AW5" s="21">
        <f t="shared" si="48"/>
        <v>0.50035688793718769</v>
      </c>
      <c r="AX5" s="21">
        <f t="shared" si="49"/>
        <v>0.44510385756676557</v>
      </c>
      <c r="AY5" s="6">
        <f t="shared" si="50"/>
        <v>48</v>
      </c>
      <c r="AZ5" s="6">
        <f t="shared" si="51"/>
        <v>11</v>
      </c>
      <c r="BA5" s="21">
        <f t="shared" si="52"/>
        <v>0.22916666666666666</v>
      </c>
      <c r="BB5" s="6">
        <f t="shared" si="53"/>
        <v>1156</v>
      </c>
      <c r="BC5" s="6">
        <f t="shared" si="54"/>
        <v>1023</v>
      </c>
      <c r="BD5" s="24">
        <f t="shared" si="55"/>
        <v>43.205980066445179</v>
      </c>
      <c r="BE5" s="24">
        <f t="shared" si="56"/>
        <v>38.235049833887039</v>
      </c>
      <c r="BF5" s="24">
        <f t="shared" si="57"/>
        <v>4.970930232558139</v>
      </c>
      <c r="BG5" s="20">
        <f t="shared" si="58"/>
        <v>0.88494809688581311</v>
      </c>
      <c r="BH5" s="6">
        <f t="shared" si="59"/>
        <v>133</v>
      </c>
      <c r="BI5" s="21">
        <f t="shared" si="60"/>
        <v>0.11505190311418689</v>
      </c>
      <c r="BJ5" s="211">
        <f t="shared" si="61"/>
        <v>74</v>
      </c>
      <c r="BK5" s="199">
        <f t="shared" si="62"/>
        <v>2.7657807308970099</v>
      </c>
      <c r="BL5" s="5">
        <f t="shared" si="63"/>
        <v>10.571428571428571</v>
      </c>
      <c r="BM5" s="21">
        <f t="shared" si="64"/>
        <v>9.45945945945946E-2</v>
      </c>
      <c r="BN5" s="5">
        <f t="shared" si="65"/>
        <v>9.9999999999997868E-3</v>
      </c>
      <c r="BO5" s="5">
        <f t="shared" si="66"/>
        <v>9.4729729729729734E-2</v>
      </c>
      <c r="BP5" s="24">
        <f t="shared" si="67"/>
        <v>32.54054054054054</v>
      </c>
      <c r="BQ5" s="5">
        <f t="shared" si="68"/>
        <v>20.066666666666666</v>
      </c>
      <c r="BR5" s="5">
        <f t="shared" si="69"/>
        <v>-1.4800000000000004</v>
      </c>
      <c r="BS5" s="5">
        <f t="shared" si="70"/>
        <v>-1.4800000000000004</v>
      </c>
      <c r="BT5" s="6">
        <f t="shared" si="71"/>
        <v>76</v>
      </c>
      <c r="BU5" s="5">
        <f t="shared" si="72"/>
        <v>2.8405315614617939</v>
      </c>
      <c r="BV5" s="5">
        <f t="shared" si="73"/>
        <v>1.1960132890365449</v>
      </c>
      <c r="BW5" s="21">
        <f t="shared" si="74"/>
        <v>0.42105263157894735</v>
      </c>
      <c r="BX5" s="5">
        <f t="shared" si="75"/>
        <v>12.666666666666666</v>
      </c>
      <c r="BY5" s="5">
        <f t="shared" si="76"/>
        <v>5.333333333333333</v>
      </c>
      <c r="BZ5" s="21">
        <f t="shared" si="77"/>
        <v>7.8947368421052627E-2</v>
      </c>
      <c r="CA5" s="348">
        <f t="shared" si="78"/>
        <v>4</v>
      </c>
      <c r="CB5" s="348">
        <f t="shared" si="79"/>
        <v>2</v>
      </c>
      <c r="CC5" s="348">
        <f t="shared" si="80"/>
        <v>0</v>
      </c>
      <c r="CD5" s="21">
        <f t="shared" si="81"/>
        <v>5.3393450403417184E-2</v>
      </c>
      <c r="CE5" s="6">
        <f t="shared" si="82"/>
        <v>12.6</v>
      </c>
      <c r="CF5" s="5">
        <f t="shared" si="83"/>
        <v>0.47093023255813948</v>
      </c>
      <c r="CG5" s="181">
        <f t="shared" si="84"/>
        <v>257</v>
      </c>
      <c r="CH5" s="5">
        <f t="shared" si="85"/>
        <v>9.6054817275747499</v>
      </c>
      <c r="CI5" s="6">
        <f t="shared" si="86"/>
        <v>176</v>
      </c>
      <c r="CJ5" s="5">
        <f t="shared" si="87"/>
        <v>6.5780730897009967</v>
      </c>
      <c r="CK5" s="21">
        <f t="shared" si="88"/>
        <v>0.68482490272373542</v>
      </c>
      <c r="CL5" s="6">
        <f t="shared" si="89"/>
        <v>146.51</v>
      </c>
      <c r="CM5" s="5">
        <f t="shared" si="90"/>
        <v>5.4758720930232556</v>
      </c>
      <c r="CN5" s="6">
        <f t="shared" si="91"/>
        <v>147.76</v>
      </c>
      <c r="CO5" s="5">
        <f t="shared" si="92"/>
        <v>5.5225913621262457</v>
      </c>
      <c r="CP5" s="5">
        <f t="shared" si="93"/>
        <v>58.417774086378735</v>
      </c>
      <c r="CQ5" s="5">
        <f t="shared" si="94"/>
        <v>44.66362126245847</v>
      </c>
      <c r="CR5" s="6">
        <f t="shared" si="95"/>
        <v>158</v>
      </c>
      <c r="CS5" s="5">
        <f t="shared" si="96"/>
        <v>5.9053156146179404</v>
      </c>
      <c r="CT5" s="6">
        <f t="shared" si="97"/>
        <v>355</v>
      </c>
      <c r="CU5" s="5">
        <f t="shared" si="98"/>
        <v>13.268272425249169</v>
      </c>
      <c r="CV5" s="6">
        <f t="shared" si="99"/>
        <v>164</v>
      </c>
      <c r="CW5" s="5">
        <f t="shared" si="100"/>
        <v>6.1295681063122922</v>
      </c>
      <c r="CX5" s="6">
        <f t="shared" si="101"/>
        <v>214</v>
      </c>
      <c r="CY5" s="5">
        <f t="shared" si="102"/>
        <v>7.9983388704318932</v>
      </c>
      <c r="CZ5" s="5">
        <f t="shared" si="103"/>
        <v>12.6</v>
      </c>
      <c r="DA5" s="5">
        <f t="shared" si="104"/>
        <v>336.2</v>
      </c>
      <c r="DB5" s="5">
        <f t="shared" si="105"/>
        <v>12.565614617940199</v>
      </c>
      <c r="DC5" s="333">
        <f t="shared" si="106"/>
        <v>323.74222222222221</v>
      </c>
      <c r="DD5" s="334">
        <f t="shared" si="107"/>
        <v>12.1</v>
      </c>
      <c r="DE5" s="62">
        <f t="shared" si="108"/>
        <v>6.95</v>
      </c>
      <c r="DF5" s="300" t="s">
        <v>640</v>
      </c>
      <c r="DG5" s="296" t="s">
        <v>13</v>
      </c>
      <c r="DH5" s="296" t="s">
        <v>809</v>
      </c>
      <c r="DI5" s="296">
        <v>28</v>
      </c>
      <c r="DJ5" s="296" t="s">
        <v>592</v>
      </c>
      <c r="DK5" s="296" t="s">
        <v>786</v>
      </c>
      <c r="DL5" s="296" t="s">
        <v>652</v>
      </c>
      <c r="DM5" s="296" t="s">
        <v>810</v>
      </c>
      <c r="DN5" s="296" t="s">
        <v>781</v>
      </c>
      <c r="DO5" s="297">
        <v>47483</v>
      </c>
      <c r="DP5" s="296">
        <v>2408</v>
      </c>
      <c r="DQ5" s="296" t="s">
        <v>787</v>
      </c>
      <c r="DR5" s="296">
        <v>0</v>
      </c>
      <c r="DS5" s="296">
        <v>6</v>
      </c>
      <c r="DT5" s="296">
        <v>7</v>
      </c>
      <c r="DU5" s="296">
        <v>14</v>
      </c>
      <c r="DV5" s="296">
        <v>12.6</v>
      </c>
      <c r="DW5" s="296" t="s">
        <v>940</v>
      </c>
      <c r="DX5" s="296" t="s">
        <v>941</v>
      </c>
      <c r="DY5" s="296">
        <v>20</v>
      </c>
      <c r="DZ5" s="296">
        <v>30</v>
      </c>
      <c r="EA5" s="296">
        <v>1156</v>
      </c>
      <c r="EB5" s="296">
        <v>1023</v>
      </c>
      <c r="EC5" s="296">
        <v>74</v>
      </c>
      <c r="ED5" s="296">
        <v>84</v>
      </c>
      <c r="EE5" s="296">
        <v>59</v>
      </c>
      <c r="EF5" s="296">
        <v>76</v>
      </c>
      <c r="EG5" s="296">
        <v>32</v>
      </c>
      <c r="EH5" s="296">
        <v>212</v>
      </c>
      <c r="EI5" s="296">
        <v>57</v>
      </c>
      <c r="EJ5" s="296">
        <v>48</v>
      </c>
      <c r="EK5" s="296">
        <v>11</v>
      </c>
      <c r="EL5" s="296">
        <v>168</v>
      </c>
      <c r="EM5" s="296">
        <v>29</v>
      </c>
      <c r="EN5" s="296">
        <v>2</v>
      </c>
      <c r="EO5" s="296">
        <v>1.4</v>
      </c>
      <c r="EP5" s="296">
        <v>3</v>
      </c>
      <c r="EQ5" s="296">
        <v>0</v>
      </c>
      <c r="ER5" s="296">
        <v>0</v>
      </c>
      <c r="ES5" s="296">
        <v>12.1</v>
      </c>
      <c r="ET5" s="296" t="s">
        <v>811</v>
      </c>
      <c r="EU5" s="301">
        <v>6.95</v>
      </c>
    </row>
    <row r="6" spans="1:151" ht="24.95" customHeight="1" thickBot="1" x14ac:dyDescent="0.3">
      <c r="A6" s="29" t="str">
        <f t="shared" si="0"/>
        <v>5º</v>
      </c>
      <c r="B6" s="69" t="str">
        <f t="shared" si="1"/>
        <v>Miguel Monsalve</v>
      </c>
      <c r="C6" s="86" t="str">
        <f t="shared" si="2"/>
        <v>COL</v>
      </c>
      <c r="D6" s="99" t="str">
        <f t="shared" si="3"/>
        <v>Pé Direito</v>
      </c>
      <c r="E6" s="9" t="str">
        <f t="shared" si="4"/>
        <v>Grêmio</v>
      </c>
      <c r="F6" s="168">
        <f t="shared" si="5"/>
        <v>1.78</v>
      </c>
      <c r="G6" s="35">
        <f t="shared" si="6"/>
        <v>47848</v>
      </c>
      <c r="H6" s="7">
        <f t="shared" si="7"/>
        <v>22</v>
      </c>
      <c r="I6" s="349" t="str">
        <f t="shared" si="8"/>
        <v>10,75m € p/m</v>
      </c>
      <c r="J6" s="3" t="str">
        <f t="shared" si="9"/>
        <v>3,1M € - 6,2M €</v>
      </c>
      <c r="K6" s="96">
        <f t="shared" si="10"/>
        <v>27.547777777777775</v>
      </c>
      <c r="L6" s="145">
        <f t="shared" si="11"/>
        <v>25.611111111111111</v>
      </c>
      <c r="M6" s="146">
        <f t="shared" si="12"/>
        <v>42</v>
      </c>
      <c r="N6" s="146">
        <f t="shared" si="13"/>
        <v>54.88095238095238</v>
      </c>
      <c r="O6" s="187">
        <f t="shared" si="14"/>
        <v>0.52</v>
      </c>
      <c r="P6" s="2">
        <f t="shared" si="15"/>
        <v>8</v>
      </c>
      <c r="Q6" s="2">
        <f t="shared" si="16"/>
        <v>4</v>
      </c>
      <c r="R6" s="2">
        <f t="shared" si="17"/>
        <v>12</v>
      </c>
      <c r="S6" s="6">
        <f t="shared" si="18"/>
        <v>4</v>
      </c>
      <c r="T6" s="24">
        <f t="shared" si="19"/>
        <v>576.25</v>
      </c>
      <c r="U6" s="21">
        <f t="shared" si="20"/>
        <v>0.1561822125813449</v>
      </c>
      <c r="V6" s="348">
        <f t="shared" si="21"/>
        <v>64</v>
      </c>
      <c r="W6" s="350">
        <f t="shared" si="22"/>
        <v>2.4989154013015185</v>
      </c>
      <c r="X6" s="348">
        <f t="shared" si="23"/>
        <v>6</v>
      </c>
      <c r="Y6" s="350">
        <f t="shared" si="24"/>
        <v>0.23427331887201736</v>
      </c>
      <c r="Z6" s="337">
        <f t="shared" si="25"/>
        <v>9.375E-2</v>
      </c>
      <c r="AA6" s="348">
        <f t="shared" si="26"/>
        <v>4</v>
      </c>
      <c r="AB6" s="333">
        <f t="shared" si="27"/>
        <v>1</v>
      </c>
      <c r="AC6" s="333">
        <f t="shared" si="28"/>
        <v>1</v>
      </c>
      <c r="AD6" s="333">
        <f t="shared" si="29"/>
        <v>0</v>
      </c>
      <c r="AE6" s="21">
        <f t="shared" si="30"/>
        <v>1</v>
      </c>
      <c r="AF6" s="6">
        <f t="shared" si="31"/>
        <v>8</v>
      </c>
      <c r="AG6" s="6">
        <f t="shared" si="32"/>
        <v>4</v>
      </c>
      <c r="AH6" s="6">
        <f t="shared" si="33"/>
        <v>12</v>
      </c>
      <c r="AI6" s="6">
        <f t="shared" si="34"/>
        <v>7</v>
      </c>
      <c r="AJ6" s="2">
        <f t="shared" si="35"/>
        <v>2</v>
      </c>
      <c r="AK6" s="5">
        <f t="shared" si="36"/>
        <v>0.31236442516268981</v>
      </c>
      <c r="AL6" s="5">
        <f t="shared" si="37"/>
        <v>0.1561822125813449</v>
      </c>
      <c r="AM6" s="5">
        <f t="shared" si="38"/>
        <v>0.46854663774403471</v>
      </c>
      <c r="AN6" s="354">
        <f t="shared" si="39"/>
        <v>39</v>
      </c>
      <c r="AO6" s="355">
        <f t="shared" si="40"/>
        <v>1.5227765726681128</v>
      </c>
      <c r="AP6" s="5">
        <f t="shared" si="41"/>
        <v>9.56</v>
      </c>
      <c r="AQ6" s="5">
        <f t="shared" si="42"/>
        <v>8.77</v>
      </c>
      <c r="AR6" s="5">
        <f t="shared" si="43"/>
        <v>0.34242950108459869</v>
      </c>
      <c r="AS6" s="5">
        <f t="shared" si="44"/>
        <v>5.61</v>
      </c>
      <c r="AT6" s="5">
        <f t="shared" si="45"/>
        <v>0.21904555314533625</v>
      </c>
      <c r="AU6" s="5">
        <f t="shared" si="46"/>
        <v>14.379999999999999</v>
      </c>
      <c r="AV6" s="5">
        <f t="shared" si="47"/>
        <v>0.56147505422993493</v>
      </c>
      <c r="AW6" s="21">
        <f t="shared" si="48"/>
        <v>0.58376690946930287</v>
      </c>
      <c r="AX6" s="21">
        <f t="shared" si="49"/>
        <v>0.45558086560364458</v>
      </c>
      <c r="AY6" s="6">
        <f t="shared" si="50"/>
        <v>31</v>
      </c>
      <c r="AZ6" s="6">
        <f t="shared" si="51"/>
        <v>8</v>
      </c>
      <c r="BA6" s="21">
        <f t="shared" si="52"/>
        <v>0.25806451612903225</v>
      </c>
      <c r="BB6" s="6">
        <f t="shared" si="53"/>
        <v>1417</v>
      </c>
      <c r="BC6" s="6">
        <f t="shared" si="54"/>
        <v>1248</v>
      </c>
      <c r="BD6" s="24">
        <f t="shared" si="55"/>
        <v>55.327548806941429</v>
      </c>
      <c r="BE6" s="24">
        <f t="shared" si="56"/>
        <v>48.728850325379611</v>
      </c>
      <c r="BF6" s="24">
        <f t="shared" si="57"/>
        <v>6.5986984815618186</v>
      </c>
      <c r="BG6" s="20">
        <f t="shared" si="58"/>
        <v>0.88073394495412849</v>
      </c>
      <c r="BH6" s="6">
        <f t="shared" si="59"/>
        <v>169</v>
      </c>
      <c r="BI6" s="21">
        <f t="shared" si="60"/>
        <v>0.11926605504587151</v>
      </c>
      <c r="BJ6" s="211">
        <f t="shared" si="61"/>
        <v>60</v>
      </c>
      <c r="BK6" s="199">
        <f t="shared" si="62"/>
        <v>2.3427331887201737</v>
      </c>
      <c r="BL6" s="5">
        <f t="shared" si="63"/>
        <v>15</v>
      </c>
      <c r="BM6" s="21">
        <f t="shared" si="64"/>
        <v>6.6666666666666666E-2</v>
      </c>
      <c r="BN6" s="5">
        <f t="shared" si="65"/>
        <v>1.6100000000000003</v>
      </c>
      <c r="BO6" s="5">
        <f t="shared" si="66"/>
        <v>9.35E-2</v>
      </c>
      <c r="BP6" s="24">
        <f t="shared" si="67"/>
        <v>38.416666666666664</v>
      </c>
      <c r="BQ6" s="5">
        <f t="shared" si="68"/>
        <v>21.542056074766354</v>
      </c>
      <c r="BR6" s="5">
        <f t="shared" si="69"/>
        <v>-1.5600000000000005</v>
      </c>
      <c r="BS6" s="5">
        <f t="shared" si="70"/>
        <v>-2.3500000000000005</v>
      </c>
      <c r="BT6" s="6">
        <f t="shared" si="71"/>
        <v>73</v>
      </c>
      <c r="BU6" s="5">
        <f t="shared" si="72"/>
        <v>2.8503253796095445</v>
      </c>
      <c r="BV6" s="5">
        <f t="shared" si="73"/>
        <v>1.3275488069414316</v>
      </c>
      <c r="BW6" s="21">
        <f t="shared" si="74"/>
        <v>0.46575342465753422</v>
      </c>
      <c r="BX6" s="5">
        <f t="shared" si="75"/>
        <v>10.428571428571429</v>
      </c>
      <c r="BY6" s="5">
        <f t="shared" si="76"/>
        <v>4.375</v>
      </c>
      <c r="BZ6" s="21">
        <f t="shared" si="77"/>
        <v>9.5890410958904104E-2</v>
      </c>
      <c r="CA6" s="348">
        <f t="shared" si="78"/>
        <v>5</v>
      </c>
      <c r="CB6" s="348">
        <f t="shared" si="79"/>
        <v>2</v>
      </c>
      <c r="CC6" s="348">
        <f t="shared" si="80"/>
        <v>1</v>
      </c>
      <c r="CD6" s="21">
        <f t="shared" si="81"/>
        <v>5.577936163619461E-2</v>
      </c>
      <c r="CE6" s="6">
        <f t="shared" si="82"/>
        <v>10</v>
      </c>
      <c r="CF6" s="5">
        <f t="shared" si="83"/>
        <v>0.39045553145336226</v>
      </c>
      <c r="CG6" s="181">
        <f t="shared" si="84"/>
        <v>204</v>
      </c>
      <c r="CH6" s="5">
        <f t="shared" si="85"/>
        <v>7.9652928416485898</v>
      </c>
      <c r="CI6" s="6">
        <f t="shared" si="86"/>
        <v>142</v>
      </c>
      <c r="CJ6" s="5">
        <f t="shared" si="87"/>
        <v>5.5444685466377441</v>
      </c>
      <c r="CK6" s="21">
        <f t="shared" si="88"/>
        <v>0.69607843137254899</v>
      </c>
      <c r="CL6" s="6">
        <f t="shared" si="89"/>
        <v>128.61000000000001</v>
      </c>
      <c r="CM6" s="5">
        <f t="shared" si="90"/>
        <v>5.0216485900216927</v>
      </c>
      <c r="CN6" s="6">
        <f t="shared" si="91"/>
        <v>129.61000000000001</v>
      </c>
      <c r="CO6" s="5">
        <f t="shared" si="92"/>
        <v>5.0606941431670291</v>
      </c>
      <c r="CP6" s="5">
        <f t="shared" si="93"/>
        <v>68.720173535791758</v>
      </c>
      <c r="CQ6" s="5">
        <f t="shared" si="94"/>
        <v>55.366594360086772</v>
      </c>
      <c r="CR6" s="6">
        <f t="shared" si="95"/>
        <v>157</v>
      </c>
      <c r="CS6" s="5">
        <f t="shared" si="96"/>
        <v>6.1301518438177878</v>
      </c>
      <c r="CT6" s="6">
        <f t="shared" si="97"/>
        <v>313</v>
      </c>
      <c r="CU6" s="5">
        <f t="shared" si="98"/>
        <v>12.221258134490238</v>
      </c>
      <c r="CV6" s="6">
        <f t="shared" si="99"/>
        <v>147</v>
      </c>
      <c r="CW6" s="5">
        <f t="shared" si="100"/>
        <v>5.7396963123644253</v>
      </c>
      <c r="CX6" s="6">
        <f t="shared" si="101"/>
        <v>231</v>
      </c>
      <c r="CY6" s="5">
        <f t="shared" si="102"/>
        <v>9.0195227765726678</v>
      </c>
      <c r="CZ6" s="5">
        <f t="shared" si="103"/>
        <v>10</v>
      </c>
      <c r="DA6" s="5">
        <f t="shared" si="104"/>
        <v>308.60000000000002</v>
      </c>
      <c r="DB6" s="5">
        <f t="shared" si="105"/>
        <v>12.049457700650761</v>
      </c>
      <c r="DC6" s="333">
        <f t="shared" si="106"/>
        <v>256.11111111111109</v>
      </c>
      <c r="DD6" s="334">
        <f t="shared" si="107"/>
        <v>10</v>
      </c>
      <c r="DE6" s="62">
        <f t="shared" si="108"/>
        <v>6.93</v>
      </c>
      <c r="DF6" s="302"/>
      <c r="DG6" s="298" t="s">
        <v>553</v>
      </c>
      <c r="DH6" s="298" t="s">
        <v>813</v>
      </c>
      <c r="DI6" s="298">
        <v>22</v>
      </c>
      <c r="DJ6" s="298" t="s">
        <v>554</v>
      </c>
      <c r="DK6" s="298" t="s">
        <v>550</v>
      </c>
      <c r="DL6" s="298" t="s">
        <v>644</v>
      </c>
      <c r="DM6" s="298" t="s">
        <v>814</v>
      </c>
      <c r="DN6" s="298" t="s">
        <v>678</v>
      </c>
      <c r="DO6" s="299">
        <v>47848</v>
      </c>
      <c r="DP6" s="298">
        <v>2305</v>
      </c>
      <c r="DQ6" s="298" t="s">
        <v>1061</v>
      </c>
      <c r="DR6" s="298">
        <v>4</v>
      </c>
      <c r="DS6" s="298">
        <v>8</v>
      </c>
      <c r="DT6" s="298">
        <v>4</v>
      </c>
      <c r="DU6" s="298">
        <v>13</v>
      </c>
      <c r="DV6" s="298">
        <v>10</v>
      </c>
      <c r="DW6" s="298" t="s">
        <v>920</v>
      </c>
      <c r="DX6" s="298" t="s">
        <v>978</v>
      </c>
      <c r="DY6" s="298">
        <v>16</v>
      </c>
      <c r="DZ6" s="298">
        <v>21</v>
      </c>
      <c r="EA6" s="298">
        <v>1417</v>
      </c>
      <c r="EB6" s="298">
        <v>1248</v>
      </c>
      <c r="EC6" s="298">
        <v>60</v>
      </c>
      <c r="ED6" s="298">
        <v>97</v>
      </c>
      <c r="EE6" s="298">
        <v>39</v>
      </c>
      <c r="EF6" s="298">
        <v>74</v>
      </c>
      <c r="EG6" s="298">
        <v>35</v>
      </c>
      <c r="EH6" s="298">
        <v>105</v>
      </c>
      <c r="EI6" s="298">
        <v>33</v>
      </c>
      <c r="EJ6" s="298">
        <v>31</v>
      </c>
      <c r="EK6" s="298">
        <v>8</v>
      </c>
      <c r="EL6" s="298">
        <v>95</v>
      </c>
      <c r="EM6" s="298">
        <v>14</v>
      </c>
      <c r="EN6" s="298">
        <v>2</v>
      </c>
      <c r="EO6" s="298">
        <v>1.4</v>
      </c>
      <c r="EP6" s="298">
        <v>4</v>
      </c>
      <c r="EQ6" s="298">
        <v>1</v>
      </c>
      <c r="ER6" s="298">
        <v>1</v>
      </c>
      <c r="ES6" s="298">
        <v>10</v>
      </c>
      <c r="ET6" s="298" t="s">
        <v>1062</v>
      </c>
      <c r="EU6" s="303">
        <v>6.93</v>
      </c>
    </row>
    <row r="7" spans="1:151" ht="24.95" customHeight="1" thickBot="1" x14ac:dyDescent="0.3">
      <c r="A7" s="29" t="str">
        <f t="shared" si="0"/>
        <v>6º</v>
      </c>
      <c r="B7" s="69" t="str">
        <f t="shared" si="1"/>
        <v>Rodrigo Garro</v>
      </c>
      <c r="C7" s="86" t="str">
        <f t="shared" si="2"/>
        <v>ARG</v>
      </c>
      <c r="D7" s="99" t="str">
        <f t="shared" si="3"/>
        <v>Pé Esquerdo</v>
      </c>
      <c r="E7" s="9" t="str">
        <f t="shared" si="4"/>
        <v>Corinthians</v>
      </c>
      <c r="F7" s="168">
        <f t="shared" si="5"/>
        <v>1.74</v>
      </c>
      <c r="G7" s="35">
        <f t="shared" si="6"/>
        <v>47118</v>
      </c>
      <c r="H7" s="7">
        <f t="shared" si="7"/>
        <v>28</v>
      </c>
      <c r="I7" s="349" t="str">
        <f t="shared" si="8"/>
        <v>154m € p/m</v>
      </c>
      <c r="J7" s="3" t="str">
        <f t="shared" si="9"/>
        <v>20M €</v>
      </c>
      <c r="K7" s="96">
        <f t="shared" si="10"/>
        <v>27.547777777777775</v>
      </c>
      <c r="L7" s="145">
        <f t="shared" si="11"/>
        <v>39.711111111111109</v>
      </c>
      <c r="M7" s="146">
        <f t="shared" si="12"/>
        <v>51</v>
      </c>
      <c r="N7" s="146">
        <f t="shared" si="13"/>
        <v>70.078431372549019</v>
      </c>
      <c r="O7" s="187">
        <f t="shared" si="14"/>
        <v>0.92</v>
      </c>
      <c r="P7" s="2">
        <f t="shared" si="15"/>
        <v>12</v>
      </c>
      <c r="Q7" s="2">
        <f t="shared" si="16"/>
        <v>10</v>
      </c>
      <c r="R7" s="2">
        <f t="shared" si="17"/>
        <v>22</v>
      </c>
      <c r="S7" s="6">
        <f t="shared" si="18"/>
        <v>5</v>
      </c>
      <c r="T7" s="24">
        <f t="shared" si="19"/>
        <v>714.8</v>
      </c>
      <c r="U7" s="21">
        <f t="shared" si="20"/>
        <v>0.1259093452714046</v>
      </c>
      <c r="V7" s="348">
        <f t="shared" si="21"/>
        <v>256</v>
      </c>
      <c r="W7" s="350">
        <f t="shared" si="22"/>
        <v>6.4465584778959153</v>
      </c>
      <c r="X7" s="348">
        <f t="shared" si="23"/>
        <v>38</v>
      </c>
      <c r="Y7" s="350">
        <f t="shared" si="24"/>
        <v>0.95691102406267492</v>
      </c>
      <c r="Z7" s="337">
        <f t="shared" si="25"/>
        <v>0.1484375</v>
      </c>
      <c r="AA7" s="348">
        <f t="shared" si="26"/>
        <v>9</v>
      </c>
      <c r="AB7" s="333">
        <f t="shared" si="27"/>
        <v>2</v>
      </c>
      <c r="AC7" s="333">
        <f t="shared" si="28"/>
        <v>1</v>
      </c>
      <c r="AD7" s="333">
        <f t="shared" si="29"/>
        <v>1</v>
      </c>
      <c r="AE7" s="21">
        <f t="shared" si="30"/>
        <v>0.5</v>
      </c>
      <c r="AF7" s="6">
        <f t="shared" si="31"/>
        <v>12</v>
      </c>
      <c r="AG7" s="6">
        <f t="shared" si="32"/>
        <v>10</v>
      </c>
      <c r="AH7" s="6">
        <f t="shared" si="33"/>
        <v>22</v>
      </c>
      <c r="AI7" s="6">
        <f t="shared" si="34"/>
        <v>11</v>
      </c>
      <c r="AJ7" s="2">
        <f t="shared" si="35"/>
        <v>2</v>
      </c>
      <c r="AK7" s="5">
        <f t="shared" si="36"/>
        <v>0.30218242865137102</v>
      </c>
      <c r="AL7" s="5">
        <f t="shared" si="37"/>
        <v>0.2518186905428092</v>
      </c>
      <c r="AM7" s="5">
        <f t="shared" si="38"/>
        <v>0.55400111919418027</v>
      </c>
      <c r="AN7" s="354">
        <f t="shared" si="39"/>
        <v>55</v>
      </c>
      <c r="AO7" s="355">
        <f t="shared" si="40"/>
        <v>1.3850027979854507</v>
      </c>
      <c r="AP7" s="5">
        <f t="shared" si="41"/>
        <v>10.63</v>
      </c>
      <c r="AQ7" s="5">
        <f t="shared" si="42"/>
        <v>9.0500000000000007</v>
      </c>
      <c r="AR7" s="5">
        <f t="shared" si="43"/>
        <v>0.22789591494124234</v>
      </c>
      <c r="AS7" s="5">
        <f t="shared" si="44"/>
        <v>11.59</v>
      </c>
      <c r="AT7" s="5">
        <f t="shared" si="45"/>
        <v>0.29185786233911587</v>
      </c>
      <c r="AU7" s="5">
        <f t="shared" si="46"/>
        <v>20.64</v>
      </c>
      <c r="AV7" s="5">
        <f t="shared" si="47"/>
        <v>0.51975377728035821</v>
      </c>
      <c r="AW7" s="21">
        <f t="shared" si="48"/>
        <v>0.53682260305697083</v>
      </c>
      <c r="AX7" s="21">
        <f t="shared" si="49"/>
        <v>0.53026955368979223</v>
      </c>
      <c r="AY7" s="6">
        <f t="shared" si="50"/>
        <v>38</v>
      </c>
      <c r="AZ7" s="6">
        <f t="shared" si="51"/>
        <v>19</v>
      </c>
      <c r="BA7" s="21">
        <f t="shared" si="52"/>
        <v>0.5</v>
      </c>
      <c r="BB7" s="6">
        <f t="shared" si="53"/>
        <v>2219</v>
      </c>
      <c r="BC7" s="6">
        <f t="shared" si="54"/>
        <v>1981</v>
      </c>
      <c r="BD7" s="24">
        <f t="shared" si="55"/>
        <v>55.878567431449362</v>
      </c>
      <c r="BE7" s="24">
        <f t="shared" si="56"/>
        <v>49.885282596530502</v>
      </c>
      <c r="BF7" s="24">
        <f t="shared" si="57"/>
        <v>5.9932848349188603</v>
      </c>
      <c r="BG7" s="20">
        <f t="shared" si="58"/>
        <v>0.89274447949526814</v>
      </c>
      <c r="BH7" s="6">
        <f t="shared" si="59"/>
        <v>238</v>
      </c>
      <c r="BI7" s="21">
        <f t="shared" si="60"/>
        <v>0.10725552050473186</v>
      </c>
      <c r="BJ7" s="211">
        <f t="shared" si="61"/>
        <v>122</v>
      </c>
      <c r="BK7" s="199">
        <f t="shared" si="62"/>
        <v>3.0721880246222724</v>
      </c>
      <c r="BL7" s="5">
        <f t="shared" si="63"/>
        <v>12.2</v>
      </c>
      <c r="BM7" s="21">
        <f t="shared" si="64"/>
        <v>8.1967213114754092E-2</v>
      </c>
      <c r="BN7" s="5">
        <f t="shared" si="65"/>
        <v>1.5899999999999999</v>
      </c>
      <c r="BO7" s="5">
        <f t="shared" si="66"/>
        <v>9.5000000000000001E-2</v>
      </c>
      <c r="BP7" s="24">
        <f t="shared" si="67"/>
        <v>29.295081967213115</v>
      </c>
      <c r="BQ7" s="5">
        <f t="shared" si="68"/>
        <v>18.910052910052912</v>
      </c>
      <c r="BR7" s="5">
        <f t="shared" si="69"/>
        <v>1.3699999999999992</v>
      </c>
      <c r="BS7" s="5">
        <f t="shared" si="70"/>
        <v>0.57999999999999918</v>
      </c>
      <c r="BT7" s="6">
        <f t="shared" si="71"/>
        <v>90</v>
      </c>
      <c r="BU7" s="5">
        <f t="shared" si="72"/>
        <v>2.2663682148852828</v>
      </c>
      <c r="BV7" s="5">
        <f t="shared" si="73"/>
        <v>0.95691102406267492</v>
      </c>
      <c r="BW7" s="21">
        <f t="shared" si="74"/>
        <v>0.42222222222222222</v>
      </c>
      <c r="BX7" s="5">
        <f t="shared" si="75"/>
        <v>8.1818181818181817</v>
      </c>
      <c r="BY7" s="5">
        <f t="shared" si="76"/>
        <v>3.25</v>
      </c>
      <c r="BZ7" s="21">
        <f t="shared" si="77"/>
        <v>0.12222222222222222</v>
      </c>
      <c r="CA7" s="348">
        <f t="shared" si="78"/>
        <v>8</v>
      </c>
      <c r="CB7" s="348">
        <f t="shared" si="79"/>
        <v>2</v>
      </c>
      <c r="CC7" s="348">
        <f t="shared" si="80"/>
        <v>2</v>
      </c>
      <c r="CD7" s="21">
        <f t="shared" si="81"/>
        <v>4.5785216462328943E-2</v>
      </c>
      <c r="CE7" s="6">
        <f t="shared" si="82"/>
        <v>12.6</v>
      </c>
      <c r="CF7" s="5">
        <f t="shared" si="83"/>
        <v>0.31729155008393956</v>
      </c>
      <c r="CG7" s="181">
        <f t="shared" si="84"/>
        <v>307</v>
      </c>
      <c r="CH7" s="5">
        <f t="shared" si="85"/>
        <v>7.730833799664242</v>
      </c>
      <c r="CI7" s="6">
        <f t="shared" si="86"/>
        <v>235</v>
      </c>
      <c r="CJ7" s="5">
        <f t="shared" si="87"/>
        <v>5.9177392277560159</v>
      </c>
      <c r="CK7" s="21">
        <f t="shared" si="88"/>
        <v>0.76547231270358307</v>
      </c>
      <c r="CL7" s="6">
        <f t="shared" si="89"/>
        <v>232.59</v>
      </c>
      <c r="CM7" s="5">
        <f t="shared" si="90"/>
        <v>5.8570509233351995</v>
      </c>
      <c r="CN7" s="6">
        <f t="shared" si="91"/>
        <v>236.09</v>
      </c>
      <c r="CO7" s="5">
        <f t="shared" si="92"/>
        <v>5.9451874650251826</v>
      </c>
      <c r="CP7" s="5">
        <f t="shared" si="93"/>
        <v>71.390598768886406</v>
      </c>
      <c r="CQ7" s="5">
        <f t="shared" si="94"/>
        <v>57.792389479574709</v>
      </c>
      <c r="CR7" s="6">
        <f t="shared" si="95"/>
        <v>284</v>
      </c>
      <c r="CS7" s="5">
        <f t="shared" si="96"/>
        <v>7.1516508114157809</v>
      </c>
      <c r="CT7" s="6">
        <f t="shared" si="97"/>
        <v>497</v>
      </c>
      <c r="CU7" s="5">
        <f t="shared" si="98"/>
        <v>12.515388919977617</v>
      </c>
      <c r="CV7" s="6">
        <f t="shared" si="99"/>
        <v>244</v>
      </c>
      <c r="CW7" s="5">
        <f t="shared" si="100"/>
        <v>6.1443760492445447</v>
      </c>
      <c r="CX7" s="6">
        <f t="shared" si="101"/>
        <v>310</v>
      </c>
      <c r="CY7" s="5">
        <f t="shared" si="102"/>
        <v>7.8063794068270846</v>
      </c>
      <c r="CZ7" s="5">
        <f t="shared" si="103"/>
        <v>12.6</v>
      </c>
      <c r="DA7" s="5">
        <f t="shared" si="104"/>
        <v>501.3</v>
      </c>
      <c r="DB7" s="5">
        <f t="shared" si="105"/>
        <v>12.623670956911026</v>
      </c>
      <c r="DC7" s="333">
        <f t="shared" si="106"/>
        <v>607.58000000000004</v>
      </c>
      <c r="DD7" s="334">
        <f t="shared" si="107"/>
        <v>15.3</v>
      </c>
      <c r="DE7" s="62">
        <f t="shared" si="108"/>
        <v>7.01</v>
      </c>
      <c r="DF7" s="302"/>
      <c r="DG7" s="298" t="s">
        <v>478</v>
      </c>
      <c r="DH7" s="298" t="s">
        <v>835</v>
      </c>
      <c r="DI7" s="298">
        <v>28</v>
      </c>
      <c r="DJ7" s="298" t="s">
        <v>1017</v>
      </c>
      <c r="DK7" s="298" t="s">
        <v>777</v>
      </c>
      <c r="DL7" s="298" t="s">
        <v>652</v>
      </c>
      <c r="DM7" s="298" t="s">
        <v>1019</v>
      </c>
      <c r="DN7" s="298" t="s">
        <v>1020</v>
      </c>
      <c r="DO7" s="299">
        <v>47118</v>
      </c>
      <c r="DP7" s="298">
        <v>3574</v>
      </c>
      <c r="DQ7" s="298" t="s">
        <v>1048</v>
      </c>
      <c r="DR7" s="298">
        <v>5</v>
      </c>
      <c r="DS7" s="298">
        <v>12</v>
      </c>
      <c r="DT7" s="298">
        <v>10</v>
      </c>
      <c r="DU7" s="298">
        <v>30</v>
      </c>
      <c r="DV7" s="298">
        <v>12.6</v>
      </c>
      <c r="DW7" s="298" t="s">
        <v>1049</v>
      </c>
      <c r="DX7" s="298" t="s">
        <v>1050</v>
      </c>
      <c r="DY7" s="298">
        <v>40</v>
      </c>
      <c r="DZ7" s="298">
        <v>48</v>
      </c>
      <c r="EA7" s="298">
        <v>2219</v>
      </c>
      <c r="EB7" s="298">
        <v>1981</v>
      </c>
      <c r="EC7" s="298">
        <v>122</v>
      </c>
      <c r="ED7" s="298">
        <v>162</v>
      </c>
      <c r="EE7" s="298">
        <v>55</v>
      </c>
      <c r="EF7" s="298">
        <v>92</v>
      </c>
      <c r="EG7" s="298">
        <v>39</v>
      </c>
      <c r="EH7" s="298">
        <v>318</v>
      </c>
      <c r="EI7" s="298">
        <v>69</v>
      </c>
      <c r="EJ7" s="298">
        <v>38</v>
      </c>
      <c r="EK7" s="298">
        <v>19</v>
      </c>
      <c r="EL7" s="298">
        <v>294</v>
      </c>
      <c r="EM7" s="298">
        <v>57</v>
      </c>
      <c r="EN7" s="298">
        <v>2</v>
      </c>
      <c r="EO7" s="298">
        <v>1.1000000000000001</v>
      </c>
      <c r="EP7" s="298">
        <v>9</v>
      </c>
      <c r="EQ7" s="298">
        <v>2</v>
      </c>
      <c r="ER7" s="298">
        <v>1</v>
      </c>
      <c r="ES7" s="298">
        <v>15.3</v>
      </c>
      <c r="ET7" s="298" t="s">
        <v>1018</v>
      </c>
      <c r="EU7" s="303">
        <v>7.01</v>
      </c>
    </row>
    <row r="8" spans="1:151" ht="24.95" customHeight="1" thickBot="1" x14ac:dyDescent="0.3">
      <c r="A8" s="29" t="str">
        <f t="shared" si="0"/>
        <v>7º</v>
      </c>
      <c r="B8" s="69" t="str">
        <f t="shared" si="1"/>
        <v>Rodrigo Nestor</v>
      </c>
      <c r="C8" s="86" t="str">
        <f t="shared" si="2"/>
        <v>BRA</v>
      </c>
      <c r="D8" s="99" t="str">
        <f t="shared" si="3"/>
        <v>Pé Esquerdo</v>
      </c>
      <c r="E8" s="9" t="str">
        <f t="shared" si="4"/>
        <v>Bahia</v>
      </c>
      <c r="F8" s="168">
        <f t="shared" si="5"/>
        <v>1.75</v>
      </c>
      <c r="G8" s="35">
        <f t="shared" si="6"/>
        <v>47848</v>
      </c>
      <c r="H8" s="7">
        <f t="shared" si="7"/>
        <v>26</v>
      </c>
      <c r="I8" s="349" t="str">
        <f t="shared" si="8"/>
        <v>40m € p/m</v>
      </c>
      <c r="J8" s="3" t="str">
        <f t="shared" si="9"/>
        <v>850m € - 8,6M €</v>
      </c>
      <c r="K8" s="96">
        <f t="shared" si="10"/>
        <v>27.547777777777775</v>
      </c>
      <c r="L8" s="145">
        <f t="shared" si="11"/>
        <v>22.366666666666667</v>
      </c>
      <c r="M8" s="146">
        <f t="shared" si="12"/>
        <v>36</v>
      </c>
      <c r="N8" s="146">
        <f t="shared" si="13"/>
        <v>55.916666666666664</v>
      </c>
      <c r="O8" s="187">
        <f t="shared" si="14"/>
        <v>0.61</v>
      </c>
      <c r="P8" s="2">
        <f t="shared" si="15"/>
        <v>6</v>
      </c>
      <c r="Q8" s="2">
        <f t="shared" si="16"/>
        <v>5</v>
      </c>
      <c r="R8" s="2">
        <f t="shared" si="17"/>
        <v>11</v>
      </c>
      <c r="S8" s="6">
        <f t="shared" si="18"/>
        <v>2</v>
      </c>
      <c r="T8" s="24">
        <f t="shared" si="19"/>
        <v>1006.5</v>
      </c>
      <c r="U8" s="21">
        <f t="shared" si="20"/>
        <v>8.9418777943368111E-2</v>
      </c>
      <c r="V8" s="348">
        <f t="shared" si="21"/>
        <v>36</v>
      </c>
      <c r="W8" s="350">
        <f t="shared" si="22"/>
        <v>1.6095380029806259</v>
      </c>
      <c r="X8" s="348">
        <f t="shared" si="23"/>
        <v>5</v>
      </c>
      <c r="Y8" s="350">
        <f t="shared" si="24"/>
        <v>0.22354694485842028</v>
      </c>
      <c r="Z8" s="337">
        <f t="shared" si="25"/>
        <v>0.1388888888888889</v>
      </c>
      <c r="AA8" s="348">
        <f t="shared" si="26"/>
        <v>3</v>
      </c>
      <c r="AB8" s="333">
        <f t="shared" si="27"/>
        <v>0</v>
      </c>
      <c r="AC8" s="333">
        <f t="shared" si="28"/>
        <v>0</v>
      </c>
      <c r="AD8" s="333">
        <f t="shared" si="29"/>
        <v>0</v>
      </c>
      <c r="AE8" s="21">
        <f t="shared" si="30"/>
        <v>9.9999999999999995E-8</v>
      </c>
      <c r="AF8" s="6">
        <f t="shared" si="31"/>
        <v>6</v>
      </c>
      <c r="AG8" s="6">
        <f t="shared" si="32"/>
        <v>5</v>
      </c>
      <c r="AH8" s="6">
        <f t="shared" si="33"/>
        <v>11</v>
      </c>
      <c r="AI8" s="6">
        <f t="shared" si="34"/>
        <v>6</v>
      </c>
      <c r="AJ8" s="2">
        <f t="shared" si="35"/>
        <v>2</v>
      </c>
      <c r="AK8" s="5">
        <f t="shared" si="36"/>
        <v>0.26825633383010433</v>
      </c>
      <c r="AL8" s="5">
        <f t="shared" si="37"/>
        <v>0.22354694485842028</v>
      </c>
      <c r="AM8" s="5">
        <f t="shared" si="38"/>
        <v>0.49180327868852458</v>
      </c>
      <c r="AN8" s="354">
        <f t="shared" si="39"/>
        <v>89</v>
      </c>
      <c r="AO8" s="355">
        <f t="shared" si="40"/>
        <v>3.9791356184798805</v>
      </c>
      <c r="AP8" s="5">
        <f t="shared" si="41"/>
        <v>6.07</v>
      </c>
      <c r="AQ8" s="5">
        <f t="shared" si="42"/>
        <v>6.07</v>
      </c>
      <c r="AR8" s="5">
        <f t="shared" si="43"/>
        <v>0.27138599105812222</v>
      </c>
      <c r="AS8" s="5">
        <f t="shared" si="44"/>
        <v>4.99</v>
      </c>
      <c r="AT8" s="5">
        <f t="shared" si="45"/>
        <v>0.22309985096870344</v>
      </c>
      <c r="AU8" s="5">
        <f t="shared" si="46"/>
        <v>11.06</v>
      </c>
      <c r="AV8" s="5">
        <f t="shared" si="47"/>
        <v>0.49448584202682566</v>
      </c>
      <c r="AW8" s="21">
        <f t="shared" si="48"/>
        <v>0.49949949949949951</v>
      </c>
      <c r="AX8" s="21">
        <f t="shared" si="49"/>
        <v>0.49710024855012425</v>
      </c>
      <c r="AY8" s="6">
        <f t="shared" si="50"/>
        <v>68</v>
      </c>
      <c r="AZ8" s="6">
        <f t="shared" si="51"/>
        <v>18</v>
      </c>
      <c r="BA8" s="21">
        <f t="shared" si="52"/>
        <v>0.26470588235294118</v>
      </c>
      <c r="BB8" s="6">
        <f t="shared" si="53"/>
        <v>1099</v>
      </c>
      <c r="BC8" s="6">
        <f t="shared" si="54"/>
        <v>970</v>
      </c>
      <c r="BD8" s="24">
        <f t="shared" si="55"/>
        <v>49.135618479880776</v>
      </c>
      <c r="BE8" s="24">
        <f t="shared" si="56"/>
        <v>43.368107302533531</v>
      </c>
      <c r="BF8" s="24">
        <f t="shared" si="57"/>
        <v>5.7675111773472452</v>
      </c>
      <c r="BG8" s="20">
        <f t="shared" si="58"/>
        <v>0.88262056414922652</v>
      </c>
      <c r="BH8" s="6">
        <f t="shared" si="59"/>
        <v>129</v>
      </c>
      <c r="BI8" s="21">
        <f t="shared" si="60"/>
        <v>0.11737943585077348</v>
      </c>
      <c r="BJ8" s="211">
        <f t="shared" si="61"/>
        <v>61</v>
      </c>
      <c r="BK8" s="199">
        <f t="shared" si="62"/>
        <v>2.7272727272727271</v>
      </c>
      <c r="BL8" s="5">
        <f t="shared" si="63"/>
        <v>12.2</v>
      </c>
      <c r="BM8" s="21">
        <f t="shared" si="64"/>
        <v>8.1967213114754092E-2</v>
      </c>
      <c r="BN8" s="5">
        <f t="shared" si="65"/>
        <v>-9.9999999999997868E-3</v>
      </c>
      <c r="BO8" s="5">
        <f t="shared" si="66"/>
        <v>8.1803278688524592E-2</v>
      </c>
      <c r="BP8" s="24">
        <f t="shared" si="67"/>
        <v>33</v>
      </c>
      <c r="BQ8" s="5">
        <f t="shared" si="68"/>
        <v>18.990566037735849</v>
      </c>
      <c r="BR8" s="5">
        <f t="shared" si="69"/>
        <v>-7.0000000000000284E-2</v>
      </c>
      <c r="BS8" s="5">
        <f t="shared" si="70"/>
        <v>-7.0000000000000284E-2</v>
      </c>
      <c r="BT8" s="6">
        <f t="shared" si="71"/>
        <v>50</v>
      </c>
      <c r="BU8" s="5">
        <f t="shared" si="72"/>
        <v>2.2354694485842028</v>
      </c>
      <c r="BV8" s="5">
        <f t="shared" si="73"/>
        <v>1.1624441132637853</v>
      </c>
      <c r="BW8" s="21">
        <f t="shared" si="74"/>
        <v>0.52</v>
      </c>
      <c r="BX8" s="5">
        <f t="shared" si="75"/>
        <v>8.3333333333333339</v>
      </c>
      <c r="BY8" s="5">
        <f t="shared" si="76"/>
        <v>4.333333333333333</v>
      </c>
      <c r="BZ8" s="21">
        <f t="shared" si="77"/>
        <v>0.12</v>
      </c>
      <c r="CA8" s="348">
        <f t="shared" si="78"/>
        <v>4</v>
      </c>
      <c r="CB8" s="348">
        <f t="shared" si="79"/>
        <v>2</v>
      </c>
      <c r="CC8" s="348">
        <f t="shared" si="80"/>
        <v>0</v>
      </c>
      <c r="CD8" s="21">
        <f t="shared" si="81"/>
        <v>8.1289798130334642E-2</v>
      </c>
      <c r="CE8" s="6">
        <f t="shared" si="82"/>
        <v>13.1</v>
      </c>
      <c r="CF8" s="5">
        <f t="shared" si="83"/>
        <v>0.58569299552906107</v>
      </c>
      <c r="CG8" s="181">
        <f t="shared" si="84"/>
        <v>268</v>
      </c>
      <c r="CH8" s="5">
        <f t="shared" si="85"/>
        <v>11.982116244411326</v>
      </c>
      <c r="CI8" s="6">
        <f t="shared" si="86"/>
        <v>194</v>
      </c>
      <c r="CJ8" s="5">
        <f t="shared" si="87"/>
        <v>8.6736214605067055</v>
      </c>
      <c r="CK8" s="21">
        <f t="shared" si="88"/>
        <v>0.72388059701492535</v>
      </c>
      <c r="CL8" s="6">
        <f t="shared" si="89"/>
        <v>136.49</v>
      </c>
      <c r="CM8" s="5">
        <f t="shared" si="90"/>
        <v>6.1023845007451571</v>
      </c>
      <c r="CN8" s="6">
        <f t="shared" si="91"/>
        <v>137.24</v>
      </c>
      <c r="CO8" s="5">
        <f t="shared" si="92"/>
        <v>6.1359165424739199</v>
      </c>
      <c r="CP8" s="5">
        <f t="shared" si="93"/>
        <v>66.348733233979132</v>
      </c>
      <c r="CQ8" s="5">
        <f t="shared" si="94"/>
        <v>50.745156482861397</v>
      </c>
      <c r="CR8" s="6">
        <f t="shared" si="95"/>
        <v>146</v>
      </c>
      <c r="CS8" s="5">
        <f t="shared" si="96"/>
        <v>6.5275707898658721</v>
      </c>
      <c r="CT8" s="6">
        <f t="shared" si="97"/>
        <v>372</v>
      </c>
      <c r="CU8" s="5">
        <f t="shared" si="98"/>
        <v>16.631892697466469</v>
      </c>
      <c r="CV8" s="6">
        <f t="shared" si="99"/>
        <v>130</v>
      </c>
      <c r="CW8" s="5">
        <f t="shared" si="100"/>
        <v>5.8122205663189268</v>
      </c>
      <c r="CX8" s="6">
        <f t="shared" si="101"/>
        <v>203</v>
      </c>
      <c r="CY8" s="5">
        <f t="shared" si="102"/>
        <v>9.0760059612518624</v>
      </c>
      <c r="CZ8" s="5">
        <f t="shared" si="103"/>
        <v>13.1</v>
      </c>
      <c r="DA8" s="5">
        <f t="shared" si="104"/>
        <v>261.39999999999998</v>
      </c>
      <c r="DB8" s="5">
        <f t="shared" si="105"/>
        <v>11.68703427719821</v>
      </c>
      <c r="DC8" s="333">
        <f t="shared" si="106"/>
        <v>237.08666666666667</v>
      </c>
      <c r="DD8" s="334">
        <f t="shared" si="107"/>
        <v>10.6</v>
      </c>
      <c r="DE8" s="62">
        <f t="shared" si="108"/>
        <v>6.98</v>
      </c>
      <c r="DF8" s="302"/>
      <c r="DG8" s="298" t="s">
        <v>13</v>
      </c>
      <c r="DH8" s="298" t="s">
        <v>946</v>
      </c>
      <c r="DI8" s="298">
        <v>26</v>
      </c>
      <c r="DJ8" s="298" t="s">
        <v>580</v>
      </c>
      <c r="DK8" s="298" t="s">
        <v>588</v>
      </c>
      <c r="DL8" s="298" t="s">
        <v>652</v>
      </c>
      <c r="DM8" s="298" t="s">
        <v>987</v>
      </c>
      <c r="DN8" s="298" t="s">
        <v>947</v>
      </c>
      <c r="DO8" s="299">
        <v>47848</v>
      </c>
      <c r="DP8" s="298">
        <v>2013</v>
      </c>
      <c r="DQ8" s="298" t="s">
        <v>1056</v>
      </c>
      <c r="DR8" s="298">
        <v>2</v>
      </c>
      <c r="DS8" s="298">
        <v>6</v>
      </c>
      <c r="DT8" s="298">
        <v>5</v>
      </c>
      <c r="DU8" s="298">
        <v>19</v>
      </c>
      <c r="DV8" s="298">
        <v>13.1</v>
      </c>
      <c r="DW8" s="298" t="s">
        <v>938</v>
      </c>
      <c r="DX8" s="298" t="s">
        <v>932</v>
      </c>
      <c r="DY8" s="298">
        <v>13</v>
      </c>
      <c r="DZ8" s="298">
        <v>28</v>
      </c>
      <c r="EA8" s="298">
        <v>1099</v>
      </c>
      <c r="EB8" s="298">
        <v>970</v>
      </c>
      <c r="EC8" s="298">
        <v>61</v>
      </c>
      <c r="ED8" s="298">
        <v>85</v>
      </c>
      <c r="EE8" s="298">
        <v>89</v>
      </c>
      <c r="EF8" s="298">
        <v>50</v>
      </c>
      <c r="EG8" s="298">
        <v>26</v>
      </c>
      <c r="EH8" s="298">
        <v>177</v>
      </c>
      <c r="EI8" s="298">
        <v>37</v>
      </c>
      <c r="EJ8" s="298">
        <v>68</v>
      </c>
      <c r="EK8" s="298">
        <v>18</v>
      </c>
      <c r="EL8" s="298">
        <v>104</v>
      </c>
      <c r="EM8" s="298">
        <v>23</v>
      </c>
      <c r="EN8" s="298">
        <v>2</v>
      </c>
      <c r="EO8" s="298">
        <v>1.1000000000000001</v>
      </c>
      <c r="EP8" s="298">
        <v>3</v>
      </c>
      <c r="EQ8" s="298">
        <v>0</v>
      </c>
      <c r="ER8" s="298">
        <v>0</v>
      </c>
      <c r="ES8" s="298">
        <v>10.6</v>
      </c>
      <c r="ET8" s="298" t="s">
        <v>1057</v>
      </c>
      <c r="EU8" s="303">
        <v>6.98</v>
      </c>
    </row>
    <row r="9" spans="1:151" ht="24.95" customHeight="1" thickBot="1" x14ac:dyDescent="0.3">
      <c r="A9" s="29" t="str">
        <f t="shared" si="0"/>
        <v>8º</v>
      </c>
      <c r="B9" s="69" t="str">
        <f t="shared" si="1"/>
        <v>Roger Gabriel</v>
      </c>
      <c r="C9" s="86" t="str">
        <f t="shared" si="2"/>
        <v>BRA</v>
      </c>
      <c r="D9" s="99" t="str">
        <f t="shared" si="3"/>
        <v>Pé Direito</v>
      </c>
      <c r="E9" s="9" t="str">
        <f t="shared" si="4"/>
        <v>Bahia</v>
      </c>
      <c r="F9" s="168">
        <f t="shared" si="5"/>
        <v>1.73</v>
      </c>
      <c r="G9" s="35">
        <f t="shared" si="6"/>
        <v>47118</v>
      </c>
      <c r="H9" s="7">
        <f t="shared" si="7"/>
        <v>19</v>
      </c>
      <c r="I9" s="349" t="str">
        <f t="shared" si="8"/>
        <v>500 € p/m</v>
      </c>
      <c r="J9" s="3" t="str">
        <f t="shared" si="9"/>
        <v>35m € - 325m €</v>
      </c>
      <c r="K9" s="96">
        <f t="shared" si="10"/>
        <v>27.547777777777775</v>
      </c>
      <c r="L9" s="145">
        <f t="shared" si="11"/>
        <v>20.711111111111112</v>
      </c>
      <c r="M9" s="146">
        <f t="shared" si="12"/>
        <v>29</v>
      </c>
      <c r="N9" s="146">
        <f t="shared" si="13"/>
        <v>64.275862068965523</v>
      </c>
      <c r="O9" s="187">
        <f t="shared" si="14"/>
        <v>0.83</v>
      </c>
      <c r="P9" s="2">
        <f t="shared" si="15"/>
        <v>6</v>
      </c>
      <c r="Q9" s="2">
        <f t="shared" si="16"/>
        <v>5</v>
      </c>
      <c r="R9" s="2">
        <f t="shared" si="17"/>
        <v>11</v>
      </c>
      <c r="S9" s="6">
        <f t="shared" si="18"/>
        <v>1</v>
      </c>
      <c r="T9" s="24">
        <f t="shared" si="19"/>
        <v>1864</v>
      </c>
      <c r="U9" s="21">
        <f t="shared" si="20"/>
        <v>4.8283261802575105E-2</v>
      </c>
      <c r="V9" s="348">
        <f t="shared" si="21"/>
        <v>32</v>
      </c>
      <c r="W9" s="350">
        <f t="shared" si="22"/>
        <v>1.5450643776824033</v>
      </c>
      <c r="X9" s="348">
        <f t="shared" si="23"/>
        <v>5</v>
      </c>
      <c r="Y9" s="350">
        <f t="shared" si="24"/>
        <v>0.24141630901287553</v>
      </c>
      <c r="Z9" s="337">
        <f t="shared" si="25"/>
        <v>0.15625</v>
      </c>
      <c r="AA9" s="348">
        <f t="shared" si="26"/>
        <v>0</v>
      </c>
      <c r="AB9" s="333">
        <f t="shared" si="27"/>
        <v>0</v>
      </c>
      <c r="AC9" s="333">
        <f t="shared" si="28"/>
        <v>0</v>
      </c>
      <c r="AD9" s="333">
        <f t="shared" si="29"/>
        <v>0</v>
      </c>
      <c r="AE9" s="21">
        <f t="shared" si="30"/>
        <v>9.9999999999999995E-8</v>
      </c>
      <c r="AF9" s="6">
        <f t="shared" si="31"/>
        <v>6</v>
      </c>
      <c r="AG9" s="6">
        <f t="shared" si="32"/>
        <v>5</v>
      </c>
      <c r="AH9" s="6">
        <f t="shared" si="33"/>
        <v>11</v>
      </c>
      <c r="AI9" s="6">
        <f t="shared" si="34"/>
        <v>6</v>
      </c>
      <c r="AJ9" s="2">
        <f t="shared" si="35"/>
        <v>0</v>
      </c>
      <c r="AK9" s="5">
        <f t="shared" si="36"/>
        <v>0.28969957081545061</v>
      </c>
      <c r="AL9" s="5">
        <f t="shared" si="37"/>
        <v>0.24141630901287553</v>
      </c>
      <c r="AM9" s="5">
        <f t="shared" si="38"/>
        <v>0.5311158798283262</v>
      </c>
      <c r="AN9" s="354">
        <f t="shared" si="39"/>
        <v>38</v>
      </c>
      <c r="AO9" s="355">
        <f t="shared" si="40"/>
        <v>1.834763948497854</v>
      </c>
      <c r="AP9" s="5">
        <f t="shared" si="41"/>
        <v>6.63</v>
      </c>
      <c r="AQ9" s="5">
        <f t="shared" si="42"/>
        <v>6.63</v>
      </c>
      <c r="AR9" s="5">
        <f t="shared" si="43"/>
        <v>0.32011802575107295</v>
      </c>
      <c r="AS9" s="5">
        <f t="shared" si="44"/>
        <v>4.24</v>
      </c>
      <c r="AT9" s="5">
        <f t="shared" si="45"/>
        <v>0.20472103004291844</v>
      </c>
      <c r="AU9" s="5">
        <f t="shared" si="46"/>
        <v>10.870000000000001</v>
      </c>
      <c r="AV9" s="5">
        <f t="shared" si="47"/>
        <v>0.52483905579399148</v>
      </c>
      <c r="AW9" s="21">
        <f t="shared" si="48"/>
        <v>0.45887445887445888</v>
      </c>
      <c r="AX9" s="21">
        <f t="shared" si="49"/>
        <v>0.47505938242280288</v>
      </c>
      <c r="AY9" s="6">
        <f t="shared" si="50"/>
        <v>14</v>
      </c>
      <c r="AZ9" s="6">
        <f t="shared" si="51"/>
        <v>5</v>
      </c>
      <c r="BA9" s="21">
        <f t="shared" si="52"/>
        <v>0.35714285714285715</v>
      </c>
      <c r="BB9" s="6">
        <f t="shared" si="53"/>
        <v>882</v>
      </c>
      <c r="BC9" s="6">
        <f t="shared" si="54"/>
        <v>777</v>
      </c>
      <c r="BD9" s="24">
        <f t="shared" si="55"/>
        <v>42.58583690987124</v>
      </c>
      <c r="BE9" s="24">
        <f t="shared" si="56"/>
        <v>37.516094420600858</v>
      </c>
      <c r="BF9" s="24">
        <f t="shared" si="57"/>
        <v>5.0697424892703822</v>
      </c>
      <c r="BG9" s="20">
        <f t="shared" si="58"/>
        <v>0.88095238095238093</v>
      </c>
      <c r="BH9" s="6">
        <f t="shared" si="59"/>
        <v>105</v>
      </c>
      <c r="BI9" s="21">
        <f t="shared" si="60"/>
        <v>0.11904761904761907</v>
      </c>
      <c r="BJ9" s="211">
        <f t="shared" si="61"/>
        <v>57</v>
      </c>
      <c r="BK9" s="199">
        <f t="shared" si="62"/>
        <v>2.7521459227467808</v>
      </c>
      <c r="BL9" s="5">
        <f t="shared" si="63"/>
        <v>11.4</v>
      </c>
      <c r="BM9" s="21">
        <f t="shared" si="64"/>
        <v>8.771929824561403E-2</v>
      </c>
      <c r="BN9" s="5">
        <f t="shared" si="65"/>
        <v>-0.75999999999999979</v>
      </c>
      <c r="BO9" s="5">
        <f t="shared" si="66"/>
        <v>7.4385964912280708E-2</v>
      </c>
      <c r="BP9" s="24">
        <f t="shared" si="67"/>
        <v>32.701754385964911</v>
      </c>
      <c r="BQ9" s="5">
        <f t="shared" si="68"/>
        <v>18.64</v>
      </c>
      <c r="BR9" s="5">
        <f t="shared" si="69"/>
        <v>-0.62999999999999989</v>
      </c>
      <c r="BS9" s="5">
        <f t="shared" si="70"/>
        <v>-0.62999999999999989</v>
      </c>
      <c r="BT9" s="6">
        <f t="shared" si="71"/>
        <v>60</v>
      </c>
      <c r="BU9" s="5">
        <f t="shared" si="72"/>
        <v>2.8969957081545061</v>
      </c>
      <c r="BV9" s="5">
        <f t="shared" si="73"/>
        <v>1.3036480686695278</v>
      </c>
      <c r="BW9" s="21">
        <f t="shared" si="74"/>
        <v>0.45</v>
      </c>
      <c r="BX9" s="5">
        <f t="shared" si="75"/>
        <v>10</v>
      </c>
      <c r="BY9" s="5">
        <f t="shared" si="76"/>
        <v>4.5</v>
      </c>
      <c r="BZ9" s="21">
        <f t="shared" si="77"/>
        <v>0.1</v>
      </c>
      <c r="CA9" s="348">
        <f t="shared" si="78"/>
        <v>6</v>
      </c>
      <c r="CB9" s="348">
        <f t="shared" si="79"/>
        <v>0</v>
      </c>
      <c r="CC9" s="348">
        <f t="shared" si="80"/>
        <v>0</v>
      </c>
      <c r="CD9" s="21">
        <f t="shared" si="81"/>
        <v>0</v>
      </c>
      <c r="CE9" s="6">
        <f t="shared" si="82"/>
        <v>14</v>
      </c>
      <c r="CF9" s="5">
        <f t="shared" si="83"/>
        <v>0.67596566523605151</v>
      </c>
      <c r="CG9" s="181">
        <f t="shared" si="84"/>
        <v>169</v>
      </c>
      <c r="CH9" s="5">
        <f t="shared" si="85"/>
        <v>8.1598712446351929</v>
      </c>
      <c r="CI9" s="6">
        <f t="shared" si="86"/>
        <v>127</v>
      </c>
      <c r="CJ9" s="5">
        <f t="shared" si="87"/>
        <v>6.1319742489270386</v>
      </c>
      <c r="CK9" s="21">
        <f t="shared" si="88"/>
        <v>0.75147928994082835</v>
      </c>
      <c r="CL9" s="6">
        <f t="shared" si="89"/>
        <v>114.74000000000001</v>
      </c>
      <c r="CM9" s="5">
        <f t="shared" si="90"/>
        <v>5.5400214592274679</v>
      </c>
      <c r="CN9" s="6">
        <f t="shared" si="91"/>
        <v>117.49</v>
      </c>
      <c r="CO9" s="5">
        <f t="shared" si="92"/>
        <v>5.6728004291845489</v>
      </c>
      <c r="CP9" s="5">
        <f t="shared" si="93"/>
        <v>55.960300429184549</v>
      </c>
      <c r="CQ9" s="5">
        <f t="shared" si="94"/>
        <v>44.227467811158796</v>
      </c>
      <c r="CR9" s="6">
        <f t="shared" si="95"/>
        <v>123</v>
      </c>
      <c r="CS9" s="5">
        <f t="shared" si="96"/>
        <v>5.9388412017167376</v>
      </c>
      <c r="CT9" s="6">
        <f t="shared" si="97"/>
        <v>251</v>
      </c>
      <c r="CU9" s="5">
        <f t="shared" si="98"/>
        <v>12.119098712446352</v>
      </c>
      <c r="CV9" s="6">
        <f t="shared" si="99"/>
        <v>133</v>
      </c>
      <c r="CW9" s="5">
        <f t="shared" si="100"/>
        <v>6.4216738197424892</v>
      </c>
      <c r="CX9" s="6">
        <f t="shared" si="101"/>
        <v>147</v>
      </c>
      <c r="CY9" s="5">
        <f t="shared" si="102"/>
        <v>7.09763948497854</v>
      </c>
      <c r="CZ9" s="5">
        <f t="shared" si="103"/>
        <v>14</v>
      </c>
      <c r="DA9" s="5">
        <f t="shared" si="104"/>
        <v>243.1</v>
      </c>
      <c r="DB9" s="5">
        <f t="shared" si="105"/>
        <v>11.737660944206008</v>
      </c>
      <c r="DC9" s="333">
        <f t="shared" si="106"/>
        <v>138.76444444444445</v>
      </c>
      <c r="DD9" s="334">
        <f t="shared" si="107"/>
        <v>6.7</v>
      </c>
      <c r="DE9" s="62">
        <f t="shared" si="108"/>
        <v>6.94</v>
      </c>
      <c r="DF9" s="300"/>
      <c r="DG9" s="296" t="s">
        <v>13</v>
      </c>
      <c r="DH9" s="296" t="s">
        <v>1058</v>
      </c>
      <c r="DI9" s="296">
        <v>19</v>
      </c>
      <c r="DJ9" s="296" t="s">
        <v>580</v>
      </c>
      <c r="DK9" s="296" t="s">
        <v>775</v>
      </c>
      <c r="DL9" s="296" t="s">
        <v>644</v>
      </c>
      <c r="DM9" s="296" t="s">
        <v>974</v>
      </c>
      <c r="DN9" s="296" t="s">
        <v>760</v>
      </c>
      <c r="DO9" s="297">
        <v>47118</v>
      </c>
      <c r="DP9" s="296">
        <v>1864</v>
      </c>
      <c r="DQ9" s="296" t="s">
        <v>1059</v>
      </c>
      <c r="DR9" s="296">
        <v>1</v>
      </c>
      <c r="DS9" s="296">
        <v>6</v>
      </c>
      <c r="DT9" s="296">
        <v>5</v>
      </c>
      <c r="DU9" s="296">
        <v>16</v>
      </c>
      <c r="DV9" s="296">
        <v>14</v>
      </c>
      <c r="DW9" s="296" t="s">
        <v>1007</v>
      </c>
      <c r="DX9" s="296" t="s">
        <v>988</v>
      </c>
      <c r="DY9" s="296">
        <v>7</v>
      </c>
      <c r="DZ9" s="296">
        <v>18</v>
      </c>
      <c r="EA9" s="296">
        <v>882</v>
      </c>
      <c r="EB9" s="296">
        <v>777</v>
      </c>
      <c r="EC9" s="296">
        <v>57</v>
      </c>
      <c r="ED9" s="296">
        <v>66</v>
      </c>
      <c r="EE9" s="296">
        <v>38</v>
      </c>
      <c r="EF9" s="296">
        <v>60</v>
      </c>
      <c r="EG9" s="296">
        <v>27</v>
      </c>
      <c r="EH9" s="296">
        <v>87</v>
      </c>
      <c r="EI9" s="296">
        <v>25</v>
      </c>
      <c r="EJ9" s="296">
        <v>14</v>
      </c>
      <c r="EK9" s="296">
        <v>5</v>
      </c>
      <c r="EL9" s="296">
        <v>46</v>
      </c>
      <c r="EM9" s="296">
        <v>10</v>
      </c>
      <c r="EN9" s="296">
        <v>0</v>
      </c>
      <c r="EO9" s="296">
        <v>1.2</v>
      </c>
      <c r="EP9" s="296">
        <v>0</v>
      </c>
      <c r="EQ9" s="296">
        <v>0</v>
      </c>
      <c r="ER9" s="296">
        <v>0</v>
      </c>
      <c r="ES9" s="296">
        <v>6.7</v>
      </c>
      <c r="ET9" s="296" t="s">
        <v>1060</v>
      </c>
      <c r="EU9" s="301">
        <v>6.94</v>
      </c>
    </row>
    <row r="10" spans="1:151" ht="24.95" customHeight="1" thickBot="1" x14ac:dyDescent="0.3">
      <c r="A10" s="29" t="str">
        <f t="shared" si="0"/>
        <v>9º</v>
      </c>
      <c r="B10" s="69" t="str">
        <f t="shared" si="1"/>
        <v>Víctor Cantillo</v>
      </c>
      <c r="C10" s="86" t="str">
        <f t="shared" si="2"/>
        <v>COL</v>
      </c>
      <c r="D10" s="99" t="str">
        <f t="shared" si="3"/>
        <v>Pé Direito</v>
      </c>
      <c r="E10" s="9" t="str">
        <f t="shared" si="4"/>
        <v>Remo</v>
      </c>
      <c r="F10" s="168">
        <f t="shared" si="5"/>
        <v>1.81</v>
      </c>
      <c r="G10" s="35">
        <f t="shared" si="6"/>
        <v>47118</v>
      </c>
      <c r="H10" s="7">
        <f t="shared" si="7"/>
        <v>32</v>
      </c>
      <c r="I10" s="349" t="str">
        <f t="shared" si="8"/>
        <v>28m € p/m</v>
      </c>
      <c r="J10" s="3" t="str">
        <f t="shared" si="9"/>
        <v>24M €</v>
      </c>
      <c r="K10" s="96">
        <f t="shared" si="10"/>
        <v>27.547777777777775</v>
      </c>
      <c r="L10" s="145">
        <f t="shared" si="11"/>
        <v>19.744444444444444</v>
      </c>
      <c r="M10" s="146">
        <f t="shared" si="12"/>
        <v>41</v>
      </c>
      <c r="N10" s="146">
        <f t="shared" si="13"/>
        <v>43.341463414634148</v>
      </c>
      <c r="O10" s="187">
        <f t="shared" si="14"/>
        <v>0.39</v>
      </c>
      <c r="P10" s="2">
        <f t="shared" si="15"/>
        <v>6</v>
      </c>
      <c r="Q10" s="2">
        <f t="shared" si="16"/>
        <v>6</v>
      </c>
      <c r="R10" s="2">
        <f t="shared" si="17"/>
        <v>12</v>
      </c>
      <c r="S10" s="6">
        <f t="shared" si="18"/>
        <v>2</v>
      </c>
      <c r="T10" s="24">
        <f t="shared" si="19"/>
        <v>888.5</v>
      </c>
      <c r="U10" s="21">
        <f t="shared" si="20"/>
        <v>0.10129431626336523</v>
      </c>
      <c r="V10" s="348">
        <f t="shared" si="21"/>
        <v>65</v>
      </c>
      <c r="W10" s="350">
        <f t="shared" si="22"/>
        <v>3.2920652785593698</v>
      </c>
      <c r="X10" s="348">
        <f t="shared" si="23"/>
        <v>5</v>
      </c>
      <c r="Y10" s="350">
        <f t="shared" si="24"/>
        <v>0.25323579065841306</v>
      </c>
      <c r="Z10" s="337">
        <f t="shared" si="25"/>
        <v>7.6923076923076927E-2</v>
      </c>
      <c r="AA10" s="348">
        <f t="shared" si="26"/>
        <v>0</v>
      </c>
      <c r="AB10" s="333">
        <f t="shared" si="27"/>
        <v>0</v>
      </c>
      <c r="AC10" s="333">
        <f t="shared" si="28"/>
        <v>0</v>
      </c>
      <c r="AD10" s="333">
        <f t="shared" si="29"/>
        <v>0</v>
      </c>
      <c r="AE10" s="21">
        <f t="shared" si="30"/>
        <v>9.9999999999999995E-8</v>
      </c>
      <c r="AF10" s="6">
        <f t="shared" si="31"/>
        <v>6</v>
      </c>
      <c r="AG10" s="6">
        <f t="shared" si="32"/>
        <v>6</v>
      </c>
      <c r="AH10" s="6">
        <f t="shared" si="33"/>
        <v>12</v>
      </c>
      <c r="AI10" s="6">
        <f t="shared" si="34"/>
        <v>6</v>
      </c>
      <c r="AJ10" s="2">
        <f t="shared" si="35"/>
        <v>3</v>
      </c>
      <c r="AK10" s="5">
        <f t="shared" si="36"/>
        <v>0.3038829487900957</v>
      </c>
      <c r="AL10" s="5">
        <f t="shared" si="37"/>
        <v>0.3038829487900957</v>
      </c>
      <c r="AM10" s="5">
        <f t="shared" si="38"/>
        <v>0.60776589758019139</v>
      </c>
      <c r="AN10" s="354">
        <f t="shared" si="39"/>
        <v>8</v>
      </c>
      <c r="AO10" s="355">
        <f t="shared" si="40"/>
        <v>0.40517726505346091</v>
      </c>
      <c r="AP10" s="5">
        <f t="shared" si="41"/>
        <v>2.16</v>
      </c>
      <c r="AQ10" s="5">
        <f t="shared" si="42"/>
        <v>2.16</v>
      </c>
      <c r="AR10" s="5">
        <f t="shared" si="43"/>
        <v>0.10939786156443446</v>
      </c>
      <c r="AS10" s="5">
        <f t="shared" si="44"/>
        <v>4.76</v>
      </c>
      <c r="AT10" s="5">
        <f t="shared" si="45"/>
        <v>0.24108047270680924</v>
      </c>
      <c r="AU10" s="5">
        <f t="shared" si="46"/>
        <v>6.92</v>
      </c>
      <c r="AV10" s="5">
        <f t="shared" si="47"/>
        <v>0.3504783342712437</v>
      </c>
      <c r="AW10" s="21">
        <f t="shared" si="48"/>
        <v>0.44237918215613381</v>
      </c>
      <c r="AX10" s="21">
        <f t="shared" si="49"/>
        <v>0.73529411764705876</v>
      </c>
      <c r="AY10" s="6">
        <f t="shared" si="50"/>
        <v>7</v>
      </c>
      <c r="AZ10" s="6">
        <f t="shared" si="51"/>
        <v>2</v>
      </c>
      <c r="BA10" s="21">
        <f t="shared" si="52"/>
        <v>0.2857142857142857</v>
      </c>
      <c r="BB10" s="6">
        <f t="shared" si="53"/>
        <v>1220</v>
      </c>
      <c r="BC10" s="6">
        <f t="shared" si="54"/>
        <v>1101</v>
      </c>
      <c r="BD10" s="24">
        <f t="shared" si="55"/>
        <v>61.789532920652789</v>
      </c>
      <c r="BE10" s="24">
        <f t="shared" si="56"/>
        <v>55.762521102982561</v>
      </c>
      <c r="BF10" s="24">
        <f t="shared" si="57"/>
        <v>6.0270118176702283</v>
      </c>
      <c r="BG10" s="20">
        <f t="shared" si="58"/>
        <v>0.90245901639344261</v>
      </c>
      <c r="BH10" s="6">
        <f t="shared" si="59"/>
        <v>119</v>
      </c>
      <c r="BI10" s="21">
        <f t="shared" si="60"/>
        <v>9.7540983606557385E-2</v>
      </c>
      <c r="BJ10" s="211">
        <f t="shared" si="61"/>
        <v>21</v>
      </c>
      <c r="BK10" s="199">
        <f t="shared" si="62"/>
        <v>1.0635903207653348</v>
      </c>
      <c r="BL10" s="5">
        <f t="shared" si="63"/>
        <v>3.5</v>
      </c>
      <c r="BM10" s="21">
        <f t="shared" si="64"/>
        <v>0.2857142857142857</v>
      </c>
      <c r="BN10" s="5">
        <f t="shared" si="65"/>
        <v>-1.2400000000000002</v>
      </c>
      <c r="BO10" s="5">
        <f t="shared" si="66"/>
        <v>0.22666666666666666</v>
      </c>
      <c r="BP10" s="24">
        <f t="shared" si="67"/>
        <v>84.61904761904762</v>
      </c>
      <c r="BQ10" s="5">
        <f t="shared" si="68"/>
        <v>35.54</v>
      </c>
      <c r="BR10" s="5">
        <f t="shared" si="69"/>
        <v>3.84</v>
      </c>
      <c r="BS10" s="5">
        <f t="shared" si="70"/>
        <v>3.84</v>
      </c>
      <c r="BT10" s="6">
        <f t="shared" si="71"/>
        <v>32</v>
      </c>
      <c r="BU10" s="5">
        <f t="shared" si="72"/>
        <v>1.6207090602138436</v>
      </c>
      <c r="BV10" s="5">
        <f t="shared" si="73"/>
        <v>0.91164884637028709</v>
      </c>
      <c r="BW10" s="21">
        <f t="shared" si="74"/>
        <v>0.5625</v>
      </c>
      <c r="BX10" s="5">
        <f t="shared" si="75"/>
        <v>5.333333333333333</v>
      </c>
      <c r="BY10" s="5">
        <f t="shared" si="76"/>
        <v>3</v>
      </c>
      <c r="BZ10" s="21">
        <f t="shared" si="77"/>
        <v>0.1875</v>
      </c>
      <c r="CA10" s="348">
        <f t="shared" si="78"/>
        <v>3</v>
      </c>
      <c r="CB10" s="348">
        <f t="shared" si="79"/>
        <v>3</v>
      </c>
      <c r="CC10" s="348">
        <f t="shared" si="80"/>
        <v>0</v>
      </c>
      <c r="CD10" s="21">
        <f t="shared" si="81"/>
        <v>0.1899268429938098</v>
      </c>
      <c r="CE10" s="6">
        <f t="shared" si="82"/>
        <v>9.6999999999999993</v>
      </c>
      <c r="CF10" s="5">
        <f t="shared" si="83"/>
        <v>0.49127743387732131</v>
      </c>
      <c r="CG10" s="181">
        <f t="shared" si="84"/>
        <v>68</v>
      </c>
      <c r="CH10" s="5">
        <f t="shared" si="85"/>
        <v>3.4440067529544178</v>
      </c>
      <c r="CI10" s="6">
        <f t="shared" si="86"/>
        <v>49</v>
      </c>
      <c r="CJ10" s="5">
        <f t="shared" si="87"/>
        <v>2.4817107484524481</v>
      </c>
      <c r="CK10" s="21">
        <f t="shared" si="88"/>
        <v>0.72058823529411764</v>
      </c>
      <c r="CL10" s="6">
        <f t="shared" si="89"/>
        <v>65.759999999999991</v>
      </c>
      <c r="CM10" s="5">
        <f t="shared" si="90"/>
        <v>3.3305571187394483</v>
      </c>
      <c r="CN10" s="6">
        <f t="shared" si="91"/>
        <v>65.759999999999991</v>
      </c>
      <c r="CO10" s="5">
        <f t="shared" si="92"/>
        <v>3.3305571187394483</v>
      </c>
      <c r="CP10" s="5">
        <f t="shared" si="93"/>
        <v>75.970737197523917</v>
      </c>
      <c r="CQ10" s="5">
        <f t="shared" si="94"/>
        <v>65.588069780528983</v>
      </c>
      <c r="CR10" s="6">
        <f t="shared" si="95"/>
        <v>183</v>
      </c>
      <c r="CS10" s="5">
        <f t="shared" si="96"/>
        <v>9.2684299380979187</v>
      </c>
      <c r="CT10" s="6">
        <f t="shared" si="97"/>
        <v>241</v>
      </c>
      <c r="CU10" s="5">
        <f t="shared" si="98"/>
        <v>12.20596510973551</v>
      </c>
      <c r="CV10" s="6">
        <f t="shared" si="99"/>
        <v>64</v>
      </c>
      <c r="CW10" s="5">
        <f t="shared" si="100"/>
        <v>3.2414181204276873</v>
      </c>
      <c r="CX10" s="6">
        <f t="shared" si="101"/>
        <v>138</v>
      </c>
      <c r="CY10" s="5">
        <f t="shared" si="102"/>
        <v>6.9893078221722007</v>
      </c>
      <c r="CZ10" s="5">
        <f t="shared" si="103"/>
        <v>9.6999999999999993</v>
      </c>
      <c r="DA10" s="5">
        <f t="shared" si="104"/>
        <v>209.5</v>
      </c>
      <c r="DB10" s="5">
        <f t="shared" si="105"/>
        <v>10.610579628587507</v>
      </c>
      <c r="DC10" s="333">
        <f t="shared" si="106"/>
        <v>154.00666666666666</v>
      </c>
      <c r="DD10" s="334">
        <f t="shared" si="107"/>
        <v>7.8</v>
      </c>
      <c r="DE10" s="62">
        <f t="shared" si="108"/>
        <v>6.97</v>
      </c>
      <c r="DF10" s="302"/>
      <c r="DG10" s="298" t="s">
        <v>553</v>
      </c>
      <c r="DH10" s="298" t="s">
        <v>1004</v>
      </c>
      <c r="DI10" s="298">
        <v>32</v>
      </c>
      <c r="DJ10" s="298" t="s">
        <v>558</v>
      </c>
      <c r="DK10" s="298" t="s">
        <v>607</v>
      </c>
      <c r="DL10" s="298" t="s">
        <v>644</v>
      </c>
      <c r="DM10" s="298" t="s">
        <v>1005</v>
      </c>
      <c r="DN10" s="298" t="s">
        <v>958</v>
      </c>
      <c r="DO10" s="299">
        <v>47118</v>
      </c>
      <c r="DP10" s="298">
        <v>1777</v>
      </c>
      <c r="DQ10" s="298" t="s">
        <v>1066</v>
      </c>
      <c r="DR10" s="298">
        <v>2</v>
      </c>
      <c r="DS10" s="298">
        <v>6</v>
      </c>
      <c r="DT10" s="298">
        <v>6</v>
      </c>
      <c r="DU10" s="298">
        <v>11</v>
      </c>
      <c r="DV10" s="298">
        <v>9.6999999999999993</v>
      </c>
      <c r="DW10" s="298" t="s">
        <v>944</v>
      </c>
      <c r="DX10" s="298" t="s">
        <v>1067</v>
      </c>
      <c r="DY10" s="298">
        <v>15</v>
      </c>
      <c r="DZ10" s="298">
        <v>8</v>
      </c>
      <c r="EA10" s="298">
        <v>1220</v>
      </c>
      <c r="EB10" s="298">
        <v>1101</v>
      </c>
      <c r="EC10" s="298">
        <v>21</v>
      </c>
      <c r="ED10" s="298">
        <v>162</v>
      </c>
      <c r="EE10" s="298">
        <v>8</v>
      </c>
      <c r="EF10" s="298">
        <v>32</v>
      </c>
      <c r="EG10" s="298">
        <v>18</v>
      </c>
      <c r="EH10" s="298">
        <v>153</v>
      </c>
      <c r="EI10" s="298">
        <v>37</v>
      </c>
      <c r="EJ10" s="298">
        <v>7</v>
      </c>
      <c r="EK10" s="298">
        <v>2</v>
      </c>
      <c r="EL10" s="298">
        <v>72</v>
      </c>
      <c r="EM10" s="298">
        <v>7</v>
      </c>
      <c r="EN10" s="298">
        <v>3</v>
      </c>
      <c r="EO10" s="298">
        <v>0.8</v>
      </c>
      <c r="EP10" s="298">
        <v>0</v>
      </c>
      <c r="EQ10" s="298">
        <v>0</v>
      </c>
      <c r="ER10" s="298">
        <v>0</v>
      </c>
      <c r="ES10" s="298">
        <v>7.8</v>
      </c>
      <c r="ET10" s="298" t="s">
        <v>1068</v>
      </c>
      <c r="EU10" s="303">
        <v>6.97</v>
      </c>
    </row>
    <row r="11" spans="1:151" ht="24.95" customHeight="1" thickBot="1" x14ac:dyDescent="0.3">
      <c r="A11" s="29" t="str">
        <f t="shared" si="0"/>
        <v>10º</v>
      </c>
      <c r="B11" s="69" t="str">
        <f t="shared" si="1"/>
        <v>Victor Hugo</v>
      </c>
      <c r="C11" s="86" t="str">
        <f t="shared" si="2"/>
        <v>BRA</v>
      </c>
      <c r="D11" s="99" t="str">
        <f t="shared" si="3"/>
        <v>Pé Esquerdo</v>
      </c>
      <c r="E11" s="9" t="str">
        <f t="shared" si="4"/>
        <v>Atlético Mineiro</v>
      </c>
      <c r="F11" s="168">
        <f t="shared" si="5"/>
        <v>1.82</v>
      </c>
      <c r="G11" s="35">
        <f t="shared" si="6"/>
        <v>47848</v>
      </c>
      <c r="H11" s="7">
        <f t="shared" si="7"/>
        <v>22</v>
      </c>
      <c r="I11" s="349" t="str">
        <f t="shared" si="8"/>
        <v>22,5m € p/m</v>
      </c>
      <c r="J11" s="3" t="str">
        <f t="shared" si="9"/>
        <v>2,7M €</v>
      </c>
      <c r="K11" s="96">
        <f t="shared" si="10"/>
        <v>27.547777777777775</v>
      </c>
      <c r="L11" s="145">
        <f t="shared" si="11"/>
        <v>28.766666666666666</v>
      </c>
      <c r="M11" s="146">
        <f t="shared" si="12"/>
        <v>43</v>
      </c>
      <c r="N11" s="146">
        <f t="shared" si="13"/>
        <v>60.209302325581397</v>
      </c>
      <c r="O11" s="187">
        <f t="shared" si="14"/>
        <v>0.81</v>
      </c>
      <c r="P11" s="2">
        <f t="shared" si="15"/>
        <v>15</v>
      </c>
      <c r="Q11" s="2">
        <f t="shared" si="16"/>
        <v>9</v>
      </c>
      <c r="R11" s="2">
        <f t="shared" si="17"/>
        <v>24</v>
      </c>
      <c r="S11" s="6">
        <f t="shared" si="18"/>
        <v>2</v>
      </c>
      <c r="T11" s="24">
        <f t="shared" si="19"/>
        <v>1294.5</v>
      </c>
      <c r="U11" s="21">
        <f t="shared" si="20"/>
        <v>6.9524913093858637E-2</v>
      </c>
      <c r="V11" s="348">
        <f t="shared" si="21"/>
        <v>0</v>
      </c>
      <c r="W11" s="350">
        <f t="shared" si="22"/>
        <v>0</v>
      </c>
      <c r="X11" s="348">
        <f t="shared" si="23"/>
        <v>0</v>
      </c>
      <c r="Y11" s="350">
        <f t="shared" si="24"/>
        <v>0</v>
      </c>
      <c r="Z11" s="337">
        <f t="shared" si="25"/>
        <v>0</v>
      </c>
      <c r="AA11" s="348">
        <f t="shared" si="26"/>
        <v>1</v>
      </c>
      <c r="AB11" s="333">
        <f t="shared" si="27"/>
        <v>0</v>
      </c>
      <c r="AC11" s="333">
        <f t="shared" si="28"/>
        <v>0</v>
      </c>
      <c r="AD11" s="333">
        <f t="shared" si="29"/>
        <v>0</v>
      </c>
      <c r="AE11" s="21">
        <f t="shared" si="30"/>
        <v>9.9999999999999995E-8</v>
      </c>
      <c r="AF11" s="6">
        <f t="shared" si="31"/>
        <v>15</v>
      </c>
      <c r="AG11" s="6">
        <f t="shared" si="32"/>
        <v>9</v>
      </c>
      <c r="AH11" s="6">
        <f t="shared" si="33"/>
        <v>24</v>
      </c>
      <c r="AI11" s="6">
        <f t="shared" si="34"/>
        <v>15</v>
      </c>
      <c r="AJ11" s="2">
        <f t="shared" si="35"/>
        <v>1</v>
      </c>
      <c r="AK11" s="5">
        <f t="shared" si="36"/>
        <v>0.52143684820393976</v>
      </c>
      <c r="AL11" s="5">
        <f t="shared" si="37"/>
        <v>0.31286210892236388</v>
      </c>
      <c r="AM11" s="5">
        <f t="shared" si="38"/>
        <v>0.83429895712630364</v>
      </c>
      <c r="AN11" s="354">
        <f t="shared" si="39"/>
        <v>42</v>
      </c>
      <c r="AO11" s="355">
        <f t="shared" si="40"/>
        <v>1.4600231749710313</v>
      </c>
      <c r="AP11" s="5">
        <f t="shared" si="41"/>
        <v>8.36</v>
      </c>
      <c r="AQ11" s="5">
        <f t="shared" si="42"/>
        <v>8.36</v>
      </c>
      <c r="AR11" s="5">
        <f t="shared" si="43"/>
        <v>0.29061413673232905</v>
      </c>
      <c r="AS11" s="5">
        <f t="shared" si="44"/>
        <v>6.06</v>
      </c>
      <c r="AT11" s="5">
        <f t="shared" si="45"/>
        <v>0.21066048667439166</v>
      </c>
      <c r="AU11" s="5">
        <f t="shared" si="46"/>
        <v>14.419999999999998</v>
      </c>
      <c r="AV11" s="5">
        <f t="shared" si="47"/>
        <v>0.50127462340672069</v>
      </c>
      <c r="AW11" s="21">
        <f t="shared" si="48"/>
        <v>0.40239043824701198</v>
      </c>
      <c r="AX11" s="21">
        <f t="shared" si="49"/>
        <v>0.64212328767123295</v>
      </c>
      <c r="AY11" s="6">
        <f t="shared" si="50"/>
        <v>38</v>
      </c>
      <c r="AZ11" s="6">
        <f t="shared" si="51"/>
        <v>9</v>
      </c>
      <c r="BA11" s="21">
        <f t="shared" si="52"/>
        <v>0.23684210526315788</v>
      </c>
      <c r="BB11" s="6">
        <f t="shared" si="53"/>
        <v>1419</v>
      </c>
      <c r="BC11" s="6">
        <f t="shared" si="54"/>
        <v>1236</v>
      </c>
      <c r="BD11" s="24">
        <f t="shared" si="55"/>
        <v>49.327925840092703</v>
      </c>
      <c r="BE11" s="24">
        <f t="shared" si="56"/>
        <v>42.966396292004639</v>
      </c>
      <c r="BF11" s="24">
        <f t="shared" si="57"/>
        <v>6.3615295480880647</v>
      </c>
      <c r="BG11" s="20">
        <f t="shared" si="58"/>
        <v>0.87103594080338265</v>
      </c>
      <c r="BH11" s="6">
        <f t="shared" si="59"/>
        <v>183</v>
      </c>
      <c r="BI11" s="21">
        <f t="shared" si="60"/>
        <v>0.12896405919661735</v>
      </c>
      <c r="BJ11" s="211">
        <f t="shared" si="61"/>
        <v>60</v>
      </c>
      <c r="BK11" s="199">
        <f t="shared" si="62"/>
        <v>2.085747392815759</v>
      </c>
      <c r="BL11" s="5">
        <f t="shared" si="63"/>
        <v>6.666666666666667</v>
      </c>
      <c r="BM11" s="21">
        <f t="shared" si="64"/>
        <v>0.15</v>
      </c>
      <c r="BN11" s="5">
        <f t="shared" si="65"/>
        <v>-2.9400000000000004</v>
      </c>
      <c r="BO11" s="5">
        <f t="shared" si="66"/>
        <v>0.10099999999999999</v>
      </c>
      <c r="BP11" s="24">
        <f t="shared" si="67"/>
        <v>43.15</v>
      </c>
      <c r="BQ11" s="5">
        <f t="shared" si="68"/>
        <v>24.657142857142858</v>
      </c>
      <c r="BR11" s="5">
        <f t="shared" si="69"/>
        <v>6.6400000000000006</v>
      </c>
      <c r="BS11" s="5">
        <f t="shared" si="70"/>
        <v>6.6400000000000006</v>
      </c>
      <c r="BT11" s="6">
        <f t="shared" si="71"/>
        <v>51</v>
      </c>
      <c r="BU11" s="5">
        <f t="shared" si="72"/>
        <v>1.7728852838933953</v>
      </c>
      <c r="BV11" s="5">
        <f t="shared" si="73"/>
        <v>0.79953650057937431</v>
      </c>
      <c r="BW11" s="21">
        <f t="shared" si="74"/>
        <v>0.45098039215686275</v>
      </c>
      <c r="BX11" s="5">
        <f t="shared" si="75"/>
        <v>3.4</v>
      </c>
      <c r="BY11" s="5">
        <f t="shared" si="76"/>
        <v>1.5333333333333334</v>
      </c>
      <c r="BZ11" s="21">
        <f t="shared" si="77"/>
        <v>0.29411764705882354</v>
      </c>
      <c r="CA11" s="348">
        <f t="shared" si="78"/>
        <v>14</v>
      </c>
      <c r="CB11" s="348">
        <f t="shared" si="79"/>
        <v>1</v>
      </c>
      <c r="CC11" s="348">
        <f t="shared" si="80"/>
        <v>0</v>
      </c>
      <c r="CD11" s="21">
        <f t="shared" si="81"/>
        <v>6.9524913093858637E-2</v>
      </c>
      <c r="CE11" s="6">
        <f t="shared" si="82"/>
        <v>13.1</v>
      </c>
      <c r="CF11" s="5">
        <f t="shared" si="83"/>
        <v>0.45538818076477405</v>
      </c>
      <c r="CG11" s="181">
        <f t="shared" si="84"/>
        <v>191</v>
      </c>
      <c r="CH11" s="5">
        <f t="shared" si="85"/>
        <v>6.6396292004634994</v>
      </c>
      <c r="CI11" s="6">
        <f t="shared" si="86"/>
        <v>134</v>
      </c>
      <c r="CJ11" s="5">
        <f t="shared" si="87"/>
        <v>4.6581691772885288</v>
      </c>
      <c r="CK11" s="21">
        <f t="shared" si="88"/>
        <v>0.70157068062827221</v>
      </c>
      <c r="CL11" s="6">
        <f t="shared" si="89"/>
        <v>133.06</v>
      </c>
      <c r="CM11" s="5">
        <f t="shared" si="90"/>
        <v>4.6254924681344152</v>
      </c>
      <c r="CN11" s="6">
        <f t="shared" si="91"/>
        <v>138.06</v>
      </c>
      <c r="CO11" s="5">
        <f t="shared" si="92"/>
        <v>4.7993047508690614</v>
      </c>
      <c r="CP11" s="5">
        <f t="shared" si="93"/>
        <v>61.877172653534188</v>
      </c>
      <c r="CQ11" s="5">
        <f t="shared" si="94"/>
        <v>49.675550405561992</v>
      </c>
      <c r="CR11" s="6">
        <f t="shared" si="95"/>
        <v>171</v>
      </c>
      <c r="CS11" s="5">
        <f t="shared" si="96"/>
        <v>5.9443800695249136</v>
      </c>
      <c r="CT11" s="6">
        <f t="shared" si="97"/>
        <v>324</v>
      </c>
      <c r="CU11" s="5">
        <f t="shared" si="98"/>
        <v>11.263035921205098</v>
      </c>
      <c r="CV11" s="6">
        <f t="shared" si="99"/>
        <v>133</v>
      </c>
      <c r="CW11" s="5">
        <f t="shared" si="100"/>
        <v>4.623406720741599</v>
      </c>
      <c r="CX11" s="6">
        <f t="shared" si="101"/>
        <v>240</v>
      </c>
      <c r="CY11" s="5">
        <f t="shared" si="102"/>
        <v>8.3429895712630362</v>
      </c>
      <c r="CZ11" s="5">
        <f t="shared" si="103"/>
        <v>13.1</v>
      </c>
      <c r="DA11" s="5">
        <f t="shared" si="104"/>
        <v>346.2</v>
      </c>
      <c r="DB11" s="5">
        <f t="shared" si="105"/>
        <v>12.034762456546929</v>
      </c>
      <c r="DC11" s="333">
        <f t="shared" si="106"/>
        <v>307.80333333333328</v>
      </c>
      <c r="DD11" s="334">
        <f t="shared" si="107"/>
        <v>10.7</v>
      </c>
      <c r="DE11" s="62">
        <f t="shared" si="108"/>
        <v>7.03</v>
      </c>
      <c r="DF11" s="300" t="s">
        <v>928</v>
      </c>
      <c r="DG11" s="296" t="s">
        <v>13</v>
      </c>
      <c r="DH11" s="296" t="s">
        <v>1051</v>
      </c>
      <c r="DI11" s="296">
        <v>22</v>
      </c>
      <c r="DJ11" s="296" t="s">
        <v>557</v>
      </c>
      <c r="DK11" s="296" t="s">
        <v>546</v>
      </c>
      <c r="DL11" s="296" t="s">
        <v>652</v>
      </c>
      <c r="DM11" s="296" t="s">
        <v>1052</v>
      </c>
      <c r="DN11" s="296" t="s">
        <v>965</v>
      </c>
      <c r="DO11" s="297">
        <v>47848</v>
      </c>
      <c r="DP11" s="296">
        <v>2589</v>
      </c>
      <c r="DQ11" s="296" t="s">
        <v>1053</v>
      </c>
      <c r="DR11" s="296">
        <v>2</v>
      </c>
      <c r="DS11" s="296">
        <v>15</v>
      </c>
      <c r="DT11" s="296">
        <v>9</v>
      </c>
      <c r="DU11" s="296">
        <v>22</v>
      </c>
      <c r="DV11" s="296">
        <v>13.1</v>
      </c>
      <c r="DW11" s="296" t="s">
        <v>1054</v>
      </c>
      <c r="DX11" s="296" t="s">
        <v>955</v>
      </c>
      <c r="DY11" s="296">
        <v>15</v>
      </c>
      <c r="DZ11" s="296">
        <v>33</v>
      </c>
      <c r="EA11" s="296">
        <v>1419</v>
      </c>
      <c r="EB11" s="296">
        <v>1236</v>
      </c>
      <c r="EC11" s="296">
        <v>60</v>
      </c>
      <c r="ED11" s="296">
        <v>111</v>
      </c>
      <c r="EE11" s="296">
        <v>42</v>
      </c>
      <c r="EF11" s="296">
        <v>51</v>
      </c>
      <c r="EG11" s="296">
        <v>23</v>
      </c>
      <c r="EH11" s="296">
        <v>208</v>
      </c>
      <c r="EI11" s="296">
        <v>56</v>
      </c>
      <c r="EJ11" s="296">
        <v>38</v>
      </c>
      <c r="EK11" s="296">
        <v>9</v>
      </c>
      <c r="EL11" s="296">
        <v>38</v>
      </c>
      <c r="EM11" s="296">
        <v>9</v>
      </c>
      <c r="EN11" s="296">
        <v>1</v>
      </c>
      <c r="EO11" s="296">
        <v>0.5</v>
      </c>
      <c r="EP11" s="296">
        <v>1</v>
      </c>
      <c r="EQ11" s="296">
        <v>0</v>
      </c>
      <c r="ER11" s="296">
        <v>0</v>
      </c>
      <c r="ES11" s="296">
        <v>10.7</v>
      </c>
      <c r="ET11" s="296" t="s">
        <v>1055</v>
      </c>
      <c r="EU11" s="301">
        <v>7.03</v>
      </c>
    </row>
    <row r="12" spans="1:151" ht="24.95" customHeight="1" x14ac:dyDescent="0.25"/>
    <row r="13" spans="1:151" ht="24.95" customHeight="1" x14ac:dyDescent="0.25"/>
    <row r="14" spans="1:151" ht="24.95" customHeight="1" x14ac:dyDescent="0.25"/>
    <row r="15" spans="1:151" ht="24.95" customHeight="1" x14ac:dyDescent="0.25"/>
    <row r="16" spans="1:15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EU871">
    <sortState ref="B2:EU871">
      <sortCondition ref="B1:B871"/>
    </sortState>
  </autoFilter>
  <phoneticPr fontId="53" type="noConversion"/>
  <conditionalFormatting sqref="H2:H11">
    <cfRule type="colorScale" priority="82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P1:BP1048576">
    <cfRule type="iconSet" priority="359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434">
      <colorScale>
        <cfvo type="min"/>
        <cfvo type="max"/>
        <color rgb="FFFCFCFF"/>
        <color rgb="FFF8696B"/>
      </colorScale>
    </cfRule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:CE1048576">
    <cfRule type="colorScale" priority="481">
      <colorScale>
        <cfvo type="min"/>
        <cfvo type="max"/>
        <color rgb="FFFFEF9C"/>
        <color rgb="FF63BE7B"/>
      </colorScale>
    </cfRule>
    <cfRule type="colorScale" priority="7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30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2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1:BQ104857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58">
      <iconSet iconSet="3Arrows" reverse="1">
        <cfvo type="percent" val="0"/>
        <cfvo type="percent" val="33"/>
        <cfvo type="percent" val="67"/>
      </iconSet>
    </cfRule>
  </conditionalFormatting>
  <conditionalFormatting sqref="AZ1:BA1048576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2:CO1048576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2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BA1048576">
    <cfRule type="colorScale" priority="819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956">
      <colorScale>
        <cfvo type="min"/>
        <cfvo type="max"/>
        <color rgb="FFFFEF9C"/>
        <color rgb="FF63BE7B"/>
      </colorScale>
    </cfRule>
  </conditionalFormatting>
  <conditionalFormatting sqref="CP2:CP1048576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"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2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048576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4" priority="208" operator="containsText" text="Sem Data Final">
      <formula>NOT(ISERROR(SEARCH("Sem Data Final",G1)))</formula>
    </cfRule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048576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 CL2:CL1048576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2:CM1048576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iconSet" priority="302">
      <iconSet iconSet="4Arrows">
        <cfvo type="percent" val="0"/>
        <cfvo type="percent" val="25"/>
        <cfvo type="percent" val="50"/>
        <cfvo type="percent" val="75"/>
      </iconSet>
    </cfRule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30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30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3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29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V1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{A8559071-2C01-44D9-8EAE-178E70C948D7}</x14:id>
        </ext>
      </extLst>
    </cfRule>
    <cfRule type="colorScale" priority="33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{3B9912E0-EBAC-4EFF-A597-E0617888639F}</x14:id>
        </ext>
      </extLst>
    </cfRule>
    <cfRule type="colorScale" priority="33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{6E4B09BB-34F0-4CE5-B5A0-A172D6E53BBD}</x14:id>
        </ext>
      </extLst>
    </cfRule>
    <cfRule type="colorScale" priority="33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{1D2A42BB-2BB3-4629-A922-97A4C8DFC0E2}</x14:id>
        </ext>
      </extLst>
    </cfRule>
    <cfRule type="colorScale" priority="34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R1:AR1048576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{398FC3BC-5496-48CE-9ECD-55E6BB111478}</x14:id>
        </ext>
      </extLst>
    </cfRule>
    <cfRule type="colorScale" priority="34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7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4">
      <colorScale>
        <cfvo type="num" val="-1.0000000000000001E-5"/>
        <cfvo type="num" val="0"/>
        <cfvo type="max"/>
        <color rgb="FFF8696B"/>
        <color theme="8" tint="0.79998168889431442"/>
        <color rgb="FF00B0F0"/>
      </colorScale>
    </cfRule>
  </conditionalFormatting>
  <conditionalFormatting sqref="BQ1:BQ1048576">
    <cfRule type="colorScale" priority="627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2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AZ1048576">
    <cfRule type="colorScale" priority="307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2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:I104857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:CR1048576">
    <cfRule type="iconSet" priority="2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2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2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6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4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49">
      <colorScale>
        <cfvo type="min"/>
        <cfvo type="max"/>
        <color rgb="FFFCFCFF"/>
        <color rgb="FFF8696B"/>
      </colorScale>
    </cfRule>
  </conditionalFormatting>
  <conditionalFormatting sqref="CY1:CY1048576">
    <cfRule type="iconSet" priority="24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47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231">
      <iconSet iconSet="3ArrowsGray">
        <cfvo type="percent" val="0"/>
        <cfvo type="percent" val="33"/>
        <cfvo type="percent" val="67"/>
      </iconSet>
    </cfRule>
    <cfRule type="colorScale" priority="234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iconSet" priority="230">
      <iconSet iconSet="3ArrowsGray" reverse="1">
        <cfvo type="percent" val="0"/>
        <cfvo type="percent" val="33"/>
        <cfvo type="percent" val="67"/>
      </iconSet>
    </cfRule>
    <cfRule type="colorScale" priority="233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U1:U1048576">
    <cfRule type="iconSet" priority="229">
      <iconSet iconSet="3ArrowsGray">
        <cfvo type="percent" val="0"/>
        <cfvo type="percent" val="33"/>
        <cfvo type="percent" val="67"/>
      </iconSet>
    </cfRule>
    <cfRule type="colorScale" priority="23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DA1:DA1048576">
    <cfRule type="iconSet" priority="22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8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DB1:DB1048576">
    <cfRule type="colorScale" priority="225">
      <colorScale>
        <cfvo type="min"/>
        <cfvo type="percentile" val="50"/>
        <cfvo type="max"/>
        <color rgb="FFF8696B"/>
        <color theme="8" tint="0.39997558519241921"/>
        <color rgb="FF00B0F0"/>
      </colorScale>
    </cfRule>
    <cfRule type="iconSet" priority="22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09">
      <colorScale>
        <cfvo type="min"/>
        <cfvo type="max"/>
        <color rgb="FFFFEF9C"/>
        <color rgb="FF63BE7B"/>
      </colorScale>
    </cfRule>
  </conditionalFormatting>
  <conditionalFormatting sqref="J1:J1048576">
    <cfRule type="containsText" dxfId="3" priority="207" operator="containsText" text="Desconhecido">
      <formula>NOT(ISERROR(SEARCH("Desconhecido",J1)))</formula>
    </cfRule>
  </conditionalFormatting>
  <conditionalFormatting sqref="DE1:DE1048576">
    <cfRule type="iconSet" priority="79">
      <iconSet iconSet="3Arrows">
        <cfvo type="percent" val="0"/>
        <cfvo type="num" val="6.7"/>
        <cfvo type="num" val="7"/>
      </iconSet>
    </cfRule>
    <cfRule type="colorScale" priority="205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CZ1:CZ1048576">
    <cfRule type="iconSet" priority="202">
      <iconSet iconSet="3ArrowsGray" reverse="1">
        <cfvo type="percent" val="0"/>
        <cfvo type="percent" val="33"/>
        <cfvo type="percent" val="67"/>
      </iconSet>
    </cfRule>
    <cfRule type="colorScale" priority="203">
      <colorScale>
        <cfvo type="min"/>
        <cfvo type="max"/>
        <color rgb="FFFCFCFF"/>
        <color rgb="FFF8696B"/>
      </colorScale>
    </cfRule>
  </conditionalFormatting>
  <conditionalFormatting sqref="AE1:AE1048576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181">
      <iconSet iconSet="3Arrows">
        <cfvo type="percent" val="0"/>
        <cfvo type="percent" val="33"/>
        <cfvo type="percent" val="67"/>
      </iconSet>
    </cfRule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180">
      <iconSet iconSet="3Arrows">
        <cfvo type="percent" val="0"/>
        <cfvo type="percent" val="33"/>
        <cfvo type="percent" val="67"/>
      </iconSet>
    </cfRule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iconSet" priority="179">
      <iconSet iconSet="3Arrows">
        <cfvo type="percent" val="0"/>
        <cfvo type="percent" val="33"/>
        <cfvo type="percent" val="67"/>
      </iconSet>
    </cfRule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183">
      <iconSet iconSet="3Arrow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iconSet" priority="182">
      <iconSet iconSet="3Arrows">
        <cfvo type="percent" val="0"/>
        <cfvo type="percent" val="33"/>
        <cfvo type="percent" val="67"/>
      </iconSet>
    </cfRule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59">
      <iconSet iconSet="3ArrowsGray" reverse="1">
        <cfvo type="percent" val="0"/>
        <cfvo type="percent" val="33"/>
        <cfvo type="percent" val="67"/>
      </iconSet>
    </cfRule>
    <cfRule type="colorScale" priority="160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7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117">
      <iconSet iconSet="3Arrows" reverse="1">
        <cfvo type="percent" val="0"/>
        <cfvo type="percent" val="33"/>
        <cfvo type="percent" val="67"/>
      </iconSet>
    </cfRule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iconSet" priority="116">
      <iconSet iconSet="3Arrows" reverse="1">
        <cfvo type="percent" val="0"/>
        <cfvo type="percent" val="33"/>
        <cfvo type="percent" val="67"/>
      </iconSet>
    </cfRule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:BZ1048576">
    <cfRule type="iconSet" priority="1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110">
      <colorScale>
        <cfvo type="min"/>
        <cfvo type="max"/>
        <color rgb="FFFCFCFF"/>
        <color rgb="FFF8696B"/>
      </colorScale>
    </cfRule>
  </conditionalFormatting>
  <conditionalFormatting sqref="BS1:BS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num" val="-1.0000000000000001E-5"/>
        <cfvo type="num" val="0"/>
        <cfvo type="max"/>
        <color rgb="FFF8696B"/>
        <color theme="4" tint="0.79998168889431442"/>
        <color rgb="FF00B0F0"/>
      </colorScale>
    </cfRule>
  </conditionalFormatting>
  <conditionalFormatting sqref="BL1:BL1048576">
    <cfRule type="iconSet" priority="9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colorScale" priority="91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O1:BO104857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{C86BE21A-C584-4370-89B1-6A1535BCF06A}</x14:id>
        </ext>
      </extLst>
    </cfRule>
    <cfRule type="colorScale" priority="8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H1:CH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G1:CG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I1:CI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J1:CJ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K1:CK10485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dataBar" priority="47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{1493CFCD-0790-4FD3-A8E5-9E185B3F373F}</x14:id>
        </ext>
      </extLst>
    </cfRule>
    <cfRule type="colorScale" priority="49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X1:AX1048576">
    <cfRule type="dataBar" priority="4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{E6B6B866-5D6E-4392-B419-E248552EB235}</x14:id>
        </ext>
      </extLst>
    </cfRule>
    <cfRule type="colorScale" priority="48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F1:CF104857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{500CE4EC-1C96-47A0-A55A-A81E4C4898D6}</x14:id>
        </ext>
      </extLst>
    </cfRule>
  </conditionalFormatting>
  <conditionalFormatting sqref="DD1:DD1048576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{F63AD596-DA73-4BB7-B99F-9AA81CECC6A1}</x14:id>
        </ext>
      </extLst>
    </cfRule>
  </conditionalFormatting>
  <conditionalFormatting sqref="AP1:AP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{71062AEF-5024-4FC4-B4A7-62CBE8B5C620}</x14:id>
        </ext>
      </extLst>
    </cfRule>
    <cfRule type="colorScale" priority="32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Q1:AQ1048576">
    <cfRule type="colorScale" priority="29">
      <colorScale>
        <cfvo type="min"/>
        <cfvo type="percentile" val="50"/>
        <cfvo type="max"/>
        <color rgb="FFF8696B"/>
        <color rgb="FFDDEBF7"/>
        <color rgb="FF00B0F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{53F1178E-73AF-4844-8A71-137EF38EE87E}</x14:id>
        </ext>
      </extLst>
    </cfRule>
  </conditionalFormatting>
  <conditionalFormatting sqref="X1:X1048576">
    <cfRule type="dataBar" priority="28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{616CDD5A-108D-4DA4-B0D0-2E8B1EAD6A25}</x14:id>
        </ext>
      </extLst>
    </cfRule>
  </conditionalFormatting>
  <conditionalFormatting sqref="AB1:AB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{B074AD81-C359-4C55-A88E-0F8727A25403}</x14:id>
        </ext>
      </extLst>
    </cfRule>
  </conditionalFormatting>
  <conditionalFormatting sqref="AC1:AC104857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{27F63595-0215-4BD8-A0DE-C219D91963C3}</x14:id>
        </ext>
      </extLst>
    </cfRule>
  </conditionalFormatting>
  <conditionalFormatting sqref="AD1:AD1048576">
    <cfRule type="dataBar" priority="25">
      <dataBar>
        <cfvo type="min"/>
        <cfvo type="max"/>
        <color rgb="FF9E0000"/>
      </dataBar>
      <extLst>
        <ext xmlns:x14="http://schemas.microsoft.com/office/spreadsheetml/2009/9/main" uri="{B025F937-C7B1-47D3-B67F-A62EFF666E3E}">
          <x14:id>{291E76D7-B0DD-4149-B428-ED4838A99F09}</x14:id>
        </ext>
      </extLst>
    </cfRule>
  </conditionalFormatting>
  <conditionalFormatting sqref="AA1:AA1048576">
    <cfRule type="dataBar" priority="2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{71C64141-8B4B-4B90-9526-9B8A9F88AA13}</x14:id>
        </ext>
      </extLst>
    </cfRule>
  </conditionalFormatting>
  <conditionalFormatting sqref="F1:F1048576">
    <cfRule type="colorScale" priority="22">
      <colorScale>
        <cfvo type="min"/>
        <cfvo type="max"/>
        <color rgb="FFFFEF9C"/>
        <color rgb="FF63BE7B"/>
      </colorScale>
    </cfRule>
  </conditionalFormatting>
  <conditionalFormatting sqref="V1:V1048576">
    <cfRule type="dataBar" priority="2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{59DB5919-548F-4D20-AE1A-A695D3603D38}</x14:id>
        </ext>
      </extLst>
    </cfRule>
  </conditionalFormatting>
  <conditionalFormatting sqref="Z1:Z1048576">
    <cfRule type="dataBar" priority="1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{9EDDC49C-E254-42AD-A792-0966907C20D3}</x14:id>
        </ext>
      </extLst>
    </cfRule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:W1048576">
    <cfRule type="dataBar" priority="1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{08793D9A-8218-429A-AC74-97F285D6F012}</x14:id>
        </ext>
      </extLst>
    </cfRule>
  </conditionalFormatting>
  <conditionalFormatting sqref="Y1:Y1048576">
    <cfRule type="dataBar" priority="1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{DA1AADAF-1ED1-4FC2-849B-BD83A048A890}</x14:id>
        </ext>
      </extLst>
    </cfRule>
  </conditionalFormatting>
  <conditionalFormatting sqref="AN1:AN1048576">
    <cfRule type="dataBar" priority="1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{83B4B4EE-05C9-4ACE-82BF-DDDB51D78264}</x14:id>
        </ext>
      </extLst>
    </cfRule>
  </conditionalFormatting>
  <conditionalFormatting sqref="AO1:AO1048576">
    <cfRule type="dataBar" priority="1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{E884251E-F0BF-43DE-9246-DAD033DBCC0A}</x14:id>
        </ext>
      </extLst>
    </cfRule>
  </conditionalFormatting>
  <conditionalFormatting sqref="CD1:CD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dataBar" priority="3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{929970D7-4CA4-408D-9F72-991773F48890}</x14:id>
        </ext>
      </extLst>
    </cfRule>
  </conditionalFormatting>
  <conditionalFormatting sqref="CB1:CB1048576">
    <cfRule type="dataBar" priority="2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{F96BA66A-7716-45FA-AC7A-218AA15AFB63}</x14:id>
        </ext>
      </extLst>
    </cfRule>
  </conditionalFormatting>
  <conditionalFormatting sqref="CC1:CC1048576">
    <cfRule type="dataBar" priority="1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{F171C1FE-C031-4961-8008-89926F589704}</x14:id>
        </ext>
      </extLst>
    </cfRule>
  </conditionalFormatting>
  <conditionalFormatting sqref="CE2:CE11">
    <cfRule type="colorScale" priority="2444020">
      <colorScale>
        <cfvo type="min"/>
        <cfvo type="max"/>
        <color rgb="FFFFEF9C"/>
        <color rgb="FF63BE7B"/>
      </colorScale>
    </cfRule>
  </conditionalFormatting>
  <conditionalFormatting sqref="G2:G11">
    <cfRule type="colorScale" priority="244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1">
    <cfRule type="colorScale" priority="2444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2:CM11">
    <cfRule type="colorScale" priority="2444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4440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44025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444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{F365465D-6539-4357-B48D-9E53260D4998}</x14:id>
        </ext>
      </extLst>
    </cfRule>
    <cfRule type="colorScale" priority="24440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4440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559071-2C01-44D9-8EAE-178E70C94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B9912E0-EBAC-4EFF-A597-E0617888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6E4B09BB-34F0-4CE5-B5A0-A172D6E53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1D2A42BB-2BB3-4629-A922-97A4C8DFC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398FC3BC-5496-48CE-9ECD-55E6BB111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C86BE21A-C584-4370-89B1-6A1535BCF0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1493CFCD-0790-4FD3-A8E5-9E185B3F37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E6B6B866-5D6E-4392-B419-E248552EB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500CE4EC-1C96-47A0-A55A-A81E4C4898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DC1:DC1048576</xm:sqref>
        </x14:conditionalFormatting>
        <x14:conditionalFormatting xmlns:xm="http://schemas.microsoft.com/office/excel/2006/main">
          <x14:cfRule type="dataBar" id="{F63AD596-DA73-4BB7-B99F-9AA81CECC6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DD1:DD1048576</xm:sqref>
        </x14:conditionalFormatting>
        <x14:conditionalFormatting xmlns:xm="http://schemas.microsoft.com/office/excel/2006/main">
          <x14:cfRule type="dataBar" id="{71062AEF-5024-4FC4-B4A7-62CBE8B5C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53F1178E-73AF-4844-8A71-137EF38EE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AQ1:AQ1048576</xm:sqref>
        </x14:conditionalFormatting>
        <x14:conditionalFormatting xmlns:xm="http://schemas.microsoft.com/office/excel/2006/main">
          <x14:cfRule type="dataBar" id="{616CDD5A-108D-4DA4-B0D0-2E8B1EAD6A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074AD81-C359-4C55-A88E-0F8727A254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7F63595-0215-4BD8-A0DE-C219D91963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291E76D7-B0DD-4149-B428-ED4838A99F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71C64141-8B4B-4B90-9526-9B8A9F88AA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59DB5919-548F-4D20-AE1A-A695D3603D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EDDC49C-E254-42AD-A792-0966907C20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08793D9A-8218-429A-AC74-97F285D6F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DA1AADAF-1ED1-4FC2-849B-BD83A048A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83B4B4EE-05C9-4ACE-82BF-DDDB51D782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AN1:AN1048576</xm:sqref>
        </x14:conditionalFormatting>
        <x14:conditionalFormatting xmlns:xm="http://schemas.microsoft.com/office/excel/2006/main">
          <x14:cfRule type="dataBar" id="{E884251E-F0BF-43DE-9246-DAD033DBC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929970D7-4CA4-408D-9F72-991773F48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F96BA66A-7716-45FA-AC7A-218AA15AFB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CB1:CB1048576</xm:sqref>
        </x14:conditionalFormatting>
        <x14:conditionalFormatting xmlns:xm="http://schemas.microsoft.com/office/excel/2006/main">
          <x14:cfRule type="dataBar" id="{F171C1FE-C031-4961-8008-89926F589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F365465D-6539-4357-B48D-9E53260D49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>
    <tabColor rgb="FFFF9393"/>
  </sheetPr>
  <dimension ref="A1:G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17.7109375" customWidth="1"/>
    <col min="5" max="5" width="23.5703125" bestFit="1" customWidth="1"/>
    <col min="6" max="6" width="16.28515625" customWidth="1"/>
    <col min="7" max="7" width="18.28515625" customWidth="1"/>
    <col min="8" max="8" width="15.7109375" style="13" customWidth="1"/>
    <col min="9" max="9" width="19.85546875" style="13" customWidth="1"/>
    <col min="10" max="10" width="22.140625" style="190" customWidth="1"/>
    <col min="11" max="11" width="11.140625" customWidth="1"/>
    <col min="12" max="17" width="18.7109375" customWidth="1"/>
    <col min="18" max="23" width="18.7109375" style="13" customWidth="1"/>
    <col min="24" max="28" width="18.7109375" customWidth="1"/>
    <col min="29" max="29" width="18.7109375" style="13" customWidth="1"/>
    <col min="30" max="36" width="18.7109375" customWidth="1"/>
    <col min="37" max="44" width="18.7109375" style="13" customWidth="1"/>
    <col min="45" max="45" width="18.7109375" style="353" customWidth="1"/>
    <col min="46" max="46" width="18.7109375" style="13" customWidth="1"/>
    <col min="47" max="47" width="18.7109375" style="353" customWidth="1"/>
    <col min="48" max="49" width="20.5703125" style="13" customWidth="1"/>
    <col min="50" max="54" width="18.7109375" style="13" customWidth="1"/>
    <col min="55" max="72" width="18.7109375" customWidth="1"/>
    <col min="73" max="73" width="18.7109375" style="13" customWidth="1"/>
    <col min="74" max="83" width="18.7109375" customWidth="1"/>
    <col min="84" max="93" width="18.7109375" style="13" customWidth="1"/>
    <col min="94" max="140" width="18.7109375" customWidth="1"/>
    <col min="141" max="141" width="8.7109375" customWidth="1"/>
    <col min="142" max="147" width="11.7109375" customWidth="1"/>
    <col min="148" max="148" width="11.7109375" style="1" customWidth="1"/>
    <col min="149" max="149" width="11.7109375" style="152" customWidth="1"/>
    <col min="150" max="150" width="11.7109375" customWidth="1"/>
    <col min="151" max="151" width="11.7109375" style="1" customWidth="1"/>
    <col min="152" max="152" width="11.7109375" style="152" customWidth="1"/>
    <col min="153" max="190" width="11.7109375" style="1" customWidth="1"/>
    <col min="196" max="196" width="10.42578125" bestFit="1" customWidth="1"/>
  </cols>
  <sheetData>
    <row r="1" spans="1:190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88</v>
      </c>
      <c r="H1" s="4" t="s">
        <v>1</v>
      </c>
      <c r="I1" s="85" t="s">
        <v>3</v>
      </c>
      <c r="J1" s="4" t="s">
        <v>2</v>
      </c>
      <c r="K1" s="4" t="s">
        <v>231</v>
      </c>
      <c r="L1" s="30" t="s">
        <v>121</v>
      </c>
      <c r="M1" s="30" t="s">
        <v>420</v>
      </c>
      <c r="N1" s="30" t="s">
        <v>421</v>
      </c>
      <c r="O1" s="30" t="s">
        <v>424</v>
      </c>
      <c r="P1" s="30" t="s">
        <v>123</v>
      </c>
      <c r="Q1" s="30" t="s">
        <v>118</v>
      </c>
      <c r="R1" s="31" t="s">
        <v>55</v>
      </c>
      <c r="S1" s="31" t="s">
        <v>127</v>
      </c>
      <c r="T1" s="31" t="s">
        <v>128</v>
      </c>
      <c r="U1" s="98" t="s">
        <v>38</v>
      </c>
      <c r="V1" s="98" t="s">
        <v>417</v>
      </c>
      <c r="W1" s="98" t="s">
        <v>416</v>
      </c>
      <c r="X1" s="224" t="s">
        <v>22</v>
      </c>
      <c r="Y1" s="224" t="s">
        <v>24</v>
      </c>
      <c r="Z1" s="224" t="s">
        <v>66</v>
      </c>
      <c r="AA1" s="224" t="s">
        <v>983</v>
      </c>
      <c r="AB1" s="224" t="s">
        <v>318</v>
      </c>
      <c r="AC1" s="224" t="s">
        <v>242</v>
      </c>
      <c r="AD1" s="224" t="s">
        <v>570</v>
      </c>
      <c r="AE1" s="218" t="s">
        <v>124</v>
      </c>
      <c r="AF1" s="218" t="s">
        <v>125</v>
      </c>
      <c r="AG1" s="218" t="s">
        <v>126</v>
      </c>
      <c r="AH1" s="218" t="s">
        <v>316</v>
      </c>
      <c r="AI1" s="218" t="s">
        <v>317</v>
      </c>
      <c r="AJ1" s="218" t="s">
        <v>591</v>
      </c>
      <c r="AK1" s="219" t="s">
        <v>571</v>
      </c>
      <c r="AL1" s="142" t="s">
        <v>439</v>
      </c>
      <c r="AM1" s="142" t="s">
        <v>440</v>
      </c>
      <c r="AN1" s="142" t="s">
        <v>318</v>
      </c>
      <c r="AO1" s="142" t="s">
        <v>437</v>
      </c>
      <c r="AP1" s="142" t="s">
        <v>438</v>
      </c>
      <c r="AQ1" s="142" t="s">
        <v>319</v>
      </c>
      <c r="AR1" s="104" t="s">
        <v>823</v>
      </c>
      <c r="AS1" s="352" t="s">
        <v>826</v>
      </c>
      <c r="AT1" s="104" t="s">
        <v>817</v>
      </c>
      <c r="AU1" s="352" t="s">
        <v>827</v>
      </c>
      <c r="AV1" s="104" t="s">
        <v>824</v>
      </c>
      <c r="AW1" s="104" t="s">
        <v>818</v>
      </c>
      <c r="AX1" s="104" t="s">
        <v>241</v>
      </c>
      <c r="AY1" s="104" t="s">
        <v>238</v>
      </c>
      <c r="AZ1" s="105" t="s">
        <v>239</v>
      </c>
      <c r="BA1" s="104" t="s">
        <v>320</v>
      </c>
      <c r="BB1" s="104" t="s">
        <v>240</v>
      </c>
      <c r="BC1" s="73" t="s">
        <v>56</v>
      </c>
      <c r="BD1" s="73" t="s">
        <v>57</v>
      </c>
      <c r="BE1" s="73" t="s">
        <v>159</v>
      </c>
      <c r="BF1" s="73" t="s">
        <v>149</v>
      </c>
      <c r="BG1" s="73" t="s">
        <v>58</v>
      </c>
      <c r="BH1" s="87" t="s">
        <v>60</v>
      </c>
      <c r="BI1" s="87" t="s">
        <v>59</v>
      </c>
      <c r="BJ1" s="375" t="s">
        <v>924</v>
      </c>
      <c r="BK1" s="375" t="s">
        <v>925</v>
      </c>
      <c r="BL1" s="41" t="s">
        <v>426</v>
      </c>
      <c r="BM1" s="41" t="s">
        <v>330</v>
      </c>
      <c r="BN1" s="41" t="s">
        <v>329</v>
      </c>
      <c r="BO1" s="41" t="s">
        <v>436</v>
      </c>
      <c r="BP1" s="16" t="s">
        <v>435</v>
      </c>
      <c r="BQ1" s="40" t="s">
        <v>61</v>
      </c>
      <c r="BR1" s="40" t="s">
        <v>86</v>
      </c>
      <c r="BS1" s="40" t="s">
        <v>217</v>
      </c>
      <c r="BT1" s="174" t="s">
        <v>399</v>
      </c>
      <c r="BU1" s="46" t="s">
        <v>471</v>
      </c>
      <c r="BV1" s="33" t="s">
        <v>116</v>
      </c>
      <c r="BW1" s="33" t="s">
        <v>354</v>
      </c>
      <c r="BX1" s="33" t="s">
        <v>355</v>
      </c>
      <c r="BY1" s="33" t="s">
        <v>115</v>
      </c>
      <c r="BZ1" s="4" t="s">
        <v>371</v>
      </c>
      <c r="CA1" s="4" t="s">
        <v>389</v>
      </c>
      <c r="CB1" s="281" t="s">
        <v>484</v>
      </c>
      <c r="CC1" s="281" t="s">
        <v>483</v>
      </c>
      <c r="CD1" s="153" t="s">
        <v>62</v>
      </c>
      <c r="CE1" s="153" t="s">
        <v>477</v>
      </c>
      <c r="CF1" s="46" t="s">
        <v>332</v>
      </c>
      <c r="CG1" s="46" t="s">
        <v>333</v>
      </c>
      <c r="CH1" s="46" t="s">
        <v>334</v>
      </c>
      <c r="CI1" s="46" t="s">
        <v>335</v>
      </c>
      <c r="CJ1" s="46" t="s">
        <v>336</v>
      </c>
      <c r="CK1" s="46" t="s">
        <v>337</v>
      </c>
      <c r="CL1" s="46" t="s">
        <v>357</v>
      </c>
      <c r="CM1" s="46" t="s">
        <v>327</v>
      </c>
      <c r="CN1" s="46" t="s">
        <v>541</v>
      </c>
      <c r="CO1" s="32" t="s">
        <v>433</v>
      </c>
      <c r="CP1" s="32" t="s">
        <v>107</v>
      </c>
      <c r="CQ1" s="32" t="s">
        <v>326</v>
      </c>
      <c r="CR1" s="32" t="s">
        <v>109</v>
      </c>
      <c r="CS1" s="4" t="s">
        <v>390</v>
      </c>
      <c r="CT1" s="4" t="s">
        <v>485</v>
      </c>
      <c r="CU1" s="4" t="s">
        <v>140</v>
      </c>
      <c r="CV1" s="4" t="s">
        <v>486</v>
      </c>
      <c r="CW1" s="4" t="s">
        <v>47</v>
      </c>
      <c r="CX1" s="364" t="s">
        <v>92</v>
      </c>
      <c r="CY1" s="364" t="s">
        <v>171</v>
      </c>
      <c r="CZ1" s="341" t="s">
        <v>430</v>
      </c>
      <c r="DA1" s="4" t="s">
        <v>374</v>
      </c>
      <c r="DB1" s="4" t="s">
        <v>376</v>
      </c>
      <c r="DC1" s="4" t="s">
        <v>375</v>
      </c>
      <c r="DD1" s="4" t="s">
        <v>378</v>
      </c>
      <c r="DE1" s="4" t="s">
        <v>377</v>
      </c>
      <c r="DF1" s="94" t="s">
        <v>339</v>
      </c>
      <c r="DG1" s="162" t="s">
        <v>42</v>
      </c>
      <c r="DH1" s="37" t="s">
        <v>323</v>
      </c>
      <c r="DI1" s="37" t="s">
        <v>324</v>
      </c>
      <c r="DJ1" s="40" t="s">
        <v>18</v>
      </c>
      <c r="DK1" s="40" t="s">
        <v>81</v>
      </c>
      <c r="DL1" s="40" t="s">
        <v>431</v>
      </c>
      <c r="DM1" s="40" t="s">
        <v>177</v>
      </c>
      <c r="DN1" s="120" t="s">
        <v>458</v>
      </c>
      <c r="DO1" s="119" t="s">
        <v>496</v>
      </c>
      <c r="DP1" s="119" t="s">
        <v>459</v>
      </c>
      <c r="DQ1" s="119" t="s">
        <v>497</v>
      </c>
      <c r="DR1" s="214" t="s">
        <v>461</v>
      </c>
      <c r="DS1" s="214" t="s">
        <v>460</v>
      </c>
      <c r="DT1" s="48" t="s">
        <v>462</v>
      </c>
      <c r="DU1" s="22" t="s">
        <v>248</v>
      </c>
      <c r="DV1" s="22" t="s">
        <v>249</v>
      </c>
      <c r="DW1" s="46" t="s">
        <v>136</v>
      </c>
      <c r="DX1" s="200" t="s">
        <v>488</v>
      </c>
      <c r="DY1" s="200" t="s">
        <v>489</v>
      </c>
      <c r="DZ1" s="200" t="s">
        <v>487</v>
      </c>
      <c r="EA1" s="200" t="s">
        <v>490</v>
      </c>
      <c r="EB1" s="200" t="s">
        <v>491</v>
      </c>
      <c r="EC1" s="46" t="s">
        <v>495</v>
      </c>
      <c r="ED1" s="46" t="s">
        <v>208</v>
      </c>
      <c r="EE1" s="71" t="s">
        <v>160</v>
      </c>
      <c r="EF1" s="46" t="s">
        <v>373</v>
      </c>
      <c r="EG1" s="43" t="s">
        <v>414</v>
      </c>
      <c r="EH1" s="43" t="s">
        <v>415</v>
      </c>
      <c r="EI1" s="43" t="s">
        <v>180</v>
      </c>
      <c r="EJ1" s="110" t="s">
        <v>25</v>
      </c>
      <c r="EK1" s="293" t="s">
        <v>14</v>
      </c>
      <c r="EL1" s="294" t="s">
        <v>621</v>
      </c>
      <c r="EM1" s="294" t="s">
        <v>20</v>
      </c>
      <c r="EN1" s="294" t="s">
        <v>1</v>
      </c>
      <c r="EO1" s="294" t="s">
        <v>0</v>
      </c>
      <c r="EP1" s="294" t="s">
        <v>29</v>
      </c>
      <c r="EQ1" s="294" t="s">
        <v>40</v>
      </c>
      <c r="ER1" s="294" t="s">
        <v>2</v>
      </c>
      <c r="ES1" s="294" t="s">
        <v>3</v>
      </c>
      <c r="ET1" s="294" t="s">
        <v>89</v>
      </c>
      <c r="EU1" s="294" t="s">
        <v>622</v>
      </c>
      <c r="EV1" s="294" t="s">
        <v>683</v>
      </c>
      <c r="EW1" s="294" t="s">
        <v>30</v>
      </c>
      <c r="EX1" s="294" t="s">
        <v>684</v>
      </c>
      <c r="EY1" s="294" t="s">
        <v>685</v>
      </c>
      <c r="EZ1" s="294" t="s">
        <v>4</v>
      </c>
      <c r="FA1" s="294" t="s">
        <v>6</v>
      </c>
      <c r="FB1" s="294" t="s">
        <v>119</v>
      </c>
      <c r="FC1" s="294" t="s">
        <v>179</v>
      </c>
      <c r="FD1" s="294" t="s">
        <v>7</v>
      </c>
      <c r="FE1" s="294" t="s">
        <v>166</v>
      </c>
      <c r="FF1" s="294" t="s">
        <v>646</v>
      </c>
      <c r="FG1" s="294" t="s">
        <v>647</v>
      </c>
      <c r="FH1" s="294" t="s">
        <v>15</v>
      </c>
      <c r="FI1" s="294" t="s">
        <v>16</v>
      </c>
      <c r="FJ1" s="294" t="s">
        <v>649</v>
      </c>
      <c r="FK1" s="294" t="s">
        <v>648</v>
      </c>
      <c r="FL1" s="294" t="s">
        <v>10</v>
      </c>
      <c r="FM1" s="294" t="s">
        <v>8</v>
      </c>
      <c r="FN1" s="294" t="s">
        <v>9</v>
      </c>
      <c r="FO1" s="294" t="s">
        <v>11</v>
      </c>
      <c r="FP1" s="294" t="s">
        <v>17</v>
      </c>
      <c r="FQ1" s="294" t="s">
        <v>189</v>
      </c>
      <c r="FR1" s="294" t="s">
        <v>190</v>
      </c>
      <c r="FS1" s="294" t="s">
        <v>104</v>
      </c>
      <c r="FT1" s="294" t="s">
        <v>636</v>
      </c>
      <c r="FU1" s="294" t="s">
        <v>41</v>
      </c>
      <c r="FV1" s="294" t="s">
        <v>568</v>
      </c>
      <c r="FW1" s="294" t="s">
        <v>569</v>
      </c>
      <c r="FX1" s="294" t="s">
        <v>93</v>
      </c>
      <c r="FY1" s="294" t="s">
        <v>94</v>
      </c>
      <c r="FZ1" s="294" t="s">
        <v>812</v>
      </c>
      <c r="GA1" s="294" t="s">
        <v>788</v>
      </c>
      <c r="GB1" s="294" t="s">
        <v>686</v>
      </c>
      <c r="GC1" s="294" t="s">
        <v>12</v>
      </c>
      <c r="GD1" s="294" t="s">
        <v>5</v>
      </c>
      <c r="GE1" s="294" t="s">
        <v>103</v>
      </c>
      <c r="GF1" s="294" t="s">
        <v>167</v>
      </c>
      <c r="GG1" s="294" t="s">
        <v>18</v>
      </c>
      <c r="GH1" s="295" t="s">
        <v>643</v>
      </c>
    </row>
    <row r="2" spans="1:190" ht="24.95" customHeight="1" thickBot="1" x14ac:dyDescent="0.3">
      <c r="A2" s="29" t="str">
        <f t="shared" ref="A2:A11" si="0">ROW()-1 &amp; "º"</f>
        <v>1º</v>
      </c>
      <c r="B2" s="69" t="str">
        <f t="shared" ref="B2:B11" si="1">EM2</f>
        <v>André Luís</v>
      </c>
      <c r="C2" s="86" t="str">
        <f t="shared" ref="C2:C11" si="2">EL2</f>
        <v>BRA</v>
      </c>
      <c r="D2" s="99" t="str">
        <f t="shared" ref="D2:D11" si="3">EQ2</f>
        <v>Pé Direito</v>
      </c>
      <c r="E2" s="28" t="str">
        <f t="shared" ref="E2:E11" si="4">EO2</f>
        <v>Mirassol</v>
      </c>
      <c r="F2" s="167">
        <f t="shared" ref="F2:F11" si="5">IFERROR(SUBSTITUTE(EP2," cm","")/100,0)</f>
        <v>1.84</v>
      </c>
      <c r="G2" s="150">
        <f t="shared" ref="G2:G11" si="6">IF(ET2="-", "Sem Data Final", ET2)</f>
        <v>46752</v>
      </c>
      <c r="H2" s="169">
        <f t="shared" ref="H2:H11" si="7">EN2</f>
        <v>31</v>
      </c>
      <c r="I2" s="203" t="str">
        <f t="shared" ref="I2:I11" si="8">ES2</f>
        <v>11,5m € p/m</v>
      </c>
      <c r="J2" s="189" t="str">
        <f t="shared" ref="J2:J11" si="9">ER2</f>
        <v>Não está à venda</v>
      </c>
      <c r="K2" s="96">
        <f t="shared" ref="K2:K11" si="10">IFERROR(AVERAGE(L:L),0)</f>
        <v>23.671111111111109</v>
      </c>
      <c r="L2" s="146">
        <f t="shared" ref="L2:L11" si="11">IFERROR(EU2/90,0)</f>
        <v>23.31111111111111</v>
      </c>
      <c r="M2" s="146">
        <f t="shared" ref="M2:M11" si="12">IFERROR(IF(ISERROR(FIND("(",EV2)), VALUE(EV2), VALUE(LEFT(EV2,FIND("(",EV2)-2)) + VALUE(MID(EV2,FIND("(",EV2)+1,FIND(")",EV2)-FIND("(",EV2)-1))),0)</f>
        <v>39</v>
      </c>
      <c r="N2" s="146">
        <f t="shared" ref="N2:N11" si="13">IFERROR(EU2/M2,0)</f>
        <v>53.794871794871796</v>
      </c>
      <c r="O2" s="187">
        <f t="shared" ref="O2:O11" si="14">IFERROR(IF(ISERROR(FIND("(",EV2)), "100%", TEXT(VALUE(LEFT(EV2,FIND("(",EV2)-2)) / (VALUE(LEFT(EV2,FIND("(",EV2)-2)) + VALUE(MID(EV2,FIND("(",EV2)+1,FIND(")",EV2)-FIND("(",EV2)-1))),"0%")),0)*1</f>
        <v>0.72</v>
      </c>
      <c r="P2" s="2">
        <f t="shared" ref="P2:P11" si="15">FA2</f>
        <v>91</v>
      </c>
      <c r="Q2" s="5">
        <f t="shared" ref="Q2:Q11" si="16">IFERROR(FA2/FB2,0)</f>
        <v>0.37759336099585061</v>
      </c>
      <c r="R2" s="5">
        <f t="shared" ref="R2:R11" si="17">IFERROR(EX2/L2,0)</f>
        <v>0.68636796949475698</v>
      </c>
      <c r="S2" s="5">
        <f t="shared" ref="S2:S11" si="18">IFERROR((X2+Y2)/L2,0)</f>
        <v>0.81506196377502382</v>
      </c>
      <c r="T2" s="5">
        <f t="shared" ref="T2:T11" si="19">IFERROR((Y2)/L2,0)</f>
        <v>0.12869399428026693</v>
      </c>
      <c r="U2" s="6">
        <f t="shared" ref="U2:U11" si="20">EW2</f>
        <v>3</v>
      </c>
      <c r="V2" s="24">
        <f t="shared" ref="V2:V11" si="21">IFERROR(EU2/U2,5000)</f>
        <v>699.33333333333337</v>
      </c>
      <c r="W2" s="21">
        <f t="shared" ref="W2:W11" si="22">IFERROR(U2/L2,0)</f>
        <v>0.12869399428026693</v>
      </c>
      <c r="X2" s="2">
        <f t="shared" ref="X2:X11" si="23">EX2</f>
        <v>16</v>
      </c>
      <c r="Y2" s="2">
        <f t="shared" ref="Y2:Y11" si="24">EY2</f>
        <v>3</v>
      </c>
      <c r="Z2" s="2">
        <f t="shared" ref="Z2:Z11" si="25">IFERROR(X2+Y2,0)</f>
        <v>19</v>
      </c>
      <c r="AA2" s="376">
        <f t="shared" ref="AA2:AA11" si="26">EX2-GD2-FZ2</f>
        <v>11</v>
      </c>
      <c r="AB2" s="376">
        <f t="shared" ref="AB2:AB11" si="27">FZ2</f>
        <v>5</v>
      </c>
      <c r="AC2" s="377">
        <f t="shared" ref="AC2:AC11" si="28">AY2</f>
        <v>0</v>
      </c>
      <c r="AD2" s="6">
        <f t="shared" ref="AD2:AD11" si="29">IFERROR(EX2-GE2,0)</f>
        <v>16</v>
      </c>
      <c r="AE2" s="20">
        <f t="shared" ref="AE2:AE11" si="30">IFERROR((X2-AC2)/X2,0)</f>
        <v>1</v>
      </c>
      <c r="AF2" s="20">
        <f t="shared" ref="AF2:AF11" si="31">IFERROR(Y2/Z2,0)</f>
        <v>0.15789473684210525</v>
      </c>
      <c r="AG2" s="20">
        <f t="shared" ref="AG2:AG11" si="32">IFERROR((AY2*1)/Z2,0)</f>
        <v>0</v>
      </c>
      <c r="AH2" s="5">
        <f t="shared" ref="AH2:AH11" si="33">IFERROR(X2/L2,0)</f>
        <v>0.68636796949475698</v>
      </c>
      <c r="AI2" s="5">
        <f t="shared" ref="AI2:AI11" si="34">IFERROR(Y2/L2,0)</f>
        <v>0.12869399428026693</v>
      </c>
      <c r="AJ2" s="5">
        <f t="shared" ref="AJ2:AJ11" si="35">IFERROR((EX2+EY2)/L2,0)</f>
        <v>0.81506196377502382</v>
      </c>
      <c r="AK2" s="5">
        <f t="shared" ref="AK2:AK11" si="36">IFERROR(AD2/L2,0)</f>
        <v>0.68636796949475698</v>
      </c>
      <c r="AL2" s="6">
        <f t="shared" ref="AL2:AL11" si="37">IFERROR(EX2-FZ2-GD2,0)</f>
        <v>11</v>
      </c>
      <c r="AM2" s="5">
        <f t="shared" ref="AM2:AM11" si="38">IFERROR(AL2/L2,0)</f>
        <v>0.47187797902764539</v>
      </c>
      <c r="AN2" s="6">
        <f t="shared" ref="AN2:AN11" si="39">FZ2</f>
        <v>5</v>
      </c>
      <c r="AO2" s="5">
        <f t="shared" ref="AO2:AO11" si="40">IFERROR(AN2/L2,0)</f>
        <v>0.21448999046711154</v>
      </c>
      <c r="AP2" s="5">
        <f t="shared" ref="AP2:AP11" si="41">GA2</f>
        <v>1.5</v>
      </c>
      <c r="AQ2" s="21">
        <f t="shared" ref="AQ2:AQ11" si="42">IFERROR((AO2*1)/AP2,0)</f>
        <v>0.14299332697807435</v>
      </c>
      <c r="AR2" s="333">
        <f t="shared" ref="AR2:AR11" si="43">FX2-FV2</f>
        <v>0</v>
      </c>
      <c r="AS2" s="334">
        <f t="shared" ref="AS2:AS11" si="44">AR2/L2</f>
        <v>0</v>
      </c>
      <c r="AT2" s="333">
        <f t="shared" ref="AT2:AT11" si="45">FY2-FW2</f>
        <v>0</v>
      </c>
      <c r="AU2" s="334">
        <f t="shared" ref="AU2:AU11" si="46">AT2/L2</f>
        <v>0</v>
      </c>
      <c r="AV2" s="337">
        <f t="shared" ref="AV2:AV11" si="47">IFERROR(AT2/AR2,)</f>
        <v>0</v>
      </c>
      <c r="AW2" s="348">
        <f t="shared" ref="AW2:AW11" si="48">GB2</f>
        <v>0</v>
      </c>
      <c r="AX2" s="333">
        <f t="shared" ref="AX2:AX11" si="49">GD2</f>
        <v>0</v>
      </c>
      <c r="AY2" s="333">
        <f t="shared" ref="AY2:AY11" si="50">GE2</f>
        <v>0</v>
      </c>
      <c r="AZ2" s="351">
        <f t="shared" ref="AZ2:AZ11" si="51">IFERROR(GD2-GE2,0)</f>
        <v>0</v>
      </c>
      <c r="BA2" s="334">
        <f t="shared" ref="BA2:BA11" si="52">IFERROR(AY2/L2,0)</f>
        <v>0</v>
      </c>
      <c r="BB2" s="20">
        <f t="shared" ref="BB2:BB11" si="53">IFERROR((AY2*1)/GD2,0.00001)</f>
        <v>1.0000000000000001E-5</v>
      </c>
      <c r="BC2" s="2">
        <f t="shared" ref="BC2:BC11" si="54">FO2</f>
        <v>193</v>
      </c>
      <c r="BD2" s="2">
        <f t="shared" ref="BD2:BD11" si="55">FP2</f>
        <v>86</v>
      </c>
      <c r="BE2" s="5">
        <f t="shared" ref="BE2:BE11" si="56">IFERROR(BC2/L2,0)</f>
        <v>8.2793136320305063</v>
      </c>
      <c r="BF2" s="5">
        <f t="shared" ref="BF2:BF11" si="57">IFERROR(BD2/L2,0)</f>
        <v>3.6892278360343185</v>
      </c>
      <c r="BG2" s="2">
        <f t="shared" ref="BG2:BG11" si="58">IFERROR(FO2-FP2,0)</f>
        <v>107</v>
      </c>
      <c r="BH2" s="107">
        <f t="shared" ref="BH2:BH11" si="59">IFERROR((BD2*1)/BC2,0)</f>
        <v>0.44559585492227977</v>
      </c>
      <c r="BI2" s="107">
        <f t="shared" ref="BI2:BI11" si="60">IFERROR(100%-BH2,0)</f>
        <v>0.55440414507772018</v>
      </c>
      <c r="BJ2" s="360">
        <f t="shared" ref="BJ2:BJ11" si="61">GC2</f>
        <v>35</v>
      </c>
      <c r="BK2" s="334">
        <f t="shared" ref="BK2:BK11" si="62">IFERROR(GC2/L2,0)</f>
        <v>1.5014299332697809</v>
      </c>
      <c r="BL2" s="6">
        <f t="shared" ref="BL2:BL11" si="63">FM2</f>
        <v>79</v>
      </c>
      <c r="BM2" s="5">
        <f t="shared" ref="BM2:BM11" si="64">IFERROR(BL2/L2,0)</f>
        <v>3.3889418493803625</v>
      </c>
      <c r="BN2" s="6">
        <f t="shared" ref="BN2:BN11" si="65">FN2</f>
        <v>32</v>
      </c>
      <c r="BO2" s="5">
        <f t="shared" ref="BO2:BO11" si="66">IFERROR(BN2/L2,0)</f>
        <v>1.372735938989514</v>
      </c>
      <c r="BP2" s="21">
        <f t="shared" ref="BP2:BP11" si="67">IFERROR((FN2*1)/FM2,0)</f>
        <v>0.4050632911392405</v>
      </c>
      <c r="BQ2" s="5">
        <f t="shared" ref="BQ2:BQ11" si="68">IFERROR((FM2-GD2)/(EX2-GE2),0)</f>
        <v>4.9375</v>
      </c>
      <c r="BR2" s="5">
        <f t="shared" ref="BR2:BR11" si="69">IFERROR((FN2-GD2)/(EX2-GE2),0)</f>
        <v>2</v>
      </c>
      <c r="BS2" s="5">
        <f t="shared" ref="BS2:BS11" si="70">IFERROR((FM2+FO2-GD2)/(EX2-GE2),0)</f>
        <v>17</v>
      </c>
      <c r="BT2" s="107">
        <f t="shared" ref="BT2:BT11" si="71">IFERROR((EX2-GE2)/(FM2-GD2),0)</f>
        <v>0.20253164556962025</v>
      </c>
      <c r="BU2" s="5">
        <f t="shared" ref="BU2:BU11" si="72">IFERROR(((X2-AY2)/CH2)*(AD2/L2),0)</f>
        <v>1.2148105654774461</v>
      </c>
      <c r="BV2" s="5">
        <f t="shared" ref="BV2:BV11" si="73">IFERROR(CF2/(L2),0)</f>
        <v>0.38779790276453763</v>
      </c>
      <c r="BW2" s="5">
        <f t="shared" ref="BW2:BW11" si="74">IFERROR(EX2/L2,0)</f>
        <v>0.68636796949475698</v>
      </c>
      <c r="BX2" s="280">
        <f t="shared" ref="BX2:BX11" si="75">IFERROR(BW2-BV2,0)</f>
        <v>0.29857006673021935</v>
      </c>
      <c r="BY2" s="279">
        <f t="shared" ref="BY2:BY11" si="76">IFERROR(CH2/(FM2-GD2),0)</f>
        <v>0.11443037974683543</v>
      </c>
      <c r="BZ2" s="5">
        <f t="shared" ref="BZ2:BZ11" si="77">IFERROR(EU2/FM2,0)</f>
        <v>26.556962025316455</v>
      </c>
      <c r="CA2" s="5">
        <f t="shared" ref="CA2:CA11" si="78">IFERROR(EU2/FN2,0)</f>
        <v>65.5625</v>
      </c>
      <c r="CB2" s="5">
        <f t="shared" ref="CB2:CB11" si="79">IFERROR(EU2/EX2,L2*90)</f>
        <v>131.125</v>
      </c>
      <c r="CC2" s="5">
        <f t="shared" ref="CC2:CC11" si="80">IFERROR(EU2/Z2,300)</f>
        <v>110.42105263157895</v>
      </c>
      <c r="CD2" s="5">
        <f t="shared" ref="CD2:CD11" si="81">IFERROR(EX2-CF2,0)</f>
        <v>6.9600000000000009</v>
      </c>
      <c r="CE2" s="5">
        <f t="shared" ref="CE2:CE11" si="82">IFERROR((EX2-GE2)-CH2,0)</f>
        <v>6.9600000000000009</v>
      </c>
      <c r="CF2" s="5">
        <f t="shared" ref="CF2:CF11" si="83">SUBSTITUTE(FD2,".","," )*1</f>
        <v>9.0399999999999991</v>
      </c>
      <c r="CG2" s="5">
        <f t="shared" ref="CG2:CG11" si="84">IFERROR(CF2/L2,0)</f>
        <v>0.38779790276453763</v>
      </c>
      <c r="CH2" s="5">
        <f t="shared" ref="CH2:CH11" si="85">IFERROR(CF2-(GD2*0.79),0)</f>
        <v>9.0399999999999991</v>
      </c>
      <c r="CI2" s="5">
        <f t="shared" ref="CI2:CI11" si="86">IFERROR((CH2/L2),0)</f>
        <v>0.38779790276453763</v>
      </c>
      <c r="CJ2" s="5">
        <f t="shared" ref="CJ2:CJ11" si="87">SUBSTITUTE(FE2,".","," )*1</f>
        <v>2.34</v>
      </c>
      <c r="CK2" s="5">
        <f t="shared" ref="CK2:CK11" si="88">IFERROR(CJ2/L2,0)</f>
        <v>0.1003813155386082</v>
      </c>
      <c r="CL2" s="5">
        <f t="shared" ref="CL2:CL11" si="89">IFERROR(CJ2+CH2,0)</f>
        <v>11.379999999999999</v>
      </c>
      <c r="CM2" s="5">
        <f t="shared" ref="CM2:CM11" si="90">IFERROR(CL2/L2,0)</f>
        <v>0.48817921830314581</v>
      </c>
      <c r="CN2" s="21">
        <f t="shared" ref="CN2:CN11" si="91">EX2/(EX2+CF2)</f>
        <v>0.63897763578274758</v>
      </c>
      <c r="CO2" s="6">
        <f t="shared" ref="CO2:CO11" si="92">FJ2</f>
        <v>22</v>
      </c>
      <c r="CP2" s="5">
        <f t="shared" ref="CP2:CP11" si="93">IFERROR(CO2/L2,0)</f>
        <v>0.94375595805529078</v>
      </c>
      <c r="CQ2" s="5">
        <f t="shared" ref="CQ2:CQ11" si="94">CJ2</f>
        <v>2.34</v>
      </c>
      <c r="CR2" s="5">
        <f t="shared" ref="CR2:CR11" si="95">IFERROR(CJ2-EY2,0)</f>
        <v>-0.66000000000000014</v>
      </c>
      <c r="CS2" s="6">
        <f t="shared" ref="CS2:CS11" si="96">FV2</f>
        <v>15</v>
      </c>
      <c r="CT2" s="5">
        <f t="shared" ref="CT2:CT11" si="97">CS2/L2</f>
        <v>0.64346997140133466</v>
      </c>
      <c r="CU2" s="6">
        <f t="shared" ref="CU2:CU11" si="98">FW2</f>
        <v>2</v>
      </c>
      <c r="CV2" s="5">
        <f t="shared" ref="CV2:CV11" si="99">CU2/L2</f>
        <v>8.5795996186844622E-2</v>
      </c>
      <c r="CW2" s="21">
        <f t="shared" ref="CW2:CW11" si="100">IFERROR(CU2/CS2,0)</f>
        <v>0.13333333333333333</v>
      </c>
      <c r="CX2" s="362">
        <f t="shared" ref="CX2:CX11" si="101">FL2</f>
        <v>35</v>
      </c>
      <c r="CY2" s="363">
        <f t="shared" ref="CY2:CY11" si="102">IFERROR(FL2/L2,0)</f>
        <v>1.5014299332697809</v>
      </c>
      <c r="CZ2" s="210">
        <f t="shared" ref="CZ2:CZ11" si="103">IFERROR((((DJ2*1000)/(EU2*60))*3600)/1000,0)</f>
        <v>7.0467111534795048</v>
      </c>
      <c r="DA2" s="2">
        <f t="shared" ref="DA2:DA11" si="104">FQ2+FS2+FF2</f>
        <v>139</v>
      </c>
      <c r="DB2" s="5">
        <f t="shared" ref="DB2:DB11" si="105">IFERROR(DA2/L2,0)</f>
        <v>5.9628217349857007</v>
      </c>
      <c r="DC2" s="2">
        <f t="shared" ref="DC2:DC11" si="106">IFERROR(FT2+FR2,0)</f>
        <v>22</v>
      </c>
      <c r="DD2" s="5">
        <f t="shared" ref="DD2:DD11" si="107">IFERROR(DC2/L2,0)</f>
        <v>0.94375595805529078</v>
      </c>
      <c r="DE2" s="107">
        <f t="shared" ref="DE2:DE11" si="108">IFERROR((DC2*1)/DA2,)</f>
        <v>0.15827338129496402</v>
      </c>
      <c r="DF2" s="6">
        <f t="shared" ref="DF2:DF11" si="109">FU2</f>
        <v>28</v>
      </c>
      <c r="DG2" s="5">
        <f t="shared" ref="DG2:DG11" si="110">IFERROR(DF2/L2,0)</f>
        <v>1.2011439466158247</v>
      </c>
      <c r="DH2" s="6">
        <f t="shared" ref="DH2:DH11" si="111">FG2</f>
        <v>21</v>
      </c>
      <c r="DI2" s="5">
        <f t="shared" ref="DI2:DI11" si="112">IFERROR(DH2/L2,0)</f>
        <v>0.90085795996186846</v>
      </c>
      <c r="DJ2" s="5">
        <f t="shared" ref="DJ2:DJ11" si="113">VALUE(SUBSTITUTE(GG2, " km", ""))</f>
        <v>246.4</v>
      </c>
      <c r="DK2" s="5">
        <f t="shared" ref="DK2:DK11" si="114">IFERROR(DJ2/L2,0)</f>
        <v>10.570066730219256</v>
      </c>
      <c r="DL2" s="333">
        <f t="shared" ref="DL2:DL11" si="115">IFERROR((GF2*L2),0)</f>
        <v>144.52888888888887</v>
      </c>
      <c r="DM2" s="361">
        <f t="shared" ref="DM2:DM11" si="116">GF2</f>
        <v>6.2</v>
      </c>
      <c r="DN2" s="6">
        <f t="shared" ref="DN2:DN11" si="117">(FO2+FM2+GC2+FF2+FG2+FL2+FJ2+GD2+CF2)</f>
        <v>441.04</v>
      </c>
      <c r="DO2" s="5">
        <f t="shared" ref="DO2:DO11" si="118">IFERROR(DN2/L2,0)</f>
        <v>18.919733079122977</v>
      </c>
      <c r="DP2" s="6">
        <f t="shared" ref="DP2:DP11" si="119">(FN2+FG2+FL2+FJ2+GE2+EX2+EY2)</f>
        <v>129</v>
      </c>
      <c r="DQ2" s="5">
        <f t="shared" ref="DQ2:DQ11" si="120">IFERROR(DP2/L2,0)</f>
        <v>5.5338417540514779</v>
      </c>
      <c r="DR2" s="211">
        <f t="shared" ref="DR2:DR11" si="121">DS2*L2</f>
        <v>149.1911111111111</v>
      </c>
      <c r="DS2" s="5">
        <f t="shared" ref="DS2:DS11" si="122">FC2</f>
        <v>6.4</v>
      </c>
      <c r="DT2" s="21">
        <f t="shared" ref="DT2:DT11" si="123">IFERROR(DP2/DN2,0)</f>
        <v>0.29249047705423542</v>
      </c>
      <c r="DU2" s="6">
        <f t="shared" ref="DU2:DU11" si="124">IFERROR(FN2+CJ2+EZ2+FJ2+FZ2+FW2+(EX2*0.5)+(EY2*0.5),0)</f>
        <v>76.84</v>
      </c>
      <c r="DV2" s="5">
        <f t="shared" ref="DV2:DV11" si="125">IFERROR(DU2/L2,0)</f>
        <v>3.2962821734985703</v>
      </c>
      <c r="DW2" s="5">
        <f t="shared" ref="DW2:DW11" si="126">IFERROR((GD2+FO2+FM2+FL2+FH2+FT2)/L2,0)</f>
        <v>34.661582459485224</v>
      </c>
      <c r="DX2" s="181">
        <f t="shared" ref="DX2:DX11" si="127">IFERROR(FV2+FM2+FL2+FJ2,0)</f>
        <v>151</v>
      </c>
      <c r="DY2" s="5">
        <f t="shared" ref="DY2:DY11" si="128">DX2/L2</f>
        <v>6.4775977121067685</v>
      </c>
      <c r="DZ2" s="6">
        <f t="shared" ref="DZ2:DZ11" si="129">IFERROR(FW2+FN2+FL2+FJ2,0)</f>
        <v>91</v>
      </c>
      <c r="EA2" s="5">
        <f t="shared" ref="EA2:EA11" si="130">IFERROR(DZ2/L2,0)</f>
        <v>3.9037178265014303</v>
      </c>
      <c r="EB2" s="21">
        <f t="shared" ref="EB2:EB11" si="131">IFERROR(DZ2/DX2,0)</f>
        <v>0.60264900662251653</v>
      </c>
      <c r="EC2" s="6">
        <f t="shared" ref="EC2:EC11" si="132">IFERROR((FL2+FM2+(EZ2-GD2)+FJ2+DA2+FW2),0)</f>
        <v>281</v>
      </c>
      <c r="ED2" s="5">
        <f t="shared" ref="ED2:ED11" si="133">IFERROR(EC2/L2,0)</f>
        <v>12.054337464251669</v>
      </c>
      <c r="EE2" s="6">
        <f t="shared" ref="EE2:EE11" si="134">IFERROR((FM2+EZ2+FJ2),0)</f>
        <v>105</v>
      </c>
      <c r="EF2" s="5">
        <f t="shared" ref="EF2:EF11" si="135">IFERROR(EE2/L2,0)</f>
        <v>4.5042897998093423</v>
      </c>
      <c r="EG2" s="6">
        <f t="shared" ref="EG2:EG11" si="136">IFERROR((FM2-FN2)+(FH2-FI2),0)</f>
        <v>117</v>
      </c>
      <c r="EH2" s="5">
        <f t="shared" ref="EH2:EH11" si="137">IFERROR(EG2/L2,0)</f>
        <v>5.0190657769304101</v>
      </c>
      <c r="EI2" s="5">
        <f t="shared" ref="EI2:EI11" si="138">FC2</f>
        <v>6.4</v>
      </c>
      <c r="EJ2" s="5">
        <f t="shared" ref="EJ2:EJ11" si="139">IFERROR(VALUE(SUBSTITUTE(GH2, ".", ",")),0)</f>
        <v>6.98</v>
      </c>
      <c r="EK2" s="302"/>
      <c r="EL2" s="298" t="s">
        <v>13</v>
      </c>
      <c r="EM2" s="298" t="s">
        <v>1076</v>
      </c>
      <c r="EN2" s="298">
        <v>31</v>
      </c>
      <c r="EO2" s="298" t="s">
        <v>661</v>
      </c>
      <c r="EP2" s="298" t="s">
        <v>574</v>
      </c>
      <c r="EQ2" s="298" t="s">
        <v>644</v>
      </c>
      <c r="ER2" s="298" t="s">
        <v>413</v>
      </c>
      <c r="ES2" s="298" t="s">
        <v>930</v>
      </c>
      <c r="ET2" s="299">
        <v>46752</v>
      </c>
      <c r="EU2" s="298">
        <v>2098</v>
      </c>
      <c r="EV2" s="298" t="s">
        <v>1077</v>
      </c>
      <c r="EW2" s="298">
        <v>3</v>
      </c>
      <c r="EX2" s="298">
        <v>16</v>
      </c>
      <c r="EY2" s="298">
        <v>3</v>
      </c>
      <c r="EZ2" s="298">
        <v>4</v>
      </c>
      <c r="FA2" s="298">
        <v>91</v>
      </c>
      <c r="FB2" s="298">
        <v>241</v>
      </c>
      <c r="FC2" s="298">
        <v>6.4</v>
      </c>
      <c r="FD2" s="298" t="s">
        <v>1091</v>
      </c>
      <c r="FE2" s="298" t="s">
        <v>1092</v>
      </c>
      <c r="FF2" s="298">
        <v>47</v>
      </c>
      <c r="FG2" s="298">
        <v>21</v>
      </c>
      <c r="FH2" s="298">
        <v>497</v>
      </c>
      <c r="FI2" s="298">
        <v>427</v>
      </c>
      <c r="FJ2" s="298">
        <v>22</v>
      </c>
      <c r="FK2" s="298">
        <v>20</v>
      </c>
      <c r="FL2" s="298">
        <v>35</v>
      </c>
      <c r="FM2" s="298">
        <v>79</v>
      </c>
      <c r="FN2" s="298">
        <v>32</v>
      </c>
      <c r="FO2" s="298">
        <v>193</v>
      </c>
      <c r="FP2" s="298">
        <v>86</v>
      </c>
      <c r="FQ2" s="298">
        <v>77</v>
      </c>
      <c r="FR2" s="298">
        <v>18</v>
      </c>
      <c r="FS2" s="298">
        <v>15</v>
      </c>
      <c r="FT2" s="298">
        <v>4</v>
      </c>
      <c r="FU2" s="298">
        <v>28</v>
      </c>
      <c r="FV2" s="298">
        <v>15</v>
      </c>
      <c r="FW2" s="298">
        <v>2</v>
      </c>
      <c r="FX2" s="298">
        <v>15</v>
      </c>
      <c r="FY2" s="298">
        <v>2</v>
      </c>
      <c r="FZ2" s="298">
        <v>5</v>
      </c>
      <c r="GA2" s="298">
        <v>1.5</v>
      </c>
      <c r="GB2" s="298">
        <v>0</v>
      </c>
      <c r="GC2" s="298">
        <v>35</v>
      </c>
      <c r="GD2" s="298">
        <v>0</v>
      </c>
      <c r="GE2" s="298">
        <v>0</v>
      </c>
      <c r="GF2" s="298">
        <v>6.2</v>
      </c>
      <c r="GG2" s="298" t="s">
        <v>951</v>
      </c>
      <c r="GH2" s="303">
        <v>6.98</v>
      </c>
    </row>
    <row r="3" spans="1:190" ht="24.95" customHeight="1" thickBot="1" x14ac:dyDescent="0.3">
      <c r="A3" s="29" t="str">
        <f t="shared" si="0"/>
        <v>2º</v>
      </c>
      <c r="B3" s="69" t="str">
        <f t="shared" si="1"/>
        <v>Carlinhos</v>
      </c>
      <c r="C3" s="86" t="str">
        <f t="shared" si="2"/>
        <v>BRA</v>
      </c>
      <c r="D3" s="99" t="str">
        <f t="shared" si="3"/>
        <v>Pé Direito</v>
      </c>
      <c r="E3" s="28" t="str">
        <f t="shared" si="4"/>
        <v>Remo</v>
      </c>
      <c r="F3" s="167">
        <f t="shared" si="5"/>
        <v>1.95</v>
      </c>
      <c r="G3" s="150">
        <f t="shared" si="6"/>
        <v>46387</v>
      </c>
      <c r="H3" s="169">
        <f t="shared" si="7"/>
        <v>29</v>
      </c>
      <c r="I3" s="203" t="str">
        <f t="shared" si="8"/>
        <v>11,25m € p/m</v>
      </c>
      <c r="J3" s="189" t="str">
        <f t="shared" si="9"/>
        <v>500 € - 7m €</v>
      </c>
      <c r="K3" s="96">
        <f t="shared" si="10"/>
        <v>23.671111111111109</v>
      </c>
      <c r="L3" s="146">
        <f t="shared" si="11"/>
        <v>26.822222222222223</v>
      </c>
      <c r="M3" s="146">
        <f t="shared" si="12"/>
        <v>44</v>
      </c>
      <c r="N3" s="146">
        <f t="shared" si="13"/>
        <v>54.863636363636367</v>
      </c>
      <c r="O3" s="187">
        <f t="shared" si="14"/>
        <v>0.61</v>
      </c>
      <c r="P3" s="2">
        <f t="shared" si="15"/>
        <v>31</v>
      </c>
      <c r="Q3" s="5">
        <f t="shared" si="16"/>
        <v>0.31</v>
      </c>
      <c r="R3" s="5">
        <f t="shared" si="17"/>
        <v>0.6710853355426678</v>
      </c>
      <c r="S3" s="5">
        <f t="shared" si="18"/>
        <v>0.78293289146644574</v>
      </c>
      <c r="T3" s="5">
        <f t="shared" si="19"/>
        <v>0.11184755592377796</v>
      </c>
      <c r="U3" s="6">
        <f t="shared" si="20"/>
        <v>5</v>
      </c>
      <c r="V3" s="24">
        <f t="shared" si="21"/>
        <v>482.8</v>
      </c>
      <c r="W3" s="21">
        <f t="shared" si="22"/>
        <v>0.18641259320629661</v>
      </c>
      <c r="X3" s="2">
        <f t="shared" si="23"/>
        <v>18</v>
      </c>
      <c r="Y3" s="2">
        <f t="shared" si="24"/>
        <v>3</v>
      </c>
      <c r="Z3" s="2">
        <f t="shared" si="25"/>
        <v>21</v>
      </c>
      <c r="AA3" s="376">
        <f t="shared" si="26"/>
        <v>15</v>
      </c>
      <c r="AB3" s="376">
        <f t="shared" si="27"/>
        <v>3</v>
      </c>
      <c r="AC3" s="377">
        <f t="shared" si="28"/>
        <v>0</v>
      </c>
      <c r="AD3" s="6">
        <f t="shared" si="29"/>
        <v>18</v>
      </c>
      <c r="AE3" s="20">
        <f t="shared" si="30"/>
        <v>1</v>
      </c>
      <c r="AF3" s="20">
        <f t="shared" si="31"/>
        <v>0.14285714285714285</v>
      </c>
      <c r="AG3" s="20">
        <f t="shared" si="32"/>
        <v>0</v>
      </c>
      <c r="AH3" s="5">
        <f t="shared" si="33"/>
        <v>0.6710853355426678</v>
      </c>
      <c r="AI3" s="5">
        <f t="shared" si="34"/>
        <v>0.11184755592377796</v>
      </c>
      <c r="AJ3" s="5">
        <f t="shared" si="35"/>
        <v>0.78293289146644574</v>
      </c>
      <c r="AK3" s="5">
        <f t="shared" si="36"/>
        <v>0.6710853355426678</v>
      </c>
      <c r="AL3" s="6">
        <f t="shared" si="37"/>
        <v>15</v>
      </c>
      <c r="AM3" s="5">
        <f t="shared" si="38"/>
        <v>0.55923777961888976</v>
      </c>
      <c r="AN3" s="6">
        <f t="shared" si="39"/>
        <v>3</v>
      </c>
      <c r="AO3" s="5">
        <f t="shared" si="40"/>
        <v>0.11184755592377796</v>
      </c>
      <c r="AP3" s="5">
        <f t="shared" si="41"/>
        <v>1.2</v>
      </c>
      <c r="AQ3" s="21">
        <f t="shared" si="42"/>
        <v>9.3206296603148303E-2</v>
      </c>
      <c r="AR3" s="333">
        <f t="shared" si="43"/>
        <v>0</v>
      </c>
      <c r="AS3" s="334">
        <f t="shared" si="44"/>
        <v>0</v>
      </c>
      <c r="AT3" s="333">
        <f t="shared" si="45"/>
        <v>0</v>
      </c>
      <c r="AU3" s="334">
        <f t="shared" si="46"/>
        <v>0</v>
      </c>
      <c r="AV3" s="337">
        <f t="shared" si="47"/>
        <v>0</v>
      </c>
      <c r="AW3" s="348">
        <f t="shared" si="48"/>
        <v>0</v>
      </c>
      <c r="AX3" s="333">
        <f t="shared" si="49"/>
        <v>0</v>
      </c>
      <c r="AY3" s="333">
        <f t="shared" si="50"/>
        <v>0</v>
      </c>
      <c r="AZ3" s="351">
        <f t="shared" si="51"/>
        <v>0</v>
      </c>
      <c r="BA3" s="334">
        <f t="shared" si="52"/>
        <v>0</v>
      </c>
      <c r="BB3" s="20">
        <f t="shared" si="53"/>
        <v>1.0000000000000001E-5</v>
      </c>
      <c r="BC3" s="2">
        <f t="shared" si="54"/>
        <v>211</v>
      </c>
      <c r="BD3" s="2">
        <f t="shared" si="55"/>
        <v>122</v>
      </c>
      <c r="BE3" s="5">
        <f t="shared" si="56"/>
        <v>7.8666114333057164</v>
      </c>
      <c r="BF3" s="5">
        <f t="shared" si="57"/>
        <v>4.5484672742336372</v>
      </c>
      <c r="BG3" s="2">
        <f t="shared" si="58"/>
        <v>89</v>
      </c>
      <c r="BH3" s="107">
        <f t="shared" si="59"/>
        <v>0.5781990521327014</v>
      </c>
      <c r="BI3" s="107">
        <f t="shared" si="60"/>
        <v>0.4218009478672986</v>
      </c>
      <c r="BJ3" s="360">
        <f t="shared" si="61"/>
        <v>21</v>
      </c>
      <c r="BK3" s="334">
        <f t="shared" si="62"/>
        <v>0.78293289146644574</v>
      </c>
      <c r="BL3" s="6">
        <f t="shared" si="63"/>
        <v>106</v>
      </c>
      <c r="BM3" s="5">
        <f t="shared" si="64"/>
        <v>3.9519469759734878</v>
      </c>
      <c r="BN3" s="6">
        <f t="shared" si="65"/>
        <v>57</v>
      </c>
      <c r="BO3" s="5">
        <f t="shared" si="66"/>
        <v>2.1251035625517813</v>
      </c>
      <c r="BP3" s="21">
        <f t="shared" si="67"/>
        <v>0.53773584905660377</v>
      </c>
      <c r="BQ3" s="5">
        <f t="shared" si="68"/>
        <v>5.8888888888888893</v>
      </c>
      <c r="BR3" s="5">
        <f t="shared" si="69"/>
        <v>3.1666666666666665</v>
      </c>
      <c r="BS3" s="5">
        <f t="shared" si="70"/>
        <v>17.611111111111111</v>
      </c>
      <c r="BT3" s="107">
        <f t="shared" si="71"/>
        <v>0.16981132075471697</v>
      </c>
      <c r="BU3" s="5">
        <f t="shared" si="72"/>
        <v>0.96636288318144159</v>
      </c>
      <c r="BV3" s="5">
        <f t="shared" si="73"/>
        <v>0.46603148301574149</v>
      </c>
      <c r="BW3" s="5">
        <f t="shared" si="74"/>
        <v>0.6710853355426678</v>
      </c>
      <c r="BX3" s="280">
        <f t="shared" si="75"/>
        <v>0.20505385252692632</v>
      </c>
      <c r="BY3" s="279">
        <f t="shared" si="76"/>
        <v>0.11792452830188679</v>
      </c>
      <c r="BZ3" s="5">
        <f t="shared" si="77"/>
        <v>22.773584905660378</v>
      </c>
      <c r="CA3" s="5">
        <f t="shared" si="78"/>
        <v>42.350877192982459</v>
      </c>
      <c r="CB3" s="5">
        <f t="shared" si="79"/>
        <v>134.11111111111111</v>
      </c>
      <c r="CC3" s="5">
        <f t="shared" si="80"/>
        <v>114.95238095238095</v>
      </c>
      <c r="CD3" s="5">
        <f t="shared" si="81"/>
        <v>5.5</v>
      </c>
      <c r="CE3" s="5">
        <f t="shared" si="82"/>
        <v>5.5</v>
      </c>
      <c r="CF3" s="5">
        <f t="shared" si="83"/>
        <v>12.5</v>
      </c>
      <c r="CG3" s="5">
        <f t="shared" si="84"/>
        <v>0.46603148301574149</v>
      </c>
      <c r="CH3" s="5">
        <f t="shared" si="85"/>
        <v>12.5</v>
      </c>
      <c r="CI3" s="5">
        <f t="shared" si="86"/>
        <v>0.46603148301574149</v>
      </c>
      <c r="CJ3" s="5">
        <f t="shared" si="87"/>
        <v>3.9</v>
      </c>
      <c r="CK3" s="5">
        <f t="shared" si="88"/>
        <v>0.14540182270091134</v>
      </c>
      <c r="CL3" s="5">
        <f t="shared" si="89"/>
        <v>16.399999999999999</v>
      </c>
      <c r="CM3" s="5">
        <f t="shared" si="90"/>
        <v>0.61143330571665278</v>
      </c>
      <c r="CN3" s="21">
        <f t="shared" si="91"/>
        <v>0.5901639344262295</v>
      </c>
      <c r="CO3" s="6">
        <f t="shared" si="92"/>
        <v>34</v>
      </c>
      <c r="CP3" s="5">
        <f t="shared" si="93"/>
        <v>1.2676056338028168</v>
      </c>
      <c r="CQ3" s="5">
        <f t="shared" si="94"/>
        <v>3.9</v>
      </c>
      <c r="CR3" s="5">
        <f t="shared" si="95"/>
        <v>0.89999999999999991</v>
      </c>
      <c r="CS3" s="6">
        <f t="shared" si="96"/>
        <v>29</v>
      </c>
      <c r="CT3" s="5">
        <f t="shared" si="97"/>
        <v>1.0811930405965202</v>
      </c>
      <c r="CU3" s="6">
        <f t="shared" si="98"/>
        <v>6</v>
      </c>
      <c r="CV3" s="5">
        <f t="shared" si="99"/>
        <v>0.22369511184755592</v>
      </c>
      <c r="CW3" s="21">
        <f t="shared" si="100"/>
        <v>0.20689655172413793</v>
      </c>
      <c r="CX3" s="362">
        <f t="shared" si="101"/>
        <v>27</v>
      </c>
      <c r="CY3" s="363">
        <f t="shared" si="102"/>
        <v>1.0066280033140016</v>
      </c>
      <c r="CZ3" s="210">
        <f t="shared" si="103"/>
        <v>7.3272576636288322</v>
      </c>
      <c r="DA3" s="2">
        <f t="shared" si="104"/>
        <v>139</v>
      </c>
      <c r="DB3" s="5">
        <f t="shared" si="105"/>
        <v>5.1822700911350452</v>
      </c>
      <c r="DC3" s="2">
        <f t="shared" si="106"/>
        <v>31</v>
      </c>
      <c r="DD3" s="5">
        <f t="shared" si="107"/>
        <v>1.1557580778790388</v>
      </c>
      <c r="DE3" s="107">
        <f t="shared" si="108"/>
        <v>0.22302158273381295</v>
      </c>
      <c r="DF3" s="6">
        <f t="shared" si="109"/>
        <v>26</v>
      </c>
      <c r="DG3" s="5">
        <f t="shared" si="110"/>
        <v>0.96934548467274229</v>
      </c>
      <c r="DH3" s="6">
        <f t="shared" si="111"/>
        <v>32</v>
      </c>
      <c r="DI3" s="5">
        <f t="shared" si="112"/>
        <v>1.1930405965202981</v>
      </c>
      <c r="DJ3" s="5">
        <f t="shared" si="113"/>
        <v>294.8</v>
      </c>
      <c r="DK3" s="5">
        <f t="shared" si="114"/>
        <v>10.990886495443247</v>
      </c>
      <c r="DL3" s="333">
        <f t="shared" si="115"/>
        <v>177.02666666666667</v>
      </c>
      <c r="DM3" s="361">
        <f t="shared" si="116"/>
        <v>6.6</v>
      </c>
      <c r="DN3" s="6">
        <f t="shared" si="117"/>
        <v>480.5</v>
      </c>
      <c r="DO3" s="5">
        <f t="shared" si="118"/>
        <v>17.914250207125104</v>
      </c>
      <c r="DP3" s="6">
        <f t="shared" si="119"/>
        <v>171</v>
      </c>
      <c r="DQ3" s="5">
        <f t="shared" si="120"/>
        <v>6.375310687655344</v>
      </c>
      <c r="DR3" s="211">
        <f t="shared" si="121"/>
        <v>321.86666666666667</v>
      </c>
      <c r="DS3" s="5">
        <f t="shared" si="122"/>
        <v>12</v>
      </c>
      <c r="DT3" s="21">
        <f t="shared" si="123"/>
        <v>0.35587929240374611</v>
      </c>
      <c r="DU3" s="6">
        <f t="shared" si="124"/>
        <v>123.4</v>
      </c>
      <c r="DV3" s="5">
        <f t="shared" si="125"/>
        <v>4.6006628003314001</v>
      </c>
      <c r="DW3" s="5">
        <f t="shared" si="126"/>
        <v>49.660314830157411</v>
      </c>
      <c r="DX3" s="181">
        <f t="shared" si="127"/>
        <v>196</v>
      </c>
      <c r="DY3" s="5">
        <f t="shared" si="128"/>
        <v>7.3073736536868266</v>
      </c>
      <c r="DZ3" s="6">
        <f t="shared" si="129"/>
        <v>124</v>
      </c>
      <c r="EA3" s="5">
        <f t="shared" si="130"/>
        <v>4.6230323115161553</v>
      </c>
      <c r="EB3" s="21">
        <f t="shared" si="131"/>
        <v>0.63265306122448983</v>
      </c>
      <c r="EC3" s="6">
        <f t="shared" si="132"/>
        <v>321</v>
      </c>
      <c r="ED3" s="5">
        <f t="shared" si="133"/>
        <v>11.967688483844242</v>
      </c>
      <c r="EE3" s="6">
        <f t="shared" si="134"/>
        <v>149</v>
      </c>
      <c r="EF3" s="5">
        <f t="shared" si="135"/>
        <v>5.5550952775476388</v>
      </c>
      <c r="EG3" s="6">
        <f t="shared" si="136"/>
        <v>143</v>
      </c>
      <c r="EH3" s="5">
        <f t="shared" si="137"/>
        <v>5.3314001657000825</v>
      </c>
      <c r="EI3" s="5">
        <f t="shared" si="138"/>
        <v>12</v>
      </c>
      <c r="EJ3" s="5">
        <f t="shared" si="139"/>
        <v>7.19</v>
      </c>
      <c r="EK3" s="302"/>
      <c r="EL3" s="298" t="s">
        <v>13</v>
      </c>
      <c r="EM3" s="298" t="s">
        <v>821</v>
      </c>
      <c r="EN3" s="298">
        <v>29</v>
      </c>
      <c r="EO3" s="298" t="s">
        <v>558</v>
      </c>
      <c r="EP3" s="298" t="s">
        <v>680</v>
      </c>
      <c r="EQ3" s="298" t="s">
        <v>644</v>
      </c>
      <c r="ER3" s="298" t="s">
        <v>1003</v>
      </c>
      <c r="ES3" s="298" t="s">
        <v>806</v>
      </c>
      <c r="ET3" s="299">
        <v>46387</v>
      </c>
      <c r="EU3" s="298">
        <v>2414</v>
      </c>
      <c r="EV3" s="298" t="s">
        <v>1073</v>
      </c>
      <c r="EW3" s="298">
        <v>5</v>
      </c>
      <c r="EX3" s="298">
        <v>18</v>
      </c>
      <c r="EY3" s="298">
        <v>3</v>
      </c>
      <c r="EZ3" s="298">
        <v>9</v>
      </c>
      <c r="FA3" s="298">
        <v>31</v>
      </c>
      <c r="FB3" s="298">
        <v>100</v>
      </c>
      <c r="FC3" s="298">
        <v>12</v>
      </c>
      <c r="FD3" s="298" t="s">
        <v>1088</v>
      </c>
      <c r="FE3" s="298" t="s">
        <v>1089</v>
      </c>
      <c r="FF3" s="298">
        <v>37</v>
      </c>
      <c r="FG3" s="298">
        <v>32</v>
      </c>
      <c r="FH3" s="298">
        <v>978</v>
      </c>
      <c r="FI3" s="298">
        <v>884</v>
      </c>
      <c r="FJ3" s="298">
        <v>34</v>
      </c>
      <c r="FK3" s="298">
        <v>23</v>
      </c>
      <c r="FL3" s="298">
        <v>27</v>
      </c>
      <c r="FM3" s="298">
        <v>106</v>
      </c>
      <c r="FN3" s="298">
        <v>57</v>
      </c>
      <c r="FO3" s="298">
        <v>211</v>
      </c>
      <c r="FP3" s="298">
        <v>122</v>
      </c>
      <c r="FQ3" s="298">
        <v>88</v>
      </c>
      <c r="FR3" s="298">
        <v>21</v>
      </c>
      <c r="FS3" s="298">
        <v>14</v>
      </c>
      <c r="FT3" s="298">
        <v>10</v>
      </c>
      <c r="FU3" s="298">
        <v>26</v>
      </c>
      <c r="FV3" s="298">
        <v>29</v>
      </c>
      <c r="FW3" s="298">
        <v>6</v>
      </c>
      <c r="FX3" s="298">
        <v>29</v>
      </c>
      <c r="FY3" s="298">
        <v>6</v>
      </c>
      <c r="FZ3" s="298">
        <v>3</v>
      </c>
      <c r="GA3" s="298">
        <v>1.2</v>
      </c>
      <c r="GB3" s="298">
        <v>0</v>
      </c>
      <c r="GC3" s="298">
        <v>21</v>
      </c>
      <c r="GD3" s="298">
        <v>0</v>
      </c>
      <c r="GE3" s="298">
        <v>0</v>
      </c>
      <c r="GF3" s="298">
        <v>6.6</v>
      </c>
      <c r="GG3" s="298" t="s">
        <v>1074</v>
      </c>
      <c r="GH3" s="303">
        <v>7.19</v>
      </c>
    </row>
    <row r="4" spans="1:190" ht="24.95" customHeight="1" thickBot="1" x14ac:dyDescent="0.3">
      <c r="A4" s="29" t="str">
        <f t="shared" si="0"/>
        <v>3º</v>
      </c>
      <c r="B4" s="69" t="str">
        <f t="shared" si="1"/>
        <v>David Terans</v>
      </c>
      <c r="C4" s="86" t="str">
        <f t="shared" si="2"/>
        <v>URU</v>
      </c>
      <c r="D4" s="99" t="str">
        <f t="shared" si="3"/>
        <v>Pé Esquerdo</v>
      </c>
      <c r="E4" s="28" t="str">
        <f t="shared" si="4"/>
        <v>Fluminense</v>
      </c>
      <c r="F4" s="167">
        <f t="shared" si="5"/>
        <v>1.71</v>
      </c>
      <c r="G4" s="150">
        <f t="shared" si="6"/>
        <v>46752</v>
      </c>
      <c r="H4" s="169">
        <f t="shared" si="7"/>
        <v>32</v>
      </c>
      <c r="I4" s="203" t="str">
        <f t="shared" si="8"/>
        <v>48m € p/m</v>
      </c>
      <c r="J4" s="189" t="str">
        <f t="shared" si="9"/>
        <v>160m € - 1,6M €</v>
      </c>
      <c r="K4" s="96">
        <f t="shared" si="10"/>
        <v>23.671111111111109</v>
      </c>
      <c r="L4" s="146">
        <f t="shared" si="11"/>
        <v>19.7</v>
      </c>
      <c r="M4" s="146">
        <f t="shared" si="12"/>
        <v>35</v>
      </c>
      <c r="N4" s="146">
        <f t="shared" si="13"/>
        <v>50.657142857142858</v>
      </c>
      <c r="O4" s="187">
        <f t="shared" si="14"/>
        <v>0.49</v>
      </c>
      <c r="P4" s="2">
        <f t="shared" si="15"/>
        <v>90</v>
      </c>
      <c r="Q4" s="5">
        <f t="shared" si="16"/>
        <v>0.27272727272727271</v>
      </c>
      <c r="R4" s="5">
        <f t="shared" si="17"/>
        <v>0.50761421319796951</v>
      </c>
      <c r="S4" s="5">
        <f t="shared" si="18"/>
        <v>0.76142131979695438</v>
      </c>
      <c r="T4" s="5">
        <f t="shared" si="19"/>
        <v>0.25380710659898476</v>
      </c>
      <c r="U4" s="6">
        <f t="shared" si="20"/>
        <v>1</v>
      </c>
      <c r="V4" s="24">
        <f t="shared" si="21"/>
        <v>1773</v>
      </c>
      <c r="W4" s="21">
        <f t="shared" si="22"/>
        <v>5.0761421319796954E-2</v>
      </c>
      <c r="X4" s="2">
        <f t="shared" si="23"/>
        <v>10</v>
      </c>
      <c r="Y4" s="2">
        <f t="shared" si="24"/>
        <v>5</v>
      </c>
      <c r="Z4" s="2">
        <f t="shared" si="25"/>
        <v>15</v>
      </c>
      <c r="AA4" s="376">
        <f t="shared" si="26"/>
        <v>5</v>
      </c>
      <c r="AB4" s="376">
        <f t="shared" si="27"/>
        <v>1</v>
      </c>
      <c r="AC4" s="377">
        <f t="shared" si="28"/>
        <v>4</v>
      </c>
      <c r="AD4" s="6">
        <f t="shared" si="29"/>
        <v>6</v>
      </c>
      <c r="AE4" s="20">
        <f t="shared" si="30"/>
        <v>0.6</v>
      </c>
      <c r="AF4" s="20">
        <f t="shared" si="31"/>
        <v>0.33333333333333331</v>
      </c>
      <c r="AG4" s="20">
        <f t="shared" si="32"/>
        <v>0.26666666666666666</v>
      </c>
      <c r="AH4" s="5">
        <f t="shared" si="33"/>
        <v>0.50761421319796951</v>
      </c>
      <c r="AI4" s="5">
        <f t="shared" si="34"/>
        <v>0.25380710659898476</v>
      </c>
      <c r="AJ4" s="5">
        <f t="shared" si="35"/>
        <v>0.76142131979695438</v>
      </c>
      <c r="AK4" s="5">
        <f t="shared" si="36"/>
        <v>0.30456852791878175</v>
      </c>
      <c r="AL4" s="6">
        <f t="shared" si="37"/>
        <v>5</v>
      </c>
      <c r="AM4" s="5">
        <f t="shared" si="38"/>
        <v>0.25380710659898476</v>
      </c>
      <c r="AN4" s="6">
        <f t="shared" si="39"/>
        <v>1</v>
      </c>
      <c r="AO4" s="5">
        <f t="shared" si="40"/>
        <v>5.0761421319796954E-2</v>
      </c>
      <c r="AP4" s="5">
        <f t="shared" si="41"/>
        <v>2.2999999999999998</v>
      </c>
      <c r="AQ4" s="21">
        <f t="shared" si="42"/>
        <v>2.2070183182520416E-2</v>
      </c>
      <c r="AR4" s="333">
        <f t="shared" si="43"/>
        <v>119</v>
      </c>
      <c r="AS4" s="334">
        <f t="shared" si="44"/>
        <v>6.0406091370558377</v>
      </c>
      <c r="AT4" s="333">
        <f t="shared" si="45"/>
        <v>16</v>
      </c>
      <c r="AU4" s="334">
        <f t="shared" si="46"/>
        <v>0.81218274111675126</v>
      </c>
      <c r="AV4" s="337">
        <f t="shared" si="47"/>
        <v>0.13445378151260504</v>
      </c>
      <c r="AW4" s="348">
        <f t="shared" si="48"/>
        <v>12</v>
      </c>
      <c r="AX4" s="333">
        <f t="shared" si="49"/>
        <v>4</v>
      </c>
      <c r="AY4" s="333">
        <f t="shared" si="50"/>
        <v>4</v>
      </c>
      <c r="AZ4" s="351">
        <f t="shared" si="51"/>
        <v>0</v>
      </c>
      <c r="BA4" s="334">
        <f t="shared" si="52"/>
        <v>0.20304568527918782</v>
      </c>
      <c r="BB4" s="20">
        <f t="shared" si="53"/>
        <v>1</v>
      </c>
      <c r="BC4" s="2">
        <f t="shared" si="54"/>
        <v>52</v>
      </c>
      <c r="BD4" s="2">
        <f t="shared" si="55"/>
        <v>4</v>
      </c>
      <c r="BE4" s="5">
        <f t="shared" si="56"/>
        <v>2.6395939086294415</v>
      </c>
      <c r="BF4" s="5">
        <f t="shared" si="57"/>
        <v>0.20304568527918782</v>
      </c>
      <c r="BG4" s="2">
        <f t="shared" si="58"/>
        <v>48</v>
      </c>
      <c r="BH4" s="107">
        <f t="shared" si="59"/>
        <v>7.6923076923076927E-2</v>
      </c>
      <c r="BI4" s="107">
        <f t="shared" si="60"/>
        <v>0.92307692307692313</v>
      </c>
      <c r="BJ4" s="360">
        <f t="shared" si="61"/>
        <v>11</v>
      </c>
      <c r="BK4" s="334">
        <f t="shared" si="62"/>
        <v>0.55837563451776651</v>
      </c>
      <c r="BL4" s="6">
        <f t="shared" si="63"/>
        <v>74</v>
      </c>
      <c r="BM4" s="5">
        <f t="shared" si="64"/>
        <v>3.7563451776649748</v>
      </c>
      <c r="BN4" s="6">
        <f t="shared" si="65"/>
        <v>43</v>
      </c>
      <c r="BO4" s="5">
        <f t="shared" si="66"/>
        <v>2.1827411167512691</v>
      </c>
      <c r="BP4" s="21">
        <f t="shared" si="67"/>
        <v>0.58108108108108103</v>
      </c>
      <c r="BQ4" s="5">
        <f t="shared" si="68"/>
        <v>11.666666666666666</v>
      </c>
      <c r="BR4" s="5">
        <f t="shared" si="69"/>
        <v>6.5</v>
      </c>
      <c r="BS4" s="5">
        <f t="shared" si="70"/>
        <v>20.333333333333332</v>
      </c>
      <c r="BT4" s="107">
        <f t="shared" si="71"/>
        <v>8.5714285714285715E-2</v>
      </c>
      <c r="BU4" s="5">
        <f t="shared" si="72"/>
        <v>0.2261647484545409</v>
      </c>
      <c r="BV4" s="5">
        <f t="shared" si="73"/>
        <v>0.57055837563451783</v>
      </c>
      <c r="BW4" s="5">
        <f t="shared" si="74"/>
        <v>0.50761421319796951</v>
      </c>
      <c r="BX4" s="280">
        <f t="shared" si="75"/>
        <v>-6.2944162436548323E-2</v>
      </c>
      <c r="BY4" s="279">
        <f t="shared" si="76"/>
        <v>0.11542857142857144</v>
      </c>
      <c r="BZ4" s="5">
        <f t="shared" si="77"/>
        <v>23.95945945945946</v>
      </c>
      <c r="CA4" s="5">
        <f t="shared" si="78"/>
        <v>41.232558139534881</v>
      </c>
      <c r="CB4" s="5">
        <f t="shared" si="79"/>
        <v>177.3</v>
      </c>
      <c r="CC4" s="5">
        <f t="shared" si="80"/>
        <v>118.2</v>
      </c>
      <c r="CD4" s="5">
        <f t="shared" si="81"/>
        <v>-1.2400000000000002</v>
      </c>
      <c r="CE4" s="5">
        <f t="shared" si="82"/>
        <v>-2.08</v>
      </c>
      <c r="CF4" s="5">
        <f t="shared" si="83"/>
        <v>11.24</v>
      </c>
      <c r="CG4" s="5">
        <f t="shared" si="84"/>
        <v>0.57055837563451783</v>
      </c>
      <c r="CH4" s="5">
        <f t="shared" si="85"/>
        <v>8.08</v>
      </c>
      <c r="CI4" s="5">
        <f t="shared" si="86"/>
        <v>0.41015228426395939</v>
      </c>
      <c r="CJ4" s="5">
        <f t="shared" si="87"/>
        <v>5.92</v>
      </c>
      <c r="CK4" s="5">
        <f t="shared" si="88"/>
        <v>0.30050761421319799</v>
      </c>
      <c r="CL4" s="5">
        <f t="shared" si="89"/>
        <v>14</v>
      </c>
      <c r="CM4" s="5">
        <f t="shared" si="90"/>
        <v>0.71065989847715738</v>
      </c>
      <c r="CN4" s="21">
        <f t="shared" si="91"/>
        <v>0.47080979284369112</v>
      </c>
      <c r="CO4" s="6">
        <f t="shared" si="92"/>
        <v>63</v>
      </c>
      <c r="CP4" s="5">
        <f t="shared" si="93"/>
        <v>3.1979695431472082</v>
      </c>
      <c r="CQ4" s="5">
        <f t="shared" si="94"/>
        <v>5.92</v>
      </c>
      <c r="CR4" s="5">
        <f t="shared" si="95"/>
        <v>0.91999999999999993</v>
      </c>
      <c r="CS4" s="6">
        <f t="shared" si="96"/>
        <v>62</v>
      </c>
      <c r="CT4" s="5">
        <f t="shared" si="97"/>
        <v>3.1472081218274113</v>
      </c>
      <c r="CU4" s="6">
        <f t="shared" si="98"/>
        <v>13</v>
      </c>
      <c r="CV4" s="5">
        <f t="shared" si="99"/>
        <v>0.65989847715736039</v>
      </c>
      <c r="CW4" s="21">
        <f t="shared" si="100"/>
        <v>0.20967741935483872</v>
      </c>
      <c r="CX4" s="362">
        <f t="shared" si="101"/>
        <v>40</v>
      </c>
      <c r="CY4" s="363">
        <f t="shared" si="102"/>
        <v>2.030456852791878</v>
      </c>
      <c r="CZ4" s="210">
        <f t="shared" si="103"/>
        <v>8.1962774957698823</v>
      </c>
      <c r="DA4" s="2">
        <f t="shared" si="104"/>
        <v>165</v>
      </c>
      <c r="DB4" s="5">
        <f t="shared" si="105"/>
        <v>8.3756345177664979</v>
      </c>
      <c r="DC4" s="2">
        <f t="shared" si="106"/>
        <v>41</v>
      </c>
      <c r="DD4" s="5">
        <f t="shared" si="107"/>
        <v>2.0812182741116754</v>
      </c>
      <c r="DE4" s="107">
        <f t="shared" si="108"/>
        <v>0.24848484848484848</v>
      </c>
      <c r="DF4" s="6">
        <f t="shared" si="109"/>
        <v>27</v>
      </c>
      <c r="DG4" s="5">
        <f t="shared" si="110"/>
        <v>1.3705583756345179</v>
      </c>
      <c r="DH4" s="6">
        <f t="shared" si="111"/>
        <v>23</v>
      </c>
      <c r="DI4" s="5">
        <f t="shared" si="112"/>
        <v>1.1675126903553299</v>
      </c>
      <c r="DJ4" s="5">
        <f t="shared" si="113"/>
        <v>242.2</v>
      </c>
      <c r="DK4" s="5">
        <f t="shared" si="114"/>
        <v>12.294416243654823</v>
      </c>
      <c r="DL4" s="333">
        <f t="shared" si="115"/>
        <v>204.88</v>
      </c>
      <c r="DM4" s="361">
        <f t="shared" si="116"/>
        <v>10.4</v>
      </c>
      <c r="DN4" s="6">
        <f t="shared" si="117"/>
        <v>294.24</v>
      </c>
      <c r="DO4" s="5">
        <f t="shared" si="118"/>
        <v>14.936040609137057</v>
      </c>
      <c r="DP4" s="6">
        <f t="shared" si="119"/>
        <v>188</v>
      </c>
      <c r="DQ4" s="5">
        <f t="shared" si="120"/>
        <v>9.5431472081218285</v>
      </c>
      <c r="DR4" s="211">
        <f t="shared" si="121"/>
        <v>258.07</v>
      </c>
      <c r="DS4" s="5">
        <f t="shared" si="122"/>
        <v>13.1</v>
      </c>
      <c r="DT4" s="21">
        <f t="shared" si="123"/>
        <v>0.6389342033713975</v>
      </c>
      <c r="DU4" s="6">
        <f t="shared" si="124"/>
        <v>145.42000000000002</v>
      </c>
      <c r="DV4" s="5">
        <f t="shared" si="125"/>
        <v>7.3817258883248744</v>
      </c>
      <c r="DW4" s="5">
        <f t="shared" si="126"/>
        <v>53.756345177664976</v>
      </c>
      <c r="DX4" s="181">
        <f t="shared" si="127"/>
        <v>239</v>
      </c>
      <c r="DY4" s="5">
        <f t="shared" si="128"/>
        <v>12.131979695431472</v>
      </c>
      <c r="DZ4" s="6">
        <f t="shared" si="129"/>
        <v>159</v>
      </c>
      <c r="EA4" s="5">
        <f t="shared" si="130"/>
        <v>8.0710659898477157</v>
      </c>
      <c r="EB4" s="21">
        <f t="shared" si="131"/>
        <v>0.66527196652719667</v>
      </c>
      <c r="EC4" s="6">
        <f t="shared" si="132"/>
        <v>363</v>
      </c>
      <c r="ED4" s="5">
        <f t="shared" si="133"/>
        <v>18.426395939086294</v>
      </c>
      <c r="EE4" s="6">
        <f t="shared" si="134"/>
        <v>149</v>
      </c>
      <c r="EF4" s="5">
        <f t="shared" si="135"/>
        <v>7.5634517766497469</v>
      </c>
      <c r="EG4" s="6">
        <f t="shared" si="136"/>
        <v>137</v>
      </c>
      <c r="EH4" s="5">
        <f t="shared" si="137"/>
        <v>6.9543147208121834</v>
      </c>
      <c r="EI4" s="5">
        <f t="shared" si="138"/>
        <v>13.1</v>
      </c>
      <c r="EJ4" s="5">
        <f t="shared" si="139"/>
        <v>6.98</v>
      </c>
      <c r="EK4" s="302" t="s">
        <v>19</v>
      </c>
      <c r="EL4" s="298" t="s">
        <v>594</v>
      </c>
      <c r="EM4" s="298" t="s">
        <v>815</v>
      </c>
      <c r="EN4" s="298">
        <v>32</v>
      </c>
      <c r="EO4" s="298" t="s">
        <v>582</v>
      </c>
      <c r="EP4" s="298" t="s">
        <v>783</v>
      </c>
      <c r="EQ4" s="298" t="s">
        <v>652</v>
      </c>
      <c r="ER4" s="298" t="s">
        <v>620</v>
      </c>
      <c r="ES4" s="298" t="s">
        <v>816</v>
      </c>
      <c r="ET4" s="299">
        <v>46752</v>
      </c>
      <c r="EU4" s="298">
        <v>1773</v>
      </c>
      <c r="EV4" s="298" t="s">
        <v>1063</v>
      </c>
      <c r="EW4" s="298">
        <v>1</v>
      </c>
      <c r="EX4" s="298">
        <v>10</v>
      </c>
      <c r="EY4" s="298">
        <v>5</v>
      </c>
      <c r="EZ4" s="298">
        <v>12</v>
      </c>
      <c r="FA4" s="298">
        <v>90</v>
      </c>
      <c r="FB4" s="298">
        <v>330</v>
      </c>
      <c r="FC4" s="298">
        <v>13.1</v>
      </c>
      <c r="FD4" s="298" t="s">
        <v>1100</v>
      </c>
      <c r="FE4" s="298" t="s">
        <v>1101</v>
      </c>
      <c r="FF4" s="298">
        <v>16</v>
      </c>
      <c r="FG4" s="298">
        <v>23</v>
      </c>
      <c r="FH4" s="298">
        <v>872</v>
      </c>
      <c r="FI4" s="298">
        <v>766</v>
      </c>
      <c r="FJ4" s="298">
        <v>63</v>
      </c>
      <c r="FK4" s="298">
        <v>78</v>
      </c>
      <c r="FL4" s="298">
        <v>40</v>
      </c>
      <c r="FM4" s="298">
        <v>74</v>
      </c>
      <c r="FN4" s="298">
        <v>43</v>
      </c>
      <c r="FO4" s="298">
        <v>52</v>
      </c>
      <c r="FP4" s="298">
        <v>4</v>
      </c>
      <c r="FQ4" s="298">
        <v>123</v>
      </c>
      <c r="FR4" s="298">
        <v>24</v>
      </c>
      <c r="FS4" s="298">
        <v>26</v>
      </c>
      <c r="FT4" s="298">
        <v>17</v>
      </c>
      <c r="FU4" s="298">
        <v>27</v>
      </c>
      <c r="FV4" s="298">
        <v>62</v>
      </c>
      <c r="FW4" s="298">
        <v>13</v>
      </c>
      <c r="FX4" s="298">
        <v>181</v>
      </c>
      <c r="FY4" s="298">
        <v>29</v>
      </c>
      <c r="FZ4" s="298">
        <v>1</v>
      </c>
      <c r="GA4" s="298">
        <v>2.2999999999999998</v>
      </c>
      <c r="GB4" s="298">
        <v>12</v>
      </c>
      <c r="GC4" s="298">
        <v>11</v>
      </c>
      <c r="GD4" s="298">
        <v>4</v>
      </c>
      <c r="GE4" s="298">
        <v>4</v>
      </c>
      <c r="GF4" s="298">
        <v>10.4</v>
      </c>
      <c r="GG4" s="298" t="s">
        <v>710</v>
      </c>
      <c r="GH4" s="303">
        <v>6.98</v>
      </c>
    </row>
    <row r="5" spans="1:190" ht="24.95" customHeight="1" thickBot="1" x14ac:dyDescent="0.3">
      <c r="A5" s="29" t="str">
        <f t="shared" si="0"/>
        <v>4º</v>
      </c>
      <c r="B5" s="69" t="str">
        <f t="shared" si="1"/>
        <v>Everaldo</v>
      </c>
      <c r="C5" s="86" t="str">
        <f t="shared" si="2"/>
        <v>BRA</v>
      </c>
      <c r="D5" s="99" t="str">
        <f t="shared" si="3"/>
        <v>Pé Direito</v>
      </c>
      <c r="E5" s="28" t="str">
        <f t="shared" si="4"/>
        <v>Bahia</v>
      </c>
      <c r="F5" s="167">
        <f t="shared" si="5"/>
        <v>1.82</v>
      </c>
      <c r="G5" s="150">
        <f t="shared" si="6"/>
        <v>46387</v>
      </c>
      <c r="H5" s="169">
        <f t="shared" si="7"/>
        <v>35</v>
      </c>
      <c r="I5" s="203" t="str">
        <f t="shared" si="8"/>
        <v>6,25m € p/m</v>
      </c>
      <c r="J5" s="189" t="str">
        <f t="shared" si="9"/>
        <v>0 € - 35m €</v>
      </c>
      <c r="K5" s="96">
        <f t="shared" si="10"/>
        <v>23.671111111111109</v>
      </c>
      <c r="L5" s="146">
        <f t="shared" si="11"/>
        <v>20.522222222222222</v>
      </c>
      <c r="M5" s="146">
        <f t="shared" si="12"/>
        <v>38</v>
      </c>
      <c r="N5" s="146">
        <f t="shared" si="13"/>
        <v>48.60526315789474</v>
      </c>
      <c r="O5" s="187">
        <f t="shared" si="14"/>
        <v>0.42</v>
      </c>
      <c r="P5" s="2">
        <f t="shared" si="15"/>
        <v>89</v>
      </c>
      <c r="Q5" s="5">
        <f t="shared" si="16"/>
        <v>0.2557471264367816</v>
      </c>
      <c r="R5" s="5">
        <f t="shared" si="17"/>
        <v>0.63345966432051981</v>
      </c>
      <c r="S5" s="5">
        <f t="shared" si="18"/>
        <v>0.68218733080671357</v>
      </c>
      <c r="T5" s="5">
        <f t="shared" si="19"/>
        <v>4.8727666486193831E-2</v>
      </c>
      <c r="U5" s="6">
        <f t="shared" si="20"/>
        <v>2</v>
      </c>
      <c r="V5" s="24">
        <f t="shared" si="21"/>
        <v>923.5</v>
      </c>
      <c r="W5" s="21">
        <f t="shared" si="22"/>
        <v>9.7455332972387662E-2</v>
      </c>
      <c r="X5" s="2">
        <f t="shared" si="23"/>
        <v>13</v>
      </c>
      <c r="Y5" s="2">
        <f t="shared" si="24"/>
        <v>1</v>
      </c>
      <c r="Z5" s="2">
        <f t="shared" si="25"/>
        <v>14</v>
      </c>
      <c r="AA5" s="376">
        <f t="shared" si="26"/>
        <v>11</v>
      </c>
      <c r="AB5" s="376">
        <f t="shared" si="27"/>
        <v>2</v>
      </c>
      <c r="AC5" s="377">
        <f t="shared" si="28"/>
        <v>0</v>
      </c>
      <c r="AD5" s="6">
        <f t="shared" si="29"/>
        <v>13</v>
      </c>
      <c r="AE5" s="20">
        <f t="shared" si="30"/>
        <v>1</v>
      </c>
      <c r="AF5" s="20">
        <f t="shared" si="31"/>
        <v>7.1428571428571425E-2</v>
      </c>
      <c r="AG5" s="20">
        <f t="shared" si="32"/>
        <v>0</v>
      </c>
      <c r="AH5" s="5">
        <f t="shared" si="33"/>
        <v>0.63345966432051981</v>
      </c>
      <c r="AI5" s="5">
        <f t="shared" si="34"/>
        <v>4.8727666486193831E-2</v>
      </c>
      <c r="AJ5" s="5">
        <f t="shared" si="35"/>
        <v>0.68218733080671357</v>
      </c>
      <c r="AK5" s="5">
        <f t="shared" si="36"/>
        <v>0.63345966432051981</v>
      </c>
      <c r="AL5" s="6">
        <f t="shared" si="37"/>
        <v>11</v>
      </c>
      <c r="AM5" s="5">
        <f t="shared" si="38"/>
        <v>0.53600433134813208</v>
      </c>
      <c r="AN5" s="6">
        <f t="shared" si="39"/>
        <v>2</v>
      </c>
      <c r="AO5" s="5">
        <f t="shared" si="40"/>
        <v>9.7455332972387662E-2</v>
      </c>
      <c r="AP5" s="5">
        <f t="shared" si="41"/>
        <v>0.9</v>
      </c>
      <c r="AQ5" s="21">
        <f t="shared" si="42"/>
        <v>0.10828370330265295</v>
      </c>
      <c r="AR5" s="333">
        <f t="shared" si="43"/>
        <v>2</v>
      </c>
      <c r="AS5" s="334">
        <f t="shared" si="44"/>
        <v>9.7455332972387662E-2</v>
      </c>
      <c r="AT5" s="333">
        <f t="shared" si="45"/>
        <v>0</v>
      </c>
      <c r="AU5" s="334">
        <f t="shared" si="46"/>
        <v>0</v>
      </c>
      <c r="AV5" s="337">
        <f t="shared" si="47"/>
        <v>0</v>
      </c>
      <c r="AW5" s="348">
        <f t="shared" si="48"/>
        <v>0</v>
      </c>
      <c r="AX5" s="333">
        <f t="shared" si="49"/>
        <v>0</v>
      </c>
      <c r="AY5" s="333">
        <f t="shared" si="50"/>
        <v>0</v>
      </c>
      <c r="AZ5" s="351">
        <f t="shared" si="51"/>
        <v>0</v>
      </c>
      <c r="BA5" s="334">
        <f t="shared" si="52"/>
        <v>0</v>
      </c>
      <c r="BB5" s="20">
        <f t="shared" si="53"/>
        <v>1.0000000000000001E-5</v>
      </c>
      <c r="BC5" s="2">
        <f t="shared" si="54"/>
        <v>181</v>
      </c>
      <c r="BD5" s="2">
        <f t="shared" si="55"/>
        <v>77</v>
      </c>
      <c r="BE5" s="5">
        <f t="shared" si="56"/>
        <v>8.819707634001082</v>
      </c>
      <c r="BF5" s="5">
        <f t="shared" si="57"/>
        <v>3.7520303194369249</v>
      </c>
      <c r="BG5" s="2">
        <f t="shared" si="58"/>
        <v>104</v>
      </c>
      <c r="BH5" s="107">
        <f t="shared" si="59"/>
        <v>0.425414364640884</v>
      </c>
      <c r="BI5" s="107">
        <f t="shared" si="60"/>
        <v>0.574585635359116</v>
      </c>
      <c r="BJ5" s="360">
        <f t="shared" si="61"/>
        <v>22</v>
      </c>
      <c r="BK5" s="334">
        <f t="shared" si="62"/>
        <v>1.0720086626962642</v>
      </c>
      <c r="BL5" s="6">
        <f t="shared" si="63"/>
        <v>66</v>
      </c>
      <c r="BM5" s="5">
        <f t="shared" si="64"/>
        <v>3.2160259880887927</v>
      </c>
      <c r="BN5" s="6">
        <f t="shared" si="65"/>
        <v>40</v>
      </c>
      <c r="BO5" s="5">
        <f t="shared" si="66"/>
        <v>1.9491066594477531</v>
      </c>
      <c r="BP5" s="21">
        <f t="shared" si="67"/>
        <v>0.60606060606060608</v>
      </c>
      <c r="BQ5" s="5">
        <f t="shared" si="68"/>
        <v>5.0769230769230766</v>
      </c>
      <c r="BR5" s="5">
        <f t="shared" si="69"/>
        <v>3.0769230769230771</v>
      </c>
      <c r="BS5" s="5">
        <f t="shared" si="70"/>
        <v>19</v>
      </c>
      <c r="BT5" s="107">
        <f t="shared" si="71"/>
        <v>0.19696969696969696</v>
      </c>
      <c r="BU5" s="5">
        <f t="shared" si="72"/>
        <v>0.88358107684192677</v>
      </c>
      <c r="BV5" s="5">
        <f t="shared" si="73"/>
        <v>0.45414185165132648</v>
      </c>
      <c r="BW5" s="5">
        <f t="shared" si="74"/>
        <v>0.63345966432051981</v>
      </c>
      <c r="BX5" s="280">
        <f t="shared" si="75"/>
        <v>0.17931781266919333</v>
      </c>
      <c r="BY5" s="279">
        <f t="shared" si="76"/>
        <v>0.14121212121212121</v>
      </c>
      <c r="BZ5" s="5">
        <f t="shared" si="77"/>
        <v>27.984848484848484</v>
      </c>
      <c r="CA5" s="5">
        <f t="shared" si="78"/>
        <v>46.174999999999997</v>
      </c>
      <c r="CB5" s="5">
        <f t="shared" si="79"/>
        <v>142.07692307692307</v>
      </c>
      <c r="CC5" s="5">
        <f t="shared" si="80"/>
        <v>131.92857142857142</v>
      </c>
      <c r="CD5" s="5">
        <f t="shared" si="81"/>
        <v>3.6799999999999997</v>
      </c>
      <c r="CE5" s="5">
        <f t="shared" si="82"/>
        <v>3.6799999999999997</v>
      </c>
      <c r="CF5" s="5">
        <f t="shared" si="83"/>
        <v>9.32</v>
      </c>
      <c r="CG5" s="5">
        <f t="shared" si="84"/>
        <v>0.45414185165132648</v>
      </c>
      <c r="CH5" s="5">
        <f t="shared" si="85"/>
        <v>9.32</v>
      </c>
      <c r="CI5" s="5">
        <f t="shared" si="86"/>
        <v>0.45414185165132648</v>
      </c>
      <c r="CJ5" s="5">
        <f t="shared" si="87"/>
        <v>1.17</v>
      </c>
      <c r="CK5" s="5">
        <f t="shared" si="88"/>
        <v>5.7011369788846772E-2</v>
      </c>
      <c r="CL5" s="5">
        <f t="shared" si="89"/>
        <v>10.49</v>
      </c>
      <c r="CM5" s="5">
        <f t="shared" si="90"/>
        <v>0.51115322144017328</v>
      </c>
      <c r="CN5" s="21">
        <f t="shared" si="91"/>
        <v>0.58243727598566308</v>
      </c>
      <c r="CO5" s="6">
        <f t="shared" si="92"/>
        <v>28</v>
      </c>
      <c r="CP5" s="5">
        <f t="shared" si="93"/>
        <v>1.3643746616134271</v>
      </c>
      <c r="CQ5" s="5">
        <f t="shared" si="94"/>
        <v>1.17</v>
      </c>
      <c r="CR5" s="5">
        <f t="shared" si="95"/>
        <v>0.16999999999999993</v>
      </c>
      <c r="CS5" s="6">
        <f t="shared" si="96"/>
        <v>16</v>
      </c>
      <c r="CT5" s="5">
        <f t="shared" si="97"/>
        <v>0.7796426637791013</v>
      </c>
      <c r="CU5" s="6">
        <f t="shared" si="98"/>
        <v>2</v>
      </c>
      <c r="CV5" s="5">
        <f t="shared" si="99"/>
        <v>9.7455332972387662E-2</v>
      </c>
      <c r="CW5" s="21">
        <f t="shared" si="100"/>
        <v>0.125</v>
      </c>
      <c r="CX5" s="362">
        <f t="shared" si="101"/>
        <v>15</v>
      </c>
      <c r="CY5" s="363">
        <f t="shared" si="102"/>
        <v>0.73091499729290743</v>
      </c>
      <c r="CZ5" s="210">
        <f t="shared" si="103"/>
        <v>7.1239848402815378</v>
      </c>
      <c r="DA5" s="2">
        <f t="shared" si="104"/>
        <v>95</v>
      </c>
      <c r="DB5" s="5">
        <f t="shared" si="105"/>
        <v>4.6291283161884138</v>
      </c>
      <c r="DC5" s="2">
        <f t="shared" si="106"/>
        <v>25</v>
      </c>
      <c r="DD5" s="5">
        <f t="shared" si="107"/>
        <v>1.2181916621548456</v>
      </c>
      <c r="DE5" s="107">
        <f t="shared" si="108"/>
        <v>0.26315789473684209</v>
      </c>
      <c r="DF5" s="6">
        <f t="shared" si="109"/>
        <v>15</v>
      </c>
      <c r="DG5" s="5">
        <f t="shared" si="110"/>
        <v>0.73091499729290743</v>
      </c>
      <c r="DH5" s="6">
        <f t="shared" si="111"/>
        <v>22</v>
      </c>
      <c r="DI5" s="5">
        <f t="shared" si="112"/>
        <v>1.0720086626962642</v>
      </c>
      <c r="DJ5" s="5">
        <f t="shared" si="113"/>
        <v>219.3</v>
      </c>
      <c r="DK5" s="5">
        <f t="shared" si="114"/>
        <v>10.685977260422307</v>
      </c>
      <c r="DL5" s="333">
        <f t="shared" si="115"/>
        <v>141.60333333333335</v>
      </c>
      <c r="DM5" s="361">
        <f t="shared" si="116"/>
        <v>6.9</v>
      </c>
      <c r="DN5" s="6">
        <f t="shared" si="117"/>
        <v>367.32</v>
      </c>
      <c r="DO5" s="5">
        <f t="shared" si="118"/>
        <v>17.898646453708718</v>
      </c>
      <c r="DP5" s="6">
        <f t="shared" si="119"/>
        <v>119</v>
      </c>
      <c r="DQ5" s="5">
        <f t="shared" si="120"/>
        <v>5.7985923118570657</v>
      </c>
      <c r="DR5" s="211">
        <f t="shared" si="121"/>
        <v>227.79666666666665</v>
      </c>
      <c r="DS5" s="5">
        <f t="shared" si="122"/>
        <v>11.1</v>
      </c>
      <c r="DT5" s="21">
        <f t="shared" si="123"/>
        <v>0.32396820211259936</v>
      </c>
      <c r="DU5" s="6">
        <f t="shared" si="124"/>
        <v>80.17</v>
      </c>
      <c r="DV5" s="5">
        <f t="shared" si="125"/>
        <v>3.9064970221981592</v>
      </c>
      <c r="DW5" s="5">
        <f t="shared" si="126"/>
        <v>42.734163508391987</v>
      </c>
      <c r="DX5" s="181">
        <f t="shared" si="127"/>
        <v>125</v>
      </c>
      <c r="DY5" s="5">
        <f t="shared" si="128"/>
        <v>6.0909583107742282</v>
      </c>
      <c r="DZ5" s="6">
        <f t="shared" si="129"/>
        <v>85</v>
      </c>
      <c r="EA5" s="5">
        <f t="shared" si="130"/>
        <v>4.1418516513264754</v>
      </c>
      <c r="EB5" s="21">
        <f t="shared" si="131"/>
        <v>0.68</v>
      </c>
      <c r="EC5" s="6">
        <f t="shared" si="132"/>
        <v>206</v>
      </c>
      <c r="ED5" s="5">
        <f t="shared" si="133"/>
        <v>10.037899296155928</v>
      </c>
      <c r="EE5" s="6">
        <f t="shared" si="134"/>
        <v>94</v>
      </c>
      <c r="EF5" s="5">
        <f t="shared" si="135"/>
        <v>4.5804006497022201</v>
      </c>
      <c r="EG5" s="6">
        <f t="shared" si="136"/>
        <v>96</v>
      </c>
      <c r="EH5" s="5">
        <f t="shared" si="137"/>
        <v>4.6778559826746076</v>
      </c>
      <c r="EI5" s="5">
        <f t="shared" si="138"/>
        <v>11.1</v>
      </c>
      <c r="EJ5" s="5">
        <f t="shared" si="139"/>
        <v>6.91</v>
      </c>
      <c r="EK5" s="302" t="s">
        <v>19</v>
      </c>
      <c r="EL5" s="298" t="s">
        <v>13</v>
      </c>
      <c r="EM5" s="298" t="s">
        <v>1082</v>
      </c>
      <c r="EN5" s="298">
        <v>35</v>
      </c>
      <c r="EO5" s="298" t="s">
        <v>580</v>
      </c>
      <c r="EP5" s="298" t="s">
        <v>546</v>
      </c>
      <c r="EQ5" s="298" t="s">
        <v>644</v>
      </c>
      <c r="ER5" s="298" t="s">
        <v>921</v>
      </c>
      <c r="ES5" s="298" t="s">
        <v>681</v>
      </c>
      <c r="ET5" s="299">
        <v>46387</v>
      </c>
      <c r="EU5" s="298">
        <v>1847</v>
      </c>
      <c r="EV5" s="298" t="s">
        <v>980</v>
      </c>
      <c r="EW5" s="298">
        <v>2</v>
      </c>
      <c r="EX5" s="298">
        <v>13</v>
      </c>
      <c r="EY5" s="298">
        <v>1</v>
      </c>
      <c r="EZ5" s="298">
        <v>0</v>
      </c>
      <c r="FA5" s="298">
        <v>89</v>
      </c>
      <c r="FB5" s="298">
        <v>348</v>
      </c>
      <c r="FC5" s="298">
        <v>11.1</v>
      </c>
      <c r="FD5" s="298" t="s">
        <v>1096</v>
      </c>
      <c r="FE5" s="298" t="s">
        <v>1097</v>
      </c>
      <c r="FF5" s="298">
        <v>24</v>
      </c>
      <c r="FG5" s="298">
        <v>22</v>
      </c>
      <c r="FH5" s="298">
        <v>607</v>
      </c>
      <c r="FI5" s="298">
        <v>537</v>
      </c>
      <c r="FJ5" s="298">
        <v>28</v>
      </c>
      <c r="FK5" s="298">
        <v>25</v>
      </c>
      <c r="FL5" s="298">
        <v>15</v>
      </c>
      <c r="FM5" s="298">
        <v>66</v>
      </c>
      <c r="FN5" s="298">
        <v>40</v>
      </c>
      <c r="FO5" s="298">
        <v>181</v>
      </c>
      <c r="FP5" s="298">
        <v>77</v>
      </c>
      <c r="FQ5" s="298">
        <v>61</v>
      </c>
      <c r="FR5" s="298">
        <v>17</v>
      </c>
      <c r="FS5" s="298">
        <v>10</v>
      </c>
      <c r="FT5" s="298">
        <v>8</v>
      </c>
      <c r="FU5" s="298">
        <v>15</v>
      </c>
      <c r="FV5" s="298">
        <v>16</v>
      </c>
      <c r="FW5" s="298">
        <v>2</v>
      </c>
      <c r="FX5" s="298">
        <v>18</v>
      </c>
      <c r="FY5" s="298">
        <v>2</v>
      </c>
      <c r="FZ5" s="298">
        <v>2</v>
      </c>
      <c r="GA5" s="298">
        <v>0.9</v>
      </c>
      <c r="GB5" s="298">
        <v>0</v>
      </c>
      <c r="GC5" s="298">
        <v>22</v>
      </c>
      <c r="GD5" s="298">
        <v>0</v>
      </c>
      <c r="GE5" s="298">
        <v>0</v>
      </c>
      <c r="GF5" s="298">
        <v>6.9</v>
      </c>
      <c r="GG5" s="298" t="s">
        <v>1012</v>
      </c>
      <c r="GH5" s="303">
        <v>6.91</v>
      </c>
    </row>
    <row r="6" spans="1:190" ht="24.95" customHeight="1" thickBot="1" x14ac:dyDescent="0.3">
      <c r="A6" s="29" t="str">
        <f t="shared" si="0"/>
        <v>5º</v>
      </c>
      <c r="B6" s="69" t="str">
        <f t="shared" si="1"/>
        <v>Hulk</v>
      </c>
      <c r="C6" s="86" t="str">
        <f t="shared" si="2"/>
        <v>BRA</v>
      </c>
      <c r="D6" s="99" t="str">
        <f t="shared" si="3"/>
        <v>Pé Esquerdo</v>
      </c>
      <c r="E6" s="28" t="str">
        <f t="shared" si="4"/>
        <v>Atlético Mineiro</v>
      </c>
      <c r="F6" s="167">
        <f t="shared" si="5"/>
        <v>1.79</v>
      </c>
      <c r="G6" s="150">
        <f t="shared" si="6"/>
        <v>46387</v>
      </c>
      <c r="H6" s="169">
        <f t="shared" si="7"/>
        <v>40</v>
      </c>
      <c r="I6" s="203" t="str">
        <f t="shared" si="8"/>
        <v>375m € p/m</v>
      </c>
      <c r="J6" s="189" t="str">
        <f t="shared" si="9"/>
        <v>30m € - 300m €</v>
      </c>
      <c r="K6" s="96">
        <f t="shared" si="10"/>
        <v>23.671111111111109</v>
      </c>
      <c r="L6" s="146">
        <f t="shared" si="11"/>
        <v>31.744444444444444</v>
      </c>
      <c r="M6" s="146">
        <f t="shared" si="12"/>
        <v>32</v>
      </c>
      <c r="N6" s="146">
        <f t="shared" si="13"/>
        <v>89.28125</v>
      </c>
      <c r="O6" s="187">
        <f t="shared" si="14"/>
        <v>1</v>
      </c>
      <c r="P6" s="2">
        <f t="shared" si="15"/>
        <v>303</v>
      </c>
      <c r="Q6" s="5">
        <f t="shared" si="16"/>
        <v>0.5509090909090909</v>
      </c>
      <c r="R6" s="5">
        <f t="shared" si="17"/>
        <v>0.53552677633881696</v>
      </c>
      <c r="S6" s="5">
        <f t="shared" si="18"/>
        <v>0.66153307665383276</v>
      </c>
      <c r="T6" s="5">
        <f t="shared" si="19"/>
        <v>0.12600630031501575</v>
      </c>
      <c r="U6" s="6">
        <f t="shared" si="20"/>
        <v>2</v>
      </c>
      <c r="V6" s="24">
        <f t="shared" si="21"/>
        <v>1428.5</v>
      </c>
      <c r="W6" s="21">
        <f t="shared" si="22"/>
        <v>6.3003150157507876E-2</v>
      </c>
      <c r="X6" s="2">
        <f t="shared" si="23"/>
        <v>17</v>
      </c>
      <c r="Y6" s="2">
        <f t="shared" si="24"/>
        <v>4</v>
      </c>
      <c r="Z6" s="2">
        <f t="shared" si="25"/>
        <v>21</v>
      </c>
      <c r="AA6" s="376">
        <f t="shared" si="26"/>
        <v>9</v>
      </c>
      <c r="AB6" s="376">
        <f t="shared" si="27"/>
        <v>4</v>
      </c>
      <c r="AC6" s="377">
        <f t="shared" si="28"/>
        <v>3</v>
      </c>
      <c r="AD6" s="6">
        <f t="shared" si="29"/>
        <v>14</v>
      </c>
      <c r="AE6" s="20">
        <f t="shared" si="30"/>
        <v>0.82352941176470584</v>
      </c>
      <c r="AF6" s="20">
        <f t="shared" si="31"/>
        <v>0.19047619047619047</v>
      </c>
      <c r="AG6" s="20">
        <f t="shared" si="32"/>
        <v>0.14285714285714285</v>
      </c>
      <c r="AH6" s="5">
        <f t="shared" si="33"/>
        <v>0.53552677633881696</v>
      </c>
      <c r="AI6" s="5">
        <f t="shared" si="34"/>
        <v>0.12600630031501575</v>
      </c>
      <c r="AJ6" s="5">
        <f t="shared" si="35"/>
        <v>0.66153307665383276</v>
      </c>
      <c r="AK6" s="5">
        <f t="shared" si="36"/>
        <v>0.44102205110255516</v>
      </c>
      <c r="AL6" s="6">
        <f t="shared" si="37"/>
        <v>9</v>
      </c>
      <c r="AM6" s="5">
        <f t="shared" si="38"/>
        <v>0.28351417570878545</v>
      </c>
      <c r="AN6" s="6">
        <f t="shared" si="39"/>
        <v>4</v>
      </c>
      <c r="AO6" s="5">
        <f t="shared" si="40"/>
        <v>0.12600630031501575</v>
      </c>
      <c r="AP6" s="5">
        <f t="shared" si="41"/>
        <v>1.3</v>
      </c>
      <c r="AQ6" s="21">
        <f t="shared" si="42"/>
        <v>9.6927923319242881E-2</v>
      </c>
      <c r="AR6" s="333">
        <f t="shared" si="43"/>
        <v>50</v>
      </c>
      <c r="AS6" s="334">
        <f t="shared" si="44"/>
        <v>1.5750787539376969</v>
      </c>
      <c r="AT6" s="333">
        <f t="shared" si="45"/>
        <v>10</v>
      </c>
      <c r="AU6" s="334">
        <f t="shared" si="46"/>
        <v>0.31501575078753941</v>
      </c>
      <c r="AV6" s="337">
        <f t="shared" si="47"/>
        <v>0.2</v>
      </c>
      <c r="AW6" s="348">
        <f t="shared" si="48"/>
        <v>11</v>
      </c>
      <c r="AX6" s="333">
        <f t="shared" si="49"/>
        <v>4</v>
      </c>
      <c r="AY6" s="333">
        <f t="shared" si="50"/>
        <v>3</v>
      </c>
      <c r="AZ6" s="351">
        <f t="shared" si="51"/>
        <v>1</v>
      </c>
      <c r="BA6" s="334">
        <f t="shared" si="52"/>
        <v>9.4504725236261813E-2</v>
      </c>
      <c r="BB6" s="20">
        <f t="shared" si="53"/>
        <v>0.75</v>
      </c>
      <c r="BC6" s="2">
        <f t="shared" si="54"/>
        <v>187</v>
      </c>
      <c r="BD6" s="2">
        <f t="shared" si="55"/>
        <v>31</v>
      </c>
      <c r="BE6" s="5">
        <f t="shared" si="56"/>
        <v>5.8907945397269863</v>
      </c>
      <c r="BF6" s="5">
        <f t="shared" si="57"/>
        <v>0.97654882744137206</v>
      </c>
      <c r="BG6" s="2">
        <f t="shared" si="58"/>
        <v>156</v>
      </c>
      <c r="BH6" s="107">
        <f t="shared" si="59"/>
        <v>0.16577540106951871</v>
      </c>
      <c r="BI6" s="107">
        <f t="shared" si="60"/>
        <v>0.83422459893048129</v>
      </c>
      <c r="BJ6" s="360">
        <f t="shared" si="61"/>
        <v>28</v>
      </c>
      <c r="BK6" s="334">
        <f t="shared" si="62"/>
        <v>0.88204410220511031</v>
      </c>
      <c r="BL6" s="6">
        <f t="shared" si="63"/>
        <v>97</v>
      </c>
      <c r="BM6" s="5">
        <f t="shared" si="64"/>
        <v>3.055652782639132</v>
      </c>
      <c r="BN6" s="6">
        <f t="shared" si="65"/>
        <v>39</v>
      </c>
      <c r="BO6" s="5">
        <f t="shared" si="66"/>
        <v>1.2285614280714037</v>
      </c>
      <c r="BP6" s="21">
        <f t="shared" si="67"/>
        <v>0.40206185567010311</v>
      </c>
      <c r="BQ6" s="5">
        <f t="shared" si="68"/>
        <v>6.6428571428571432</v>
      </c>
      <c r="BR6" s="5">
        <f t="shared" si="69"/>
        <v>2.5</v>
      </c>
      <c r="BS6" s="5">
        <f t="shared" si="70"/>
        <v>20</v>
      </c>
      <c r="BT6" s="107">
        <f t="shared" si="71"/>
        <v>0.15053763440860216</v>
      </c>
      <c r="BU6" s="5">
        <f t="shared" si="72"/>
        <v>0.51754473725362715</v>
      </c>
      <c r="BV6" s="5">
        <f t="shared" si="73"/>
        <v>0.47535876793839693</v>
      </c>
      <c r="BW6" s="5">
        <f t="shared" si="74"/>
        <v>0.53552677633881696</v>
      </c>
      <c r="BX6" s="280">
        <f t="shared" si="75"/>
        <v>6.0168008400420026E-2</v>
      </c>
      <c r="BY6" s="279">
        <f t="shared" si="76"/>
        <v>0.12827956989247311</v>
      </c>
      <c r="BZ6" s="5">
        <f t="shared" si="77"/>
        <v>29.453608247422679</v>
      </c>
      <c r="CA6" s="5">
        <f t="shared" si="78"/>
        <v>73.256410256410263</v>
      </c>
      <c r="CB6" s="5">
        <f t="shared" si="79"/>
        <v>168.05882352941177</v>
      </c>
      <c r="CC6" s="5">
        <f t="shared" si="80"/>
        <v>136.04761904761904</v>
      </c>
      <c r="CD6" s="5">
        <f t="shared" si="81"/>
        <v>1.9100000000000001</v>
      </c>
      <c r="CE6" s="5">
        <f t="shared" si="82"/>
        <v>2.0700000000000003</v>
      </c>
      <c r="CF6" s="5">
        <f t="shared" si="83"/>
        <v>15.09</v>
      </c>
      <c r="CG6" s="5">
        <f t="shared" si="84"/>
        <v>0.47535876793839693</v>
      </c>
      <c r="CH6" s="5">
        <f t="shared" si="85"/>
        <v>11.93</v>
      </c>
      <c r="CI6" s="5">
        <f t="shared" si="86"/>
        <v>0.37581379068953447</v>
      </c>
      <c r="CJ6" s="5">
        <f t="shared" si="87"/>
        <v>6.66</v>
      </c>
      <c r="CK6" s="5">
        <f t="shared" si="88"/>
        <v>0.20980049002450124</v>
      </c>
      <c r="CL6" s="5">
        <f t="shared" si="89"/>
        <v>18.59</v>
      </c>
      <c r="CM6" s="5">
        <f t="shared" si="90"/>
        <v>0.58561428071403576</v>
      </c>
      <c r="CN6" s="21">
        <f t="shared" si="91"/>
        <v>0.52976004985976932</v>
      </c>
      <c r="CO6" s="6">
        <f t="shared" si="92"/>
        <v>47</v>
      </c>
      <c r="CP6" s="5">
        <f t="shared" si="93"/>
        <v>1.4805740287014351</v>
      </c>
      <c r="CQ6" s="5">
        <f t="shared" si="94"/>
        <v>6.66</v>
      </c>
      <c r="CR6" s="5">
        <f t="shared" si="95"/>
        <v>2.66</v>
      </c>
      <c r="CS6" s="6">
        <f t="shared" si="96"/>
        <v>14</v>
      </c>
      <c r="CT6" s="5">
        <f t="shared" si="97"/>
        <v>0.44102205110255516</v>
      </c>
      <c r="CU6" s="6">
        <f t="shared" si="98"/>
        <v>5</v>
      </c>
      <c r="CV6" s="5">
        <f t="shared" si="99"/>
        <v>0.1575078753937697</v>
      </c>
      <c r="CW6" s="21">
        <f t="shared" si="100"/>
        <v>0.35714285714285715</v>
      </c>
      <c r="CX6" s="362">
        <f t="shared" si="101"/>
        <v>36</v>
      </c>
      <c r="CY6" s="363">
        <f t="shared" si="102"/>
        <v>1.1340567028351418</v>
      </c>
      <c r="CZ6" s="210">
        <f t="shared" si="103"/>
        <v>7.4763738186909352</v>
      </c>
      <c r="DA6" s="2">
        <f t="shared" si="104"/>
        <v>105</v>
      </c>
      <c r="DB6" s="5">
        <f t="shared" si="105"/>
        <v>3.3076653832691636</v>
      </c>
      <c r="DC6" s="2">
        <f t="shared" si="106"/>
        <v>19</v>
      </c>
      <c r="DD6" s="5">
        <f t="shared" si="107"/>
        <v>0.59852992649632486</v>
      </c>
      <c r="DE6" s="107">
        <f t="shared" si="108"/>
        <v>0.18095238095238095</v>
      </c>
      <c r="DF6" s="6">
        <f t="shared" si="109"/>
        <v>33</v>
      </c>
      <c r="DG6" s="5">
        <f t="shared" si="110"/>
        <v>1.03955197759888</v>
      </c>
      <c r="DH6" s="6">
        <f t="shared" si="111"/>
        <v>30</v>
      </c>
      <c r="DI6" s="5">
        <f t="shared" si="112"/>
        <v>0.94504725236261811</v>
      </c>
      <c r="DJ6" s="5">
        <f t="shared" si="113"/>
        <v>356</v>
      </c>
      <c r="DK6" s="5">
        <f t="shared" si="114"/>
        <v>11.214560728036401</v>
      </c>
      <c r="DL6" s="333">
        <f t="shared" si="115"/>
        <v>257.13</v>
      </c>
      <c r="DM6" s="361">
        <f t="shared" si="116"/>
        <v>8.1</v>
      </c>
      <c r="DN6" s="6">
        <f t="shared" si="117"/>
        <v>483.09</v>
      </c>
      <c r="DO6" s="5">
        <f t="shared" si="118"/>
        <v>15.21809590479524</v>
      </c>
      <c r="DP6" s="6">
        <f t="shared" si="119"/>
        <v>176</v>
      </c>
      <c r="DQ6" s="5">
        <f t="shared" si="120"/>
        <v>5.5442772138606928</v>
      </c>
      <c r="DR6" s="211">
        <f t="shared" si="121"/>
        <v>276.17666666666662</v>
      </c>
      <c r="DS6" s="5">
        <f t="shared" si="122"/>
        <v>8.6999999999999993</v>
      </c>
      <c r="DT6" s="21">
        <f t="shared" si="123"/>
        <v>0.36432134798898758</v>
      </c>
      <c r="DU6" s="6">
        <f t="shared" si="124"/>
        <v>124.16</v>
      </c>
      <c r="DV6" s="5">
        <f t="shared" si="125"/>
        <v>3.911235561778089</v>
      </c>
      <c r="DW6" s="5">
        <f t="shared" si="126"/>
        <v>36.825341267063351</v>
      </c>
      <c r="DX6" s="181">
        <f t="shared" si="127"/>
        <v>194</v>
      </c>
      <c r="DY6" s="5">
        <f t="shared" si="128"/>
        <v>6.111305565278264</v>
      </c>
      <c r="DZ6" s="6">
        <f t="shared" si="129"/>
        <v>127</v>
      </c>
      <c r="EA6" s="5">
        <f t="shared" si="130"/>
        <v>4.0007000350017501</v>
      </c>
      <c r="EB6" s="21">
        <f t="shared" si="131"/>
        <v>0.65463917525773196</v>
      </c>
      <c r="EC6" s="6">
        <f t="shared" si="132"/>
        <v>298</v>
      </c>
      <c r="ED6" s="5">
        <f t="shared" si="133"/>
        <v>9.387469373468674</v>
      </c>
      <c r="EE6" s="6">
        <f t="shared" si="134"/>
        <v>156</v>
      </c>
      <c r="EF6" s="5">
        <f t="shared" si="135"/>
        <v>4.9142457122856147</v>
      </c>
      <c r="EG6" s="6">
        <f t="shared" si="136"/>
        <v>158</v>
      </c>
      <c r="EH6" s="5">
        <f t="shared" si="137"/>
        <v>4.9772488624431226</v>
      </c>
      <c r="EI6" s="5">
        <f t="shared" si="138"/>
        <v>8.6999999999999993</v>
      </c>
      <c r="EJ6" s="5">
        <f t="shared" si="139"/>
        <v>6.92</v>
      </c>
      <c r="EK6" s="300" t="s">
        <v>19</v>
      </c>
      <c r="EL6" s="296" t="s">
        <v>13</v>
      </c>
      <c r="EM6" s="296" t="s">
        <v>819</v>
      </c>
      <c r="EN6" s="296">
        <v>40</v>
      </c>
      <c r="EO6" s="296" t="s">
        <v>557</v>
      </c>
      <c r="EP6" s="296" t="s">
        <v>617</v>
      </c>
      <c r="EQ6" s="296" t="s">
        <v>652</v>
      </c>
      <c r="ER6" s="296" t="s">
        <v>761</v>
      </c>
      <c r="ES6" s="296" t="s">
        <v>820</v>
      </c>
      <c r="ET6" s="297">
        <v>46387</v>
      </c>
      <c r="EU6" s="296">
        <v>2857</v>
      </c>
      <c r="EV6" s="296">
        <v>32</v>
      </c>
      <c r="EW6" s="296">
        <v>2</v>
      </c>
      <c r="EX6" s="296">
        <v>17</v>
      </c>
      <c r="EY6" s="296">
        <v>4</v>
      </c>
      <c r="EZ6" s="296">
        <v>12</v>
      </c>
      <c r="FA6" s="296">
        <v>303</v>
      </c>
      <c r="FB6" s="296">
        <v>550</v>
      </c>
      <c r="FC6" s="296">
        <v>8.6999999999999993</v>
      </c>
      <c r="FD6" s="296" t="s">
        <v>1090</v>
      </c>
      <c r="FE6" s="296" t="s">
        <v>825</v>
      </c>
      <c r="FF6" s="296">
        <v>39</v>
      </c>
      <c r="FG6" s="296">
        <v>30</v>
      </c>
      <c r="FH6" s="296">
        <v>840</v>
      </c>
      <c r="FI6" s="296">
        <v>740</v>
      </c>
      <c r="FJ6" s="296">
        <v>47</v>
      </c>
      <c r="FK6" s="296">
        <v>35</v>
      </c>
      <c r="FL6" s="296">
        <v>36</v>
      </c>
      <c r="FM6" s="296">
        <v>97</v>
      </c>
      <c r="FN6" s="296">
        <v>39</v>
      </c>
      <c r="FO6" s="296">
        <v>187</v>
      </c>
      <c r="FP6" s="296">
        <v>31</v>
      </c>
      <c r="FQ6" s="296">
        <v>53</v>
      </c>
      <c r="FR6" s="296">
        <v>14</v>
      </c>
      <c r="FS6" s="296">
        <v>13</v>
      </c>
      <c r="FT6" s="296">
        <v>5</v>
      </c>
      <c r="FU6" s="296">
        <v>33</v>
      </c>
      <c r="FV6" s="296">
        <v>14</v>
      </c>
      <c r="FW6" s="296">
        <v>5</v>
      </c>
      <c r="FX6" s="296">
        <v>64</v>
      </c>
      <c r="FY6" s="296">
        <v>15</v>
      </c>
      <c r="FZ6" s="296">
        <v>4</v>
      </c>
      <c r="GA6" s="296">
        <v>1.3</v>
      </c>
      <c r="GB6" s="296">
        <v>11</v>
      </c>
      <c r="GC6" s="296">
        <v>28</v>
      </c>
      <c r="GD6" s="296">
        <v>4</v>
      </c>
      <c r="GE6" s="296">
        <v>3</v>
      </c>
      <c r="GF6" s="296">
        <v>8.1</v>
      </c>
      <c r="GG6" s="296" t="s">
        <v>1075</v>
      </c>
      <c r="GH6" s="301">
        <v>6.92</v>
      </c>
    </row>
    <row r="7" spans="1:190" ht="24.95" customHeight="1" thickBot="1" x14ac:dyDescent="0.3">
      <c r="A7" s="29" t="str">
        <f t="shared" si="0"/>
        <v>6º</v>
      </c>
      <c r="B7" s="69" t="str">
        <f t="shared" si="1"/>
        <v>João Pedro</v>
      </c>
      <c r="C7" s="86" t="str">
        <f t="shared" si="2"/>
        <v>GNB</v>
      </c>
      <c r="D7" s="99" t="str">
        <f t="shared" si="3"/>
        <v>Pé Direito</v>
      </c>
      <c r="E7" s="28" t="str">
        <f t="shared" si="4"/>
        <v>Remo</v>
      </c>
      <c r="F7" s="167">
        <f t="shared" si="5"/>
        <v>1.85</v>
      </c>
      <c r="G7" s="150">
        <f t="shared" si="6"/>
        <v>47118</v>
      </c>
      <c r="H7" s="169">
        <f t="shared" si="7"/>
        <v>29</v>
      </c>
      <c r="I7" s="203" t="str">
        <f t="shared" si="8"/>
        <v>8,5m € p/m</v>
      </c>
      <c r="J7" s="189" t="str">
        <f t="shared" si="9"/>
        <v>90m € - 300m €</v>
      </c>
      <c r="K7" s="96">
        <f t="shared" si="10"/>
        <v>23.671111111111109</v>
      </c>
      <c r="L7" s="146">
        <f t="shared" si="11"/>
        <v>35.544444444444444</v>
      </c>
      <c r="M7" s="146">
        <f t="shared" si="12"/>
        <v>45</v>
      </c>
      <c r="N7" s="146">
        <f t="shared" si="13"/>
        <v>71.088888888888889</v>
      </c>
      <c r="O7" s="187">
        <f t="shared" si="14"/>
        <v>0.8</v>
      </c>
      <c r="P7" s="2">
        <f t="shared" si="15"/>
        <v>77</v>
      </c>
      <c r="Q7" s="5">
        <f t="shared" si="16"/>
        <v>0.23333333333333334</v>
      </c>
      <c r="R7" s="5">
        <f t="shared" si="17"/>
        <v>0.42200687714910912</v>
      </c>
      <c r="S7" s="5">
        <f t="shared" si="18"/>
        <v>0.70334479524851512</v>
      </c>
      <c r="T7" s="5">
        <f t="shared" si="19"/>
        <v>0.28133791809940606</v>
      </c>
      <c r="U7" s="6">
        <f t="shared" si="20"/>
        <v>4</v>
      </c>
      <c r="V7" s="24">
        <f t="shared" si="21"/>
        <v>799.75</v>
      </c>
      <c r="W7" s="21">
        <f t="shared" si="22"/>
        <v>0.11253516723976242</v>
      </c>
      <c r="X7" s="2">
        <f t="shared" si="23"/>
        <v>15</v>
      </c>
      <c r="Y7" s="2">
        <f t="shared" si="24"/>
        <v>10</v>
      </c>
      <c r="Z7" s="2">
        <f t="shared" si="25"/>
        <v>25</v>
      </c>
      <c r="AA7" s="376">
        <f t="shared" si="26"/>
        <v>8</v>
      </c>
      <c r="AB7" s="376">
        <f t="shared" si="27"/>
        <v>3</v>
      </c>
      <c r="AC7" s="377">
        <f t="shared" si="28"/>
        <v>3</v>
      </c>
      <c r="AD7" s="6">
        <f t="shared" si="29"/>
        <v>12</v>
      </c>
      <c r="AE7" s="20">
        <f t="shared" si="30"/>
        <v>0.8</v>
      </c>
      <c r="AF7" s="20">
        <f t="shared" si="31"/>
        <v>0.4</v>
      </c>
      <c r="AG7" s="20">
        <f t="shared" si="32"/>
        <v>0.12</v>
      </c>
      <c r="AH7" s="5">
        <f t="shared" si="33"/>
        <v>0.42200687714910912</v>
      </c>
      <c r="AI7" s="5">
        <f t="shared" si="34"/>
        <v>0.28133791809940606</v>
      </c>
      <c r="AJ7" s="5">
        <f t="shared" si="35"/>
        <v>0.70334479524851512</v>
      </c>
      <c r="AK7" s="5">
        <f t="shared" si="36"/>
        <v>0.33760550171928727</v>
      </c>
      <c r="AL7" s="6">
        <f t="shared" si="37"/>
        <v>8</v>
      </c>
      <c r="AM7" s="5">
        <f t="shared" si="38"/>
        <v>0.22507033447952485</v>
      </c>
      <c r="AN7" s="6">
        <f t="shared" si="39"/>
        <v>3</v>
      </c>
      <c r="AO7" s="5">
        <f t="shared" si="40"/>
        <v>8.4401375429821818E-2</v>
      </c>
      <c r="AP7" s="5">
        <f t="shared" si="41"/>
        <v>0.8</v>
      </c>
      <c r="AQ7" s="21">
        <f t="shared" si="42"/>
        <v>0.10550171928727727</v>
      </c>
      <c r="AR7" s="333">
        <f t="shared" si="43"/>
        <v>0</v>
      </c>
      <c r="AS7" s="334">
        <f t="shared" si="44"/>
        <v>0</v>
      </c>
      <c r="AT7" s="333">
        <f t="shared" si="45"/>
        <v>0</v>
      </c>
      <c r="AU7" s="334">
        <f t="shared" si="46"/>
        <v>0</v>
      </c>
      <c r="AV7" s="337">
        <f t="shared" si="47"/>
        <v>0</v>
      </c>
      <c r="AW7" s="348">
        <f t="shared" si="48"/>
        <v>1</v>
      </c>
      <c r="AX7" s="333">
        <f t="shared" si="49"/>
        <v>4</v>
      </c>
      <c r="AY7" s="333">
        <f t="shared" si="50"/>
        <v>3</v>
      </c>
      <c r="AZ7" s="351">
        <f t="shared" si="51"/>
        <v>1</v>
      </c>
      <c r="BA7" s="334">
        <f t="shared" si="52"/>
        <v>8.4401375429821818E-2</v>
      </c>
      <c r="BB7" s="20">
        <f t="shared" si="53"/>
        <v>0.75</v>
      </c>
      <c r="BC7" s="2">
        <f t="shared" si="54"/>
        <v>294</v>
      </c>
      <c r="BD7" s="2">
        <f t="shared" si="55"/>
        <v>108</v>
      </c>
      <c r="BE7" s="5">
        <f t="shared" si="56"/>
        <v>8.2713347921225377</v>
      </c>
      <c r="BF7" s="5">
        <f t="shared" si="57"/>
        <v>3.0384495154735855</v>
      </c>
      <c r="BG7" s="2">
        <f t="shared" si="58"/>
        <v>186</v>
      </c>
      <c r="BH7" s="107">
        <f t="shared" si="59"/>
        <v>0.36734693877551022</v>
      </c>
      <c r="BI7" s="107">
        <f t="shared" si="60"/>
        <v>0.63265306122448983</v>
      </c>
      <c r="BJ7" s="360">
        <f t="shared" si="61"/>
        <v>36</v>
      </c>
      <c r="BK7" s="334">
        <f t="shared" si="62"/>
        <v>1.0128165051578619</v>
      </c>
      <c r="BL7" s="6">
        <f t="shared" si="63"/>
        <v>94</v>
      </c>
      <c r="BM7" s="5">
        <f t="shared" si="64"/>
        <v>2.6445764301344172</v>
      </c>
      <c r="BN7" s="6">
        <f t="shared" si="65"/>
        <v>45</v>
      </c>
      <c r="BO7" s="5">
        <f t="shared" si="66"/>
        <v>1.2660206314473272</v>
      </c>
      <c r="BP7" s="21">
        <f t="shared" si="67"/>
        <v>0.47872340425531917</v>
      </c>
      <c r="BQ7" s="5">
        <f t="shared" si="68"/>
        <v>7.5</v>
      </c>
      <c r="BR7" s="5">
        <f t="shared" si="69"/>
        <v>3.4166666666666665</v>
      </c>
      <c r="BS7" s="5">
        <f t="shared" si="70"/>
        <v>32</v>
      </c>
      <c r="BT7" s="107">
        <f t="shared" si="71"/>
        <v>0.13333333333333333</v>
      </c>
      <c r="BU7" s="5">
        <f t="shared" si="72"/>
        <v>0.42644905480331019</v>
      </c>
      <c r="BV7" s="5">
        <f t="shared" si="73"/>
        <v>0.3561738043138481</v>
      </c>
      <c r="BW7" s="5">
        <f t="shared" si="74"/>
        <v>0.42200687714910912</v>
      </c>
      <c r="BX7" s="280">
        <f t="shared" si="75"/>
        <v>6.5833072835261019E-2</v>
      </c>
      <c r="BY7" s="279">
        <f t="shared" si="76"/>
        <v>0.10555555555555556</v>
      </c>
      <c r="BZ7" s="5">
        <f t="shared" si="77"/>
        <v>34.031914893617021</v>
      </c>
      <c r="CA7" s="5">
        <f t="shared" si="78"/>
        <v>71.088888888888889</v>
      </c>
      <c r="CB7" s="5">
        <f t="shared" si="79"/>
        <v>213.26666666666668</v>
      </c>
      <c r="CC7" s="5">
        <f t="shared" si="80"/>
        <v>127.96</v>
      </c>
      <c r="CD7" s="5">
        <f t="shared" si="81"/>
        <v>2.34</v>
      </c>
      <c r="CE7" s="5">
        <f t="shared" si="82"/>
        <v>2.5</v>
      </c>
      <c r="CF7" s="5">
        <f t="shared" si="83"/>
        <v>12.66</v>
      </c>
      <c r="CG7" s="5">
        <f t="shared" si="84"/>
        <v>0.3561738043138481</v>
      </c>
      <c r="CH7" s="5">
        <f t="shared" si="85"/>
        <v>9.5</v>
      </c>
      <c r="CI7" s="5">
        <f t="shared" si="86"/>
        <v>0.26727102219443577</v>
      </c>
      <c r="CJ7" s="5">
        <f t="shared" si="87"/>
        <v>7.55</v>
      </c>
      <c r="CK7" s="5">
        <f t="shared" si="88"/>
        <v>0.21241012816505159</v>
      </c>
      <c r="CL7" s="5">
        <f t="shared" si="89"/>
        <v>17.05</v>
      </c>
      <c r="CM7" s="5">
        <f t="shared" si="90"/>
        <v>0.47968115035948738</v>
      </c>
      <c r="CN7" s="21">
        <f t="shared" si="91"/>
        <v>0.54229934924078094</v>
      </c>
      <c r="CO7" s="6">
        <f t="shared" si="92"/>
        <v>50</v>
      </c>
      <c r="CP7" s="5">
        <f t="shared" si="93"/>
        <v>1.4066895904970302</v>
      </c>
      <c r="CQ7" s="5">
        <f t="shared" si="94"/>
        <v>7.55</v>
      </c>
      <c r="CR7" s="5">
        <f t="shared" si="95"/>
        <v>-2.4500000000000002</v>
      </c>
      <c r="CS7" s="6">
        <f t="shared" si="96"/>
        <v>42</v>
      </c>
      <c r="CT7" s="5">
        <f t="shared" si="97"/>
        <v>1.1816192560175054</v>
      </c>
      <c r="CU7" s="6">
        <f t="shared" si="98"/>
        <v>13</v>
      </c>
      <c r="CV7" s="5">
        <f t="shared" si="99"/>
        <v>0.3657392935292279</v>
      </c>
      <c r="CW7" s="21">
        <f t="shared" si="100"/>
        <v>0.30952380952380953</v>
      </c>
      <c r="CX7" s="362">
        <f t="shared" si="101"/>
        <v>30</v>
      </c>
      <c r="CY7" s="363">
        <f t="shared" si="102"/>
        <v>0.84401375429821823</v>
      </c>
      <c r="CZ7" s="210">
        <f t="shared" si="103"/>
        <v>7.2472647702406991</v>
      </c>
      <c r="DA7" s="2">
        <f t="shared" si="104"/>
        <v>173</v>
      </c>
      <c r="DB7" s="5">
        <f t="shared" si="105"/>
        <v>4.867145983119725</v>
      </c>
      <c r="DC7" s="2">
        <f t="shared" si="106"/>
        <v>37</v>
      </c>
      <c r="DD7" s="5">
        <f t="shared" si="107"/>
        <v>1.0409502969678024</v>
      </c>
      <c r="DE7" s="107">
        <f t="shared" si="108"/>
        <v>0.2138728323699422</v>
      </c>
      <c r="DF7" s="6">
        <f t="shared" si="109"/>
        <v>31</v>
      </c>
      <c r="DG7" s="5">
        <f t="shared" si="110"/>
        <v>0.87214754610815881</v>
      </c>
      <c r="DH7" s="6">
        <f t="shared" si="111"/>
        <v>28</v>
      </c>
      <c r="DI7" s="5">
        <f t="shared" si="112"/>
        <v>0.78774617067833697</v>
      </c>
      <c r="DJ7" s="5">
        <f t="shared" si="113"/>
        <v>386.4</v>
      </c>
      <c r="DK7" s="5">
        <f t="shared" si="114"/>
        <v>10.87089715536105</v>
      </c>
      <c r="DL7" s="333">
        <f t="shared" si="115"/>
        <v>231.03888888888889</v>
      </c>
      <c r="DM7" s="361">
        <f t="shared" si="116"/>
        <v>6.5</v>
      </c>
      <c r="DN7" s="6">
        <f t="shared" si="117"/>
        <v>595.66</v>
      </c>
      <c r="DO7" s="5">
        <f t="shared" si="118"/>
        <v>16.758174429509221</v>
      </c>
      <c r="DP7" s="6">
        <f t="shared" si="119"/>
        <v>181</v>
      </c>
      <c r="DQ7" s="5">
        <f t="shared" si="120"/>
        <v>5.0922163175992496</v>
      </c>
      <c r="DR7" s="211">
        <f t="shared" si="121"/>
        <v>387.43444444444447</v>
      </c>
      <c r="DS7" s="5">
        <f t="shared" si="122"/>
        <v>10.9</v>
      </c>
      <c r="DT7" s="21">
        <f t="shared" si="123"/>
        <v>0.30386462075680759</v>
      </c>
      <c r="DU7" s="6">
        <f t="shared" si="124"/>
        <v>148.05000000000001</v>
      </c>
      <c r="DV7" s="5">
        <f t="shared" si="125"/>
        <v>4.1652078774617074</v>
      </c>
      <c r="DW7" s="5">
        <f t="shared" si="126"/>
        <v>50.809628008752739</v>
      </c>
      <c r="DX7" s="181">
        <f t="shared" si="127"/>
        <v>216</v>
      </c>
      <c r="DY7" s="5">
        <f t="shared" si="128"/>
        <v>6.0768990309471711</v>
      </c>
      <c r="DZ7" s="6">
        <f t="shared" si="129"/>
        <v>138</v>
      </c>
      <c r="EA7" s="5">
        <f t="shared" si="130"/>
        <v>3.8824632697718036</v>
      </c>
      <c r="EB7" s="21">
        <f t="shared" si="131"/>
        <v>0.63888888888888884</v>
      </c>
      <c r="EC7" s="6">
        <f t="shared" si="132"/>
        <v>373</v>
      </c>
      <c r="ED7" s="5">
        <f t="shared" si="133"/>
        <v>10.493904345107847</v>
      </c>
      <c r="EE7" s="6">
        <f t="shared" si="134"/>
        <v>161</v>
      </c>
      <c r="EF7" s="5">
        <f t="shared" si="135"/>
        <v>4.5295404814004376</v>
      </c>
      <c r="EG7" s="6">
        <f t="shared" si="136"/>
        <v>206</v>
      </c>
      <c r="EH7" s="5">
        <f t="shared" si="137"/>
        <v>5.7955611128477651</v>
      </c>
      <c r="EI7" s="5">
        <f t="shared" si="138"/>
        <v>10.9</v>
      </c>
      <c r="EJ7" s="5">
        <f t="shared" si="139"/>
        <v>7.07</v>
      </c>
      <c r="EK7" s="300"/>
      <c r="EL7" s="296" t="s">
        <v>822</v>
      </c>
      <c r="EM7" s="296" t="s">
        <v>585</v>
      </c>
      <c r="EN7" s="296">
        <v>29</v>
      </c>
      <c r="EO7" s="296" t="s">
        <v>558</v>
      </c>
      <c r="EP7" s="296" t="s">
        <v>587</v>
      </c>
      <c r="EQ7" s="296" t="s">
        <v>644</v>
      </c>
      <c r="ER7" s="296" t="s">
        <v>1078</v>
      </c>
      <c r="ES7" s="296" t="s">
        <v>762</v>
      </c>
      <c r="ET7" s="297">
        <v>47118</v>
      </c>
      <c r="EU7" s="296">
        <v>3199</v>
      </c>
      <c r="EV7" s="296" t="s">
        <v>1079</v>
      </c>
      <c r="EW7" s="296">
        <v>4</v>
      </c>
      <c r="EX7" s="296">
        <v>15</v>
      </c>
      <c r="EY7" s="296">
        <v>10</v>
      </c>
      <c r="EZ7" s="296">
        <v>17</v>
      </c>
      <c r="FA7" s="296">
        <v>77</v>
      </c>
      <c r="FB7" s="296">
        <v>330</v>
      </c>
      <c r="FC7" s="296">
        <v>10.9</v>
      </c>
      <c r="FD7" s="296" t="s">
        <v>1093</v>
      </c>
      <c r="FE7" s="296" t="s">
        <v>1094</v>
      </c>
      <c r="FF7" s="296">
        <v>47</v>
      </c>
      <c r="FG7" s="296">
        <v>28</v>
      </c>
      <c r="FH7" s="296">
        <v>1373</v>
      </c>
      <c r="FI7" s="296">
        <v>1216</v>
      </c>
      <c r="FJ7" s="296">
        <v>50</v>
      </c>
      <c r="FK7" s="296">
        <v>40</v>
      </c>
      <c r="FL7" s="296">
        <v>30</v>
      </c>
      <c r="FM7" s="296">
        <v>94</v>
      </c>
      <c r="FN7" s="296">
        <v>45</v>
      </c>
      <c r="FO7" s="296">
        <v>294</v>
      </c>
      <c r="FP7" s="296">
        <v>108</v>
      </c>
      <c r="FQ7" s="296">
        <v>109</v>
      </c>
      <c r="FR7" s="296">
        <v>26</v>
      </c>
      <c r="FS7" s="296">
        <v>17</v>
      </c>
      <c r="FT7" s="296">
        <v>11</v>
      </c>
      <c r="FU7" s="296">
        <v>31</v>
      </c>
      <c r="FV7" s="296">
        <v>42</v>
      </c>
      <c r="FW7" s="296">
        <v>13</v>
      </c>
      <c r="FX7" s="296">
        <v>42</v>
      </c>
      <c r="FY7" s="296">
        <v>13</v>
      </c>
      <c r="FZ7" s="296">
        <v>3</v>
      </c>
      <c r="GA7" s="296">
        <v>0.8</v>
      </c>
      <c r="GB7" s="296">
        <v>1</v>
      </c>
      <c r="GC7" s="296">
        <v>36</v>
      </c>
      <c r="GD7" s="296">
        <v>4</v>
      </c>
      <c r="GE7" s="296">
        <v>3</v>
      </c>
      <c r="GF7" s="296">
        <v>6.5</v>
      </c>
      <c r="GG7" s="296" t="s">
        <v>1080</v>
      </c>
      <c r="GH7" s="301">
        <v>7.07</v>
      </c>
    </row>
    <row r="8" spans="1:190" ht="24.95" customHeight="1" thickBot="1" x14ac:dyDescent="0.3">
      <c r="A8" s="29" t="str">
        <f t="shared" si="0"/>
        <v>7º</v>
      </c>
      <c r="B8" s="69" t="str">
        <f t="shared" si="1"/>
        <v>Mateo Cassierra</v>
      </c>
      <c r="C8" s="86" t="str">
        <f t="shared" si="2"/>
        <v>COL</v>
      </c>
      <c r="D8" s="99" t="str">
        <f t="shared" si="3"/>
        <v>Pé Direito</v>
      </c>
      <c r="E8" s="28" t="str">
        <f t="shared" si="4"/>
        <v>Atlético Mineiro</v>
      </c>
      <c r="F8" s="167">
        <f t="shared" si="5"/>
        <v>1.86</v>
      </c>
      <c r="G8" s="150">
        <f t="shared" si="6"/>
        <v>47483</v>
      </c>
      <c r="H8" s="169">
        <f t="shared" si="7"/>
        <v>29</v>
      </c>
      <c r="I8" s="203" t="str">
        <f t="shared" si="8"/>
        <v>41m € p/m</v>
      </c>
      <c r="J8" s="189" t="str">
        <f t="shared" si="9"/>
        <v>1,7M €</v>
      </c>
      <c r="K8" s="96">
        <f t="shared" si="10"/>
        <v>23.671111111111109</v>
      </c>
      <c r="L8" s="146">
        <f t="shared" si="11"/>
        <v>21.81111111111111</v>
      </c>
      <c r="M8" s="146">
        <f t="shared" si="12"/>
        <v>28</v>
      </c>
      <c r="N8" s="146">
        <f t="shared" si="13"/>
        <v>70.107142857142861</v>
      </c>
      <c r="O8" s="187">
        <f t="shared" si="14"/>
        <v>0.79</v>
      </c>
      <c r="P8" s="2">
        <f t="shared" si="15"/>
        <v>115</v>
      </c>
      <c r="Q8" s="5">
        <f t="shared" si="16"/>
        <v>0.36050156739811912</v>
      </c>
      <c r="R8" s="5">
        <f t="shared" si="17"/>
        <v>0.45848191543555783</v>
      </c>
      <c r="S8" s="5">
        <f t="shared" si="18"/>
        <v>0.59602649006622521</v>
      </c>
      <c r="T8" s="5">
        <f t="shared" si="19"/>
        <v>0.13754457463066735</v>
      </c>
      <c r="U8" s="6">
        <f t="shared" si="20"/>
        <v>2</v>
      </c>
      <c r="V8" s="24">
        <f t="shared" si="21"/>
        <v>981.5</v>
      </c>
      <c r="W8" s="21">
        <f t="shared" si="22"/>
        <v>9.1696383087111574E-2</v>
      </c>
      <c r="X8" s="2">
        <f t="shared" si="23"/>
        <v>10</v>
      </c>
      <c r="Y8" s="2">
        <f t="shared" si="24"/>
        <v>3</v>
      </c>
      <c r="Z8" s="2">
        <f t="shared" si="25"/>
        <v>13</v>
      </c>
      <c r="AA8" s="376">
        <f t="shared" si="26"/>
        <v>8</v>
      </c>
      <c r="AB8" s="376">
        <f t="shared" si="27"/>
        <v>1</v>
      </c>
      <c r="AC8" s="377">
        <f t="shared" si="28"/>
        <v>1</v>
      </c>
      <c r="AD8" s="6">
        <f t="shared" si="29"/>
        <v>9</v>
      </c>
      <c r="AE8" s="20">
        <f t="shared" si="30"/>
        <v>0.9</v>
      </c>
      <c r="AF8" s="20">
        <f t="shared" si="31"/>
        <v>0.23076923076923078</v>
      </c>
      <c r="AG8" s="20">
        <f t="shared" si="32"/>
        <v>7.6923076923076927E-2</v>
      </c>
      <c r="AH8" s="5">
        <f t="shared" si="33"/>
        <v>0.45848191543555783</v>
      </c>
      <c r="AI8" s="5">
        <f t="shared" si="34"/>
        <v>0.13754457463066735</v>
      </c>
      <c r="AJ8" s="5">
        <f t="shared" si="35"/>
        <v>0.59602649006622521</v>
      </c>
      <c r="AK8" s="5">
        <f t="shared" si="36"/>
        <v>0.41263372389200204</v>
      </c>
      <c r="AL8" s="6">
        <f t="shared" si="37"/>
        <v>8</v>
      </c>
      <c r="AM8" s="5">
        <f t="shared" si="38"/>
        <v>0.3667855323484463</v>
      </c>
      <c r="AN8" s="6">
        <f t="shared" si="39"/>
        <v>1</v>
      </c>
      <c r="AO8" s="5">
        <f t="shared" si="40"/>
        <v>4.5848191543555787E-2</v>
      </c>
      <c r="AP8" s="5">
        <f t="shared" si="41"/>
        <v>0.7</v>
      </c>
      <c r="AQ8" s="21">
        <f t="shared" si="42"/>
        <v>6.5497416490793992E-2</v>
      </c>
      <c r="AR8" s="333">
        <f t="shared" si="43"/>
        <v>0</v>
      </c>
      <c r="AS8" s="334">
        <f t="shared" si="44"/>
        <v>0</v>
      </c>
      <c r="AT8" s="333">
        <f t="shared" si="45"/>
        <v>0</v>
      </c>
      <c r="AU8" s="334">
        <f t="shared" si="46"/>
        <v>0</v>
      </c>
      <c r="AV8" s="337">
        <f t="shared" si="47"/>
        <v>0</v>
      </c>
      <c r="AW8" s="348">
        <f t="shared" si="48"/>
        <v>0</v>
      </c>
      <c r="AX8" s="333">
        <f t="shared" si="49"/>
        <v>1</v>
      </c>
      <c r="AY8" s="333">
        <f t="shared" si="50"/>
        <v>1</v>
      </c>
      <c r="AZ8" s="351">
        <f t="shared" si="51"/>
        <v>0</v>
      </c>
      <c r="BA8" s="334">
        <f t="shared" si="52"/>
        <v>4.5848191543555787E-2</v>
      </c>
      <c r="BB8" s="20">
        <f t="shared" si="53"/>
        <v>1</v>
      </c>
      <c r="BC8" s="2">
        <f t="shared" si="54"/>
        <v>186</v>
      </c>
      <c r="BD8" s="2">
        <f t="shared" si="55"/>
        <v>58</v>
      </c>
      <c r="BE8" s="5">
        <f t="shared" si="56"/>
        <v>8.5277636271013755</v>
      </c>
      <c r="BF8" s="5">
        <f t="shared" si="57"/>
        <v>2.6591951095262356</v>
      </c>
      <c r="BG8" s="2">
        <f t="shared" si="58"/>
        <v>128</v>
      </c>
      <c r="BH8" s="107">
        <f t="shared" si="59"/>
        <v>0.31182795698924731</v>
      </c>
      <c r="BI8" s="107">
        <f t="shared" si="60"/>
        <v>0.68817204301075274</v>
      </c>
      <c r="BJ8" s="360">
        <f t="shared" si="61"/>
        <v>25</v>
      </c>
      <c r="BK8" s="334">
        <f t="shared" si="62"/>
        <v>1.1462047885888946</v>
      </c>
      <c r="BL8" s="6">
        <f t="shared" si="63"/>
        <v>56</v>
      </c>
      <c r="BM8" s="5">
        <f t="shared" si="64"/>
        <v>2.567498726439124</v>
      </c>
      <c r="BN8" s="6">
        <f t="shared" si="65"/>
        <v>30</v>
      </c>
      <c r="BO8" s="5">
        <f t="shared" si="66"/>
        <v>1.3754457463066736</v>
      </c>
      <c r="BP8" s="21">
        <f t="shared" si="67"/>
        <v>0.5357142857142857</v>
      </c>
      <c r="BQ8" s="5">
        <f t="shared" si="68"/>
        <v>6.1111111111111107</v>
      </c>
      <c r="BR8" s="5">
        <f t="shared" si="69"/>
        <v>3.2222222222222223</v>
      </c>
      <c r="BS8" s="5">
        <f t="shared" si="70"/>
        <v>26.777777777777779</v>
      </c>
      <c r="BT8" s="107">
        <f t="shared" si="71"/>
        <v>0.16363636363636364</v>
      </c>
      <c r="BU8" s="5">
        <f t="shared" si="72"/>
        <v>0.56871416769188643</v>
      </c>
      <c r="BV8" s="5">
        <f t="shared" si="73"/>
        <v>0.33560876209882834</v>
      </c>
      <c r="BW8" s="5">
        <f t="shared" si="74"/>
        <v>0.45848191543555783</v>
      </c>
      <c r="BX8" s="280">
        <f t="shared" si="75"/>
        <v>0.12287315333672949</v>
      </c>
      <c r="BY8" s="279">
        <f t="shared" si="76"/>
        <v>0.11872727272727274</v>
      </c>
      <c r="BZ8" s="5">
        <f t="shared" si="77"/>
        <v>35.053571428571431</v>
      </c>
      <c r="CA8" s="5">
        <f t="shared" si="78"/>
        <v>65.433333333333337</v>
      </c>
      <c r="CB8" s="5">
        <f t="shared" si="79"/>
        <v>196.3</v>
      </c>
      <c r="CC8" s="5">
        <f t="shared" si="80"/>
        <v>151</v>
      </c>
      <c r="CD8" s="5">
        <f t="shared" si="81"/>
        <v>2.6799999999999997</v>
      </c>
      <c r="CE8" s="5">
        <f t="shared" si="82"/>
        <v>2.4699999999999998</v>
      </c>
      <c r="CF8" s="5">
        <f t="shared" si="83"/>
        <v>7.32</v>
      </c>
      <c r="CG8" s="5">
        <f t="shared" si="84"/>
        <v>0.33560876209882834</v>
      </c>
      <c r="CH8" s="5">
        <f t="shared" si="85"/>
        <v>6.53</v>
      </c>
      <c r="CI8" s="5">
        <f t="shared" si="86"/>
        <v>0.29938869077941926</v>
      </c>
      <c r="CJ8" s="5">
        <f t="shared" si="87"/>
        <v>1.89</v>
      </c>
      <c r="CK8" s="5">
        <f t="shared" si="88"/>
        <v>8.6653082017320429E-2</v>
      </c>
      <c r="CL8" s="5">
        <f t="shared" si="89"/>
        <v>8.42</v>
      </c>
      <c r="CM8" s="5">
        <f t="shared" si="90"/>
        <v>0.38604177279673968</v>
      </c>
      <c r="CN8" s="21">
        <f t="shared" si="91"/>
        <v>0.57736720554272514</v>
      </c>
      <c r="CO8" s="6">
        <f t="shared" si="92"/>
        <v>17</v>
      </c>
      <c r="CP8" s="5">
        <f t="shared" si="93"/>
        <v>0.77941925624044839</v>
      </c>
      <c r="CQ8" s="5">
        <f t="shared" si="94"/>
        <v>1.89</v>
      </c>
      <c r="CR8" s="5">
        <f t="shared" si="95"/>
        <v>-1.1100000000000001</v>
      </c>
      <c r="CS8" s="6">
        <f t="shared" si="96"/>
        <v>10</v>
      </c>
      <c r="CT8" s="5">
        <f t="shared" si="97"/>
        <v>0.45848191543555783</v>
      </c>
      <c r="CU8" s="6">
        <f t="shared" si="98"/>
        <v>1</v>
      </c>
      <c r="CV8" s="5">
        <f t="shared" si="99"/>
        <v>4.5848191543555787E-2</v>
      </c>
      <c r="CW8" s="21">
        <f t="shared" si="100"/>
        <v>0.1</v>
      </c>
      <c r="CX8" s="362">
        <f t="shared" si="101"/>
        <v>12</v>
      </c>
      <c r="CY8" s="363">
        <f t="shared" si="102"/>
        <v>0.55017829852266942</v>
      </c>
      <c r="CZ8" s="210">
        <f t="shared" si="103"/>
        <v>7.201222618441161</v>
      </c>
      <c r="DA8" s="2">
        <f t="shared" si="104"/>
        <v>44</v>
      </c>
      <c r="DB8" s="5">
        <f t="shared" si="105"/>
        <v>2.0173204279164545</v>
      </c>
      <c r="DC8" s="2">
        <f t="shared" si="106"/>
        <v>4</v>
      </c>
      <c r="DD8" s="5">
        <f t="shared" si="107"/>
        <v>0.18339276617422315</v>
      </c>
      <c r="DE8" s="107">
        <f t="shared" si="108"/>
        <v>9.0909090909090912E-2</v>
      </c>
      <c r="DF8" s="6">
        <f t="shared" si="109"/>
        <v>15</v>
      </c>
      <c r="DG8" s="5">
        <f t="shared" si="110"/>
        <v>0.6877228731533368</v>
      </c>
      <c r="DH8" s="6">
        <f t="shared" si="111"/>
        <v>24</v>
      </c>
      <c r="DI8" s="5">
        <f t="shared" si="112"/>
        <v>1.1003565970453388</v>
      </c>
      <c r="DJ8" s="5">
        <f t="shared" si="113"/>
        <v>235.6</v>
      </c>
      <c r="DK8" s="5">
        <f t="shared" si="114"/>
        <v>10.801833927661743</v>
      </c>
      <c r="DL8" s="333">
        <f t="shared" si="115"/>
        <v>104.69333333333333</v>
      </c>
      <c r="DM8" s="361">
        <f t="shared" si="116"/>
        <v>4.8</v>
      </c>
      <c r="DN8" s="6">
        <f t="shared" si="117"/>
        <v>355.32</v>
      </c>
      <c r="DO8" s="5">
        <f t="shared" si="118"/>
        <v>16.290779419256243</v>
      </c>
      <c r="DP8" s="6">
        <f t="shared" si="119"/>
        <v>97</v>
      </c>
      <c r="DQ8" s="5">
        <f t="shared" si="120"/>
        <v>4.4472745797249109</v>
      </c>
      <c r="DR8" s="211">
        <f t="shared" si="121"/>
        <v>170.12666666666667</v>
      </c>
      <c r="DS8" s="5">
        <f t="shared" si="122"/>
        <v>7.8</v>
      </c>
      <c r="DT8" s="21">
        <f t="shared" si="123"/>
        <v>0.27299335809974107</v>
      </c>
      <c r="DU8" s="6">
        <f t="shared" si="124"/>
        <v>62.39</v>
      </c>
      <c r="DV8" s="5">
        <f t="shared" si="125"/>
        <v>2.8604686704024456</v>
      </c>
      <c r="DW8" s="5">
        <f t="shared" si="126"/>
        <v>36.220071319409072</v>
      </c>
      <c r="DX8" s="181">
        <f t="shared" si="127"/>
        <v>95</v>
      </c>
      <c r="DY8" s="5">
        <f t="shared" si="128"/>
        <v>4.3555781966377998</v>
      </c>
      <c r="DZ8" s="6">
        <f t="shared" si="129"/>
        <v>60</v>
      </c>
      <c r="EA8" s="5">
        <f t="shared" si="130"/>
        <v>2.7508914926133472</v>
      </c>
      <c r="EB8" s="21">
        <f t="shared" si="131"/>
        <v>0.63157894736842102</v>
      </c>
      <c r="EC8" s="6">
        <f t="shared" si="132"/>
        <v>134</v>
      </c>
      <c r="ED8" s="5">
        <f t="shared" si="133"/>
        <v>6.1436576668364751</v>
      </c>
      <c r="EE8" s="6">
        <f t="shared" si="134"/>
        <v>78</v>
      </c>
      <c r="EF8" s="5">
        <f t="shared" si="135"/>
        <v>3.576158940397351</v>
      </c>
      <c r="EG8" s="6">
        <f t="shared" si="136"/>
        <v>88</v>
      </c>
      <c r="EH8" s="5">
        <f t="shared" si="137"/>
        <v>4.034640855832909</v>
      </c>
      <c r="EI8" s="5">
        <f t="shared" si="138"/>
        <v>7.8</v>
      </c>
      <c r="EJ8" s="5">
        <f t="shared" si="139"/>
        <v>6.77</v>
      </c>
      <c r="EK8" s="302" t="s">
        <v>19</v>
      </c>
      <c r="EL8" s="298" t="s">
        <v>553</v>
      </c>
      <c r="EM8" s="298" t="s">
        <v>923</v>
      </c>
      <c r="EN8" s="298">
        <v>29</v>
      </c>
      <c r="EO8" s="298" t="s">
        <v>557</v>
      </c>
      <c r="EP8" s="298" t="s">
        <v>575</v>
      </c>
      <c r="EQ8" s="298" t="s">
        <v>644</v>
      </c>
      <c r="ER8" s="298" t="s">
        <v>1085</v>
      </c>
      <c r="ES8" s="298" t="s">
        <v>660</v>
      </c>
      <c r="ET8" s="299">
        <v>47483</v>
      </c>
      <c r="EU8" s="298">
        <v>1963</v>
      </c>
      <c r="EV8" s="298" t="s">
        <v>1086</v>
      </c>
      <c r="EW8" s="298">
        <v>2</v>
      </c>
      <c r="EX8" s="298">
        <v>10</v>
      </c>
      <c r="EY8" s="298">
        <v>3</v>
      </c>
      <c r="EZ8" s="298">
        <v>5</v>
      </c>
      <c r="FA8" s="298">
        <v>115</v>
      </c>
      <c r="FB8" s="298">
        <v>319</v>
      </c>
      <c r="FC8" s="298">
        <v>7.8</v>
      </c>
      <c r="FD8" s="298" t="s">
        <v>1104</v>
      </c>
      <c r="FE8" s="298" t="s">
        <v>1105</v>
      </c>
      <c r="FF8" s="298">
        <v>27</v>
      </c>
      <c r="FG8" s="298">
        <v>24</v>
      </c>
      <c r="FH8" s="298">
        <v>534</v>
      </c>
      <c r="FI8" s="298">
        <v>472</v>
      </c>
      <c r="FJ8" s="298">
        <v>17</v>
      </c>
      <c r="FK8" s="298">
        <v>10</v>
      </c>
      <c r="FL8" s="298">
        <v>12</v>
      </c>
      <c r="FM8" s="298">
        <v>56</v>
      </c>
      <c r="FN8" s="298">
        <v>30</v>
      </c>
      <c r="FO8" s="298">
        <v>186</v>
      </c>
      <c r="FP8" s="298">
        <v>58</v>
      </c>
      <c r="FQ8" s="298">
        <v>14</v>
      </c>
      <c r="FR8" s="298">
        <v>3</v>
      </c>
      <c r="FS8" s="298">
        <v>3</v>
      </c>
      <c r="FT8" s="298">
        <v>1</v>
      </c>
      <c r="FU8" s="298">
        <v>15</v>
      </c>
      <c r="FV8" s="298">
        <v>10</v>
      </c>
      <c r="FW8" s="298">
        <v>1</v>
      </c>
      <c r="FX8" s="298">
        <v>10</v>
      </c>
      <c r="FY8" s="298">
        <v>1</v>
      </c>
      <c r="FZ8" s="298">
        <v>1</v>
      </c>
      <c r="GA8" s="298">
        <v>0.7</v>
      </c>
      <c r="GB8" s="298">
        <v>0</v>
      </c>
      <c r="GC8" s="298">
        <v>25</v>
      </c>
      <c r="GD8" s="298">
        <v>1</v>
      </c>
      <c r="GE8" s="298">
        <v>1</v>
      </c>
      <c r="GF8" s="298">
        <v>4.8</v>
      </c>
      <c r="GG8" s="298" t="s">
        <v>1087</v>
      </c>
      <c r="GH8" s="303">
        <v>6.77</v>
      </c>
    </row>
    <row r="9" spans="1:190" ht="24.95" customHeight="1" thickBot="1" x14ac:dyDescent="0.3">
      <c r="A9" s="29" t="str">
        <f t="shared" si="0"/>
        <v>8º</v>
      </c>
      <c r="B9" s="69" t="str">
        <f t="shared" si="1"/>
        <v>Rafael Santos Borré</v>
      </c>
      <c r="C9" s="86" t="str">
        <f t="shared" si="2"/>
        <v>COL</v>
      </c>
      <c r="D9" s="99" t="str">
        <f t="shared" si="3"/>
        <v>Pé Direito</v>
      </c>
      <c r="E9" s="28" t="str">
        <f t="shared" si="4"/>
        <v>Internacional</v>
      </c>
      <c r="F9" s="167">
        <f t="shared" si="5"/>
        <v>1.74</v>
      </c>
      <c r="G9" s="150">
        <f t="shared" si="6"/>
        <v>47118</v>
      </c>
      <c r="H9" s="169">
        <f t="shared" si="7"/>
        <v>30</v>
      </c>
      <c r="I9" s="203" t="str">
        <f t="shared" si="8"/>
        <v>319m € p/m</v>
      </c>
      <c r="J9" s="189" t="str">
        <f t="shared" si="9"/>
        <v>600m € - 5,8M €</v>
      </c>
      <c r="K9" s="96">
        <f t="shared" si="10"/>
        <v>23.671111111111109</v>
      </c>
      <c r="L9" s="146">
        <f t="shared" si="11"/>
        <v>23.077777777777779</v>
      </c>
      <c r="M9" s="146">
        <f t="shared" si="12"/>
        <v>41</v>
      </c>
      <c r="N9" s="146">
        <f t="shared" si="13"/>
        <v>50.658536585365852</v>
      </c>
      <c r="O9" s="187">
        <f t="shared" si="14"/>
        <v>0.39</v>
      </c>
      <c r="P9" s="2">
        <f t="shared" si="15"/>
        <v>91</v>
      </c>
      <c r="Q9" s="5">
        <f t="shared" si="16"/>
        <v>0.31164383561643838</v>
      </c>
      <c r="R9" s="5">
        <f t="shared" si="17"/>
        <v>0.60664419836302352</v>
      </c>
      <c r="S9" s="5">
        <f t="shared" si="18"/>
        <v>0.82330284063553194</v>
      </c>
      <c r="T9" s="5">
        <f t="shared" si="19"/>
        <v>0.21665864227250842</v>
      </c>
      <c r="U9" s="6">
        <f t="shared" si="20"/>
        <v>3</v>
      </c>
      <c r="V9" s="24">
        <f t="shared" si="21"/>
        <v>692.33333333333337</v>
      </c>
      <c r="W9" s="21">
        <f t="shared" si="22"/>
        <v>0.12999518536350504</v>
      </c>
      <c r="X9" s="2">
        <f t="shared" si="23"/>
        <v>14</v>
      </c>
      <c r="Y9" s="2">
        <f t="shared" si="24"/>
        <v>5</v>
      </c>
      <c r="Z9" s="2">
        <f t="shared" si="25"/>
        <v>19</v>
      </c>
      <c r="AA9" s="376">
        <f t="shared" si="26"/>
        <v>10</v>
      </c>
      <c r="AB9" s="376">
        <f t="shared" si="27"/>
        <v>2</v>
      </c>
      <c r="AC9" s="377">
        <f t="shared" si="28"/>
        <v>2</v>
      </c>
      <c r="AD9" s="6">
        <f t="shared" si="29"/>
        <v>12</v>
      </c>
      <c r="AE9" s="20">
        <f t="shared" si="30"/>
        <v>0.8571428571428571</v>
      </c>
      <c r="AF9" s="20">
        <f t="shared" si="31"/>
        <v>0.26315789473684209</v>
      </c>
      <c r="AG9" s="20">
        <f t="shared" si="32"/>
        <v>0.10526315789473684</v>
      </c>
      <c r="AH9" s="5">
        <f t="shared" si="33"/>
        <v>0.60664419836302352</v>
      </c>
      <c r="AI9" s="5">
        <f t="shared" si="34"/>
        <v>0.21665864227250842</v>
      </c>
      <c r="AJ9" s="5">
        <f t="shared" si="35"/>
        <v>0.82330284063553194</v>
      </c>
      <c r="AK9" s="5">
        <f t="shared" si="36"/>
        <v>0.51998074145402018</v>
      </c>
      <c r="AL9" s="6">
        <f t="shared" si="37"/>
        <v>10</v>
      </c>
      <c r="AM9" s="5">
        <f t="shared" si="38"/>
        <v>0.43331728454501683</v>
      </c>
      <c r="AN9" s="6">
        <f t="shared" si="39"/>
        <v>2</v>
      </c>
      <c r="AO9" s="5">
        <f t="shared" si="40"/>
        <v>8.6663456909003359E-2</v>
      </c>
      <c r="AP9" s="5">
        <f t="shared" si="41"/>
        <v>1</v>
      </c>
      <c r="AQ9" s="21">
        <f t="shared" si="42"/>
        <v>8.6663456909003359E-2</v>
      </c>
      <c r="AR9" s="333">
        <f t="shared" si="43"/>
        <v>0</v>
      </c>
      <c r="AS9" s="334">
        <f t="shared" si="44"/>
        <v>0</v>
      </c>
      <c r="AT9" s="333">
        <f t="shared" si="45"/>
        <v>0</v>
      </c>
      <c r="AU9" s="334">
        <f t="shared" si="46"/>
        <v>0</v>
      </c>
      <c r="AV9" s="337">
        <f t="shared" si="47"/>
        <v>0</v>
      </c>
      <c r="AW9" s="348">
        <f t="shared" si="48"/>
        <v>0</v>
      </c>
      <c r="AX9" s="333">
        <f t="shared" si="49"/>
        <v>2</v>
      </c>
      <c r="AY9" s="333">
        <f t="shared" si="50"/>
        <v>2</v>
      </c>
      <c r="AZ9" s="351">
        <f t="shared" si="51"/>
        <v>0</v>
      </c>
      <c r="BA9" s="334">
        <f t="shared" si="52"/>
        <v>8.6663456909003359E-2</v>
      </c>
      <c r="BB9" s="20">
        <f t="shared" si="53"/>
        <v>1</v>
      </c>
      <c r="BC9" s="2">
        <f t="shared" si="54"/>
        <v>139</v>
      </c>
      <c r="BD9" s="2">
        <f t="shared" si="55"/>
        <v>36</v>
      </c>
      <c r="BE9" s="5">
        <f t="shared" si="56"/>
        <v>6.0231102551757338</v>
      </c>
      <c r="BF9" s="5">
        <f t="shared" si="57"/>
        <v>1.5599422243620606</v>
      </c>
      <c r="BG9" s="2">
        <f t="shared" si="58"/>
        <v>103</v>
      </c>
      <c r="BH9" s="107">
        <f t="shared" si="59"/>
        <v>0.25899280575539568</v>
      </c>
      <c r="BI9" s="107">
        <f t="shared" si="60"/>
        <v>0.74100719424460437</v>
      </c>
      <c r="BJ9" s="360">
        <f t="shared" si="61"/>
        <v>9</v>
      </c>
      <c r="BK9" s="334">
        <f t="shared" si="62"/>
        <v>0.38998555609051516</v>
      </c>
      <c r="BL9" s="6">
        <f t="shared" si="63"/>
        <v>80</v>
      </c>
      <c r="BM9" s="5">
        <f t="shared" si="64"/>
        <v>3.4665382763601347</v>
      </c>
      <c r="BN9" s="6">
        <f t="shared" si="65"/>
        <v>40</v>
      </c>
      <c r="BO9" s="5">
        <f t="shared" si="66"/>
        <v>1.7332691381800673</v>
      </c>
      <c r="BP9" s="21">
        <f t="shared" si="67"/>
        <v>0.5</v>
      </c>
      <c r="BQ9" s="5">
        <f t="shared" si="68"/>
        <v>6.5</v>
      </c>
      <c r="BR9" s="5">
        <f t="shared" si="69"/>
        <v>3.1666666666666665</v>
      </c>
      <c r="BS9" s="5">
        <f t="shared" si="70"/>
        <v>18.083333333333332</v>
      </c>
      <c r="BT9" s="107">
        <f t="shared" si="71"/>
        <v>0.15384615384615385</v>
      </c>
      <c r="BU9" s="5">
        <f t="shared" si="72"/>
        <v>0.71149018214917248</v>
      </c>
      <c r="BV9" s="5">
        <f t="shared" si="73"/>
        <v>0.44848338950409239</v>
      </c>
      <c r="BW9" s="5">
        <f t="shared" si="74"/>
        <v>0.60664419836302352</v>
      </c>
      <c r="BX9" s="280">
        <f t="shared" si="75"/>
        <v>0.15816080885893113</v>
      </c>
      <c r="BY9" s="279">
        <f t="shared" si="76"/>
        <v>0.11243589743589744</v>
      </c>
      <c r="BZ9" s="5">
        <f t="shared" si="77"/>
        <v>25.962499999999999</v>
      </c>
      <c r="CA9" s="5">
        <f t="shared" si="78"/>
        <v>51.924999999999997</v>
      </c>
      <c r="CB9" s="5">
        <f t="shared" si="79"/>
        <v>148.35714285714286</v>
      </c>
      <c r="CC9" s="5">
        <f t="shared" si="80"/>
        <v>109.31578947368421</v>
      </c>
      <c r="CD9" s="5">
        <f t="shared" si="81"/>
        <v>3.6500000000000004</v>
      </c>
      <c r="CE9" s="5">
        <f t="shared" si="82"/>
        <v>3.2300000000000004</v>
      </c>
      <c r="CF9" s="5">
        <f t="shared" si="83"/>
        <v>10.35</v>
      </c>
      <c r="CG9" s="5">
        <f t="shared" si="84"/>
        <v>0.44848338950409239</v>
      </c>
      <c r="CH9" s="5">
        <f t="shared" si="85"/>
        <v>8.77</v>
      </c>
      <c r="CI9" s="5">
        <f t="shared" si="86"/>
        <v>0.38001925854597973</v>
      </c>
      <c r="CJ9" s="5">
        <f t="shared" si="87"/>
        <v>2.36</v>
      </c>
      <c r="CK9" s="5">
        <f t="shared" si="88"/>
        <v>0.10226287915262397</v>
      </c>
      <c r="CL9" s="5">
        <f t="shared" si="89"/>
        <v>11.129999999999999</v>
      </c>
      <c r="CM9" s="5">
        <f t="shared" si="90"/>
        <v>0.48228213769860367</v>
      </c>
      <c r="CN9" s="21">
        <f t="shared" si="91"/>
        <v>0.57494866529774125</v>
      </c>
      <c r="CO9" s="6">
        <f t="shared" si="92"/>
        <v>23</v>
      </c>
      <c r="CP9" s="5">
        <f t="shared" si="93"/>
        <v>0.99662975445353874</v>
      </c>
      <c r="CQ9" s="5">
        <f t="shared" si="94"/>
        <v>2.36</v>
      </c>
      <c r="CR9" s="5">
        <f t="shared" si="95"/>
        <v>-2.64</v>
      </c>
      <c r="CS9" s="6">
        <f t="shared" si="96"/>
        <v>11</v>
      </c>
      <c r="CT9" s="5">
        <f t="shared" si="97"/>
        <v>0.47664901299951851</v>
      </c>
      <c r="CU9" s="6">
        <f t="shared" si="98"/>
        <v>5</v>
      </c>
      <c r="CV9" s="5">
        <f t="shared" si="99"/>
        <v>0.21665864227250842</v>
      </c>
      <c r="CW9" s="21">
        <f t="shared" si="100"/>
        <v>0.45454545454545453</v>
      </c>
      <c r="CX9" s="362">
        <f t="shared" si="101"/>
        <v>17</v>
      </c>
      <c r="CY9" s="363">
        <f t="shared" si="102"/>
        <v>0.7366393837265286</v>
      </c>
      <c r="CZ9" s="210">
        <f t="shared" si="103"/>
        <v>7.7477130476649005</v>
      </c>
      <c r="DA9" s="2">
        <f t="shared" si="104"/>
        <v>134</v>
      </c>
      <c r="DB9" s="5">
        <f t="shared" si="105"/>
        <v>5.8064516129032251</v>
      </c>
      <c r="DC9" s="2">
        <f t="shared" si="106"/>
        <v>41</v>
      </c>
      <c r="DD9" s="5">
        <f t="shared" si="107"/>
        <v>1.776600866634569</v>
      </c>
      <c r="DE9" s="107">
        <f t="shared" si="108"/>
        <v>0.30597014925373134</v>
      </c>
      <c r="DF9" s="6">
        <f t="shared" si="109"/>
        <v>19</v>
      </c>
      <c r="DG9" s="5">
        <f t="shared" si="110"/>
        <v>0.82330284063553194</v>
      </c>
      <c r="DH9" s="6">
        <f t="shared" si="111"/>
        <v>22</v>
      </c>
      <c r="DI9" s="5">
        <f t="shared" si="112"/>
        <v>0.95329802599903701</v>
      </c>
      <c r="DJ9" s="5">
        <f t="shared" si="113"/>
        <v>268.2</v>
      </c>
      <c r="DK9" s="5">
        <f t="shared" si="114"/>
        <v>11.62156957149735</v>
      </c>
      <c r="DL9" s="333">
        <f t="shared" si="115"/>
        <v>327.70444444444445</v>
      </c>
      <c r="DM9" s="361">
        <f t="shared" si="116"/>
        <v>14.2</v>
      </c>
      <c r="DN9" s="6">
        <f t="shared" si="117"/>
        <v>318.35000000000002</v>
      </c>
      <c r="DO9" s="5">
        <f t="shared" si="118"/>
        <v>13.794655753490611</v>
      </c>
      <c r="DP9" s="6">
        <f t="shared" si="119"/>
        <v>123</v>
      </c>
      <c r="DQ9" s="5">
        <f t="shared" si="120"/>
        <v>5.3298025999037071</v>
      </c>
      <c r="DR9" s="211">
        <f t="shared" si="121"/>
        <v>258.4711111111111</v>
      </c>
      <c r="DS9" s="5">
        <f t="shared" si="122"/>
        <v>11.2</v>
      </c>
      <c r="DT9" s="21">
        <f t="shared" si="123"/>
        <v>0.38636720590544993</v>
      </c>
      <c r="DU9" s="6">
        <f t="shared" si="124"/>
        <v>88.86</v>
      </c>
      <c r="DV9" s="5">
        <f t="shared" si="125"/>
        <v>3.8504573904670196</v>
      </c>
      <c r="DW9" s="5">
        <f t="shared" si="126"/>
        <v>43.375060182956183</v>
      </c>
      <c r="DX9" s="181">
        <f t="shared" si="127"/>
        <v>131</v>
      </c>
      <c r="DY9" s="5">
        <f t="shared" si="128"/>
        <v>5.67645642753972</v>
      </c>
      <c r="DZ9" s="6">
        <f t="shared" si="129"/>
        <v>85</v>
      </c>
      <c r="EA9" s="5">
        <f t="shared" si="130"/>
        <v>3.683196918632643</v>
      </c>
      <c r="EB9" s="21">
        <f t="shared" si="131"/>
        <v>0.64885496183206104</v>
      </c>
      <c r="EC9" s="6">
        <f t="shared" si="132"/>
        <v>264</v>
      </c>
      <c r="ED9" s="5">
        <f t="shared" si="133"/>
        <v>11.439576311988445</v>
      </c>
      <c r="EE9" s="6">
        <f t="shared" si="134"/>
        <v>110</v>
      </c>
      <c r="EF9" s="5">
        <f t="shared" si="135"/>
        <v>4.7664901299951854</v>
      </c>
      <c r="EG9" s="6">
        <f t="shared" si="136"/>
        <v>123</v>
      </c>
      <c r="EH9" s="5">
        <f t="shared" si="137"/>
        <v>5.3298025999037071</v>
      </c>
      <c r="EI9" s="5">
        <f t="shared" si="138"/>
        <v>11.2</v>
      </c>
      <c r="EJ9" s="5">
        <f t="shared" si="139"/>
        <v>6.93</v>
      </c>
      <c r="EK9" s="300"/>
      <c r="EL9" s="296" t="s">
        <v>553</v>
      </c>
      <c r="EM9" s="296" t="s">
        <v>908</v>
      </c>
      <c r="EN9" s="296">
        <v>30</v>
      </c>
      <c r="EO9" s="296" t="s">
        <v>584</v>
      </c>
      <c r="EP9" s="296" t="s">
        <v>777</v>
      </c>
      <c r="EQ9" s="296" t="s">
        <v>644</v>
      </c>
      <c r="ER9" s="296" t="s">
        <v>918</v>
      </c>
      <c r="ES9" s="296" t="s">
        <v>909</v>
      </c>
      <c r="ET9" s="297">
        <v>47118</v>
      </c>
      <c r="EU9" s="296">
        <v>2077</v>
      </c>
      <c r="EV9" s="296" t="s">
        <v>1066</v>
      </c>
      <c r="EW9" s="296">
        <v>3</v>
      </c>
      <c r="EX9" s="296">
        <v>14</v>
      </c>
      <c r="EY9" s="296">
        <v>5</v>
      </c>
      <c r="EZ9" s="296">
        <v>7</v>
      </c>
      <c r="FA9" s="296">
        <v>91</v>
      </c>
      <c r="FB9" s="296">
        <v>292</v>
      </c>
      <c r="FC9" s="296">
        <v>11.2</v>
      </c>
      <c r="FD9" s="296" t="s">
        <v>1095</v>
      </c>
      <c r="FE9" s="296" t="s">
        <v>751</v>
      </c>
      <c r="FF9" s="296">
        <v>16</v>
      </c>
      <c r="FG9" s="296">
        <v>22</v>
      </c>
      <c r="FH9" s="296">
        <v>746</v>
      </c>
      <c r="FI9" s="296">
        <v>663</v>
      </c>
      <c r="FJ9" s="296">
        <v>23</v>
      </c>
      <c r="FK9" s="296">
        <v>22</v>
      </c>
      <c r="FL9" s="296">
        <v>17</v>
      </c>
      <c r="FM9" s="296">
        <v>80</v>
      </c>
      <c r="FN9" s="296">
        <v>40</v>
      </c>
      <c r="FO9" s="296">
        <v>139</v>
      </c>
      <c r="FP9" s="296">
        <v>36</v>
      </c>
      <c r="FQ9" s="296">
        <v>99</v>
      </c>
      <c r="FR9" s="296">
        <v>24</v>
      </c>
      <c r="FS9" s="296">
        <v>19</v>
      </c>
      <c r="FT9" s="296">
        <v>17</v>
      </c>
      <c r="FU9" s="296">
        <v>19</v>
      </c>
      <c r="FV9" s="296">
        <v>11</v>
      </c>
      <c r="FW9" s="296">
        <v>5</v>
      </c>
      <c r="FX9" s="296">
        <v>11</v>
      </c>
      <c r="FY9" s="296">
        <v>5</v>
      </c>
      <c r="FZ9" s="296">
        <v>2</v>
      </c>
      <c r="GA9" s="296">
        <v>1</v>
      </c>
      <c r="GB9" s="296">
        <v>0</v>
      </c>
      <c r="GC9" s="296">
        <v>9</v>
      </c>
      <c r="GD9" s="296">
        <v>2</v>
      </c>
      <c r="GE9" s="296">
        <v>2</v>
      </c>
      <c r="GF9" s="296">
        <v>14.2</v>
      </c>
      <c r="GG9" s="296" t="s">
        <v>1081</v>
      </c>
      <c r="GH9" s="301">
        <v>6.93</v>
      </c>
    </row>
    <row r="10" spans="1:190" ht="24.95" customHeight="1" thickBot="1" x14ac:dyDescent="0.3">
      <c r="A10" s="29" t="str">
        <f t="shared" si="0"/>
        <v>9º</v>
      </c>
      <c r="B10" s="69" t="str">
        <f t="shared" si="1"/>
        <v>Renan Peixoto</v>
      </c>
      <c r="C10" s="86" t="str">
        <f t="shared" si="2"/>
        <v>BRA</v>
      </c>
      <c r="D10" s="99" t="str">
        <f t="shared" si="3"/>
        <v>Pé Direito</v>
      </c>
      <c r="E10" s="28" t="str">
        <f t="shared" si="4"/>
        <v>Fluminense</v>
      </c>
      <c r="F10" s="167">
        <f t="shared" si="5"/>
        <v>1.85</v>
      </c>
      <c r="G10" s="150">
        <f t="shared" si="6"/>
        <v>47118</v>
      </c>
      <c r="H10" s="169">
        <f t="shared" si="7"/>
        <v>26</v>
      </c>
      <c r="I10" s="203" t="str">
        <f t="shared" si="8"/>
        <v>500 € p/m</v>
      </c>
      <c r="J10" s="189" t="str">
        <f t="shared" si="9"/>
        <v>550m €</v>
      </c>
      <c r="K10" s="96">
        <f t="shared" si="10"/>
        <v>23.671111111111109</v>
      </c>
      <c r="L10" s="146">
        <f t="shared" si="11"/>
        <v>15.533333333333333</v>
      </c>
      <c r="M10" s="146">
        <f t="shared" si="12"/>
        <v>22</v>
      </c>
      <c r="N10" s="146">
        <f t="shared" si="13"/>
        <v>63.545454545454547</v>
      </c>
      <c r="O10" s="187">
        <f t="shared" si="14"/>
        <v>0.73</v>
      </c>
      <c r="P10" s="2">
        <f t="shared" si="15"/>
        <v>61</v>
      </c>
      <c r="Q10" s="5">
        <f t="shared" si="16"/>
        <v>0.65591397849462363</v>
      </c>
      <c r="R10" s="5">
        <f t="shared" si="17"/>
        <v>0.70815450643776823</v>
      </c>
      <c r="S10" s="5">
        <f t="shared" si="18"/>
        <v>0.70815450643776823</v>
      </c>
      <c r="T10" s="5">
        <f t="shared" si="19"/>
        <v>0</v>
      </c>
      <c r="U10" s="6">
        <f t="shared" si="20"/>
        <v>2</v>
      </c>
      <c r="V10" s="24">
        <f t="shared" si="21"/>
        <v>699</v>
      </c>
      <c r="W10" s="21">
        <f t="shared" si="22"/>
        <v>0.12875536480686695</v>
      </c>
      <c r="X10" s="2">
        <f t="shared" si="23"/>
        <v>11</v>
      </c>
      <c r="Y10" s="2">
        <f t="shared" si="24"/>
        <v>0</v>
      </c>
      <c r="Z10" s="2">
        <f t="shared" si="25"/>
        <v>11</v>
      </c>
      <c r="AA10" s="376">
        <f t="shared" si="26"/>
        <v>10</v>
      </c>
      <c r="AB10" s="376">
        <f t="shared" si="27"/>
        <v>1</v>
      </c>
      <c r="AC10" s="377">
        <f t="shared" si="28"/>
        <v>0</v>
      </c>
      <c r="AD10" s="6">
        <f t="shared" si="29"/>
        <v>11</v>
      </c>
      <c r="AE10" s="20">
        <f t="shared" si="30"/>
        <v>1</v>
      </c>
      <c r="AF10" s="20">
        <f t="shared" si="31"/>
        <v>0</v>
      </c>
      <c r="AG10" s="20">
        <f t="shared" si="32"/>
        <v>0</v>
      </c>
      <c r="AH10" s="5">
        <f t="shared" si="33"/>
        <v>0.70815450643776823</v>
      </c>
      <c r="AI10" s="5">
        <f t="shared" si="34"/>
        <v>0</v>
      </c>
      <c r="AJ10" s="5">
        <f t="shared" si="35"/>
        <v>0.70815450643776823</v>
      </c>
      <c r="AK10" s="5">
        <f t="shared" si="36"/>
        <v>0.70815450643776823</v>
      </c>
      <c r="AL10" s="6">
        <f t="shared" si="37"/>
        <v>10</v>
      </c>
      <c r="AM10" s="5">
        <f t="shared" si="38"/>
        <v>0.64377682403433478</v>
      </c>
      <c r="AN10" s="6">
        <f t="shared" si="39"/>
        <v>1</v>
      </c>
      <c r="AO10" s="5">
        <f t="shared" si="40"/>
        <v>6.4377682403433473E-2</v>
      </c>
      <c r="AP10" s="5">
        <f t="shared" si="41"/>
        <v>0.7</v>
      </c>
      <c r="AQ10" s="21">
        <f t="shared" si="42"/>
        <v>9.1968117719190681E-2</v>
      </c>
      <c r="AR10" s="333">
        <f t="shared" si="43"/>
        <v>0</v>
      </c>
      <c r="AS10" s="334">
        <f t="shared" si="44"/>
        <v>0</v>
      </c>
      <c r="AT10" s="333">
        <f t="shared" si="45"/>
        <v>0</v>
      </c>
      <c r="AU10" s="334">
        <f t="shared" si="46"/>
        <v>0</v>
      </c>
      <c r="AV10" s="337">
        <f t="shared" si="47"/>
        <v>0</v>
      </c>
      <c r="AW10" s="348">
        <f t="shared" si="48"/>
        <v>0</v>
      </c>
      <c r="AX10" s="333">
        <f t="shared" si="49"/>
        <v>0</v>
      </c>
      <c r="AY10" s="333">
        <f t="shared" si="50"/>
        <v>0</v>
      </c>
      <c r="AZ10" s="351">
        <f t="shared" si="51"/>
        <v>0</v>
      </c>
      <c r="BA10" s="334">
        <f t="shared" si="52"/>
        <v>0</v>
      </c>
      <c r="BB10" s="20">
        <f t="shared" si="53"/>
        <v>1.0000000000000001E-5</v>
      </c>
      <c r="BC10" s="2">
        <f t="shared" si="54"/>
        <v>113</v>
      </c>
      <c r="BD10" s="2">
        <f t="shared" si="55"/>
        <v>56</v>
      </c>
      <c r="BE10" s="5">
        <f t="shared" si="56"/>
        <v>7.2746781115879831</v>
      </c>
      <c r="BF10" s="5">
        <f t="shared" si="57"/>
        <v>3.6051502145922747</v>
      </c>
      <c r="BG10" s="2">
        <f t="shared" si="58"/>
        <v>57</v>
      </c>
      <c r="BH10" s="107">
        <f t="shared" si="59"/>
        <v>0.49557522123893805</v>
      </c>
      <c r="BI10" s="107">
        <f t="shared" si="60"/>
        <v>0.50442477876106195</v>
      </c>
      <c r="BJ10" s="360">
        <f t="shared" si="61"/>
        <v>26</v>
      </c>
      <c r="BK10" s="334">
        <f t="shared" si="62"/>
        <v>1.6738197424892705</v>
      </c>
      <c r="BL10" s="6">
        <f t="shared" si="63"/>
        <v>49</v>
      </c>
      <c r="BM10" s="5">
        <f t="shared" si="64"/>
        <v>3.1545064377682404</v>
      </c>
      <c r="BN10" s="6">
        <f t="shared" si="65"/>
        <v>24</v>
      </c>
      <c r="BO10" s="5">
        <f t="shared" si="66"/>
        <v>1.5450643776824033</v>
      </c>
      <c r="BP10" s="21">
        <f t="shared" si="67"/>
        <v>0.48979591836734693</v>
      </c>
      <c r="BQ10" s="5">
        <f t="shared" si="68"/>
        <v>4.4545454545454541</v>
      </c>
      <c r="BR10" s="5">
        <f t="shared" si="69"/>
        <v>2.1818181818181817</v>
      </c>
      <c r="BS10" s="5">
        <f t="shared" si="70"/>
        <v>14.727272727272727</v>
      </c>
      <c r="BT10" s="107">
        <f t="shared" si="71"/>
        <v>0.22448979591836735</v>
      </c>
      <c r="BU10" s="5">
        <f t="shared" si="72"/>
        <v>0.79976381630548776</v>
      </c>
      <c r="BV10" s="5">
        <f t="shared" si="73"/>
        <v>0.6270386266094421</v>
      </c>
      <c r="BW10" s="5">
        <f t="shared" si="74"/>
        <v>0.70815450643776823</v>
      </c>
      <c r="BX10" s="280">
        <f t="shared" si="75"/>
        <v>8.1115879828326132E-2</v>
      </c>
      <c r="BY10" s="279">
        <f t="shared" si="76"/>
        <v>0.19877551020408163</v>
      </c>
      <c r="BZ10" s="5">
        <f t="shared" si="77"/>
        <v>28.530612244897959</v>
      </c>
      <c r="CA10" s="5">
        <f t="shared" si="78"/>
        <v>58.25</v>
      </c>
      <c r="CB10" s="5">
        <f t="shared" si="79"/>
        <v>127.09090909090909</v>
      </c>
      <c r="CC10" s="5">
        <f t="shared" si="80"/>
        <v>127.09090909090909</v>
      </c>
      <c r="CD10" s="5">
        <f t="shared" si="81"/>
        <v>1.2599999999999998</v>
      </c>
      <c r="CE10" s="5">
        <f t="shared" si="82"/>
        <v>1.2599999999999998</v>
      </c>
      <c r="CF10" s="5">
        <f t="shared" si="83"/>
        <v>9.74</v>
      </c>
      <c r="CG10" s="5">
        <f t="shared" si="84"/>
        <v>0.6270386266094421</v>
      </c>
      <c r="CH10" s="5">
        <f t="shared" si="85"/>
        <v>9.74</v>
      </c>
      <c r="CI10" s="5">
        <f t="shared" si="86"/>
        <v>0.6270386266094421</v>
      </c>
      <c r="CJ10" s="5">
        <f t="shared" si="87"/>
        <v>0.98</v>
      </c>
      <c r="CK10" s="5">
        <f t="shared" si="88"/>
        <v>6.3090128755364808E-2</v>
      </c>
      <c r="CL10" s="5">
        <f t="shared" si="89"/>
        <v>10.72</v>
      </c>
      <c r="CM10" s="5">
        <f t="shared" si="90"/>
        <v>0.69012875536480689</v>
      </c>
      <c r="CN10" s="21">
        <f t="shared" si="91"/>
        <v>0.53037608486017351</v>
      </c>
      <c r="CO10" s="6">
        <f t="shared" si="92"/>
        <v>12</v>
      </c>
      <c r="CP10" s="5">
        <f t="shared" si="93"/>
        <v>0.77253218884120167</v>
      </c>
      <c r="CQ10" s="5">
        <f t="shared" si="94"/>
        <v>0.98</v>
      </c>
      <c r="CR10" s="5">
        <f t="shared" si="95"/>
        <v>0.98</v>
      </c>
      <c r="CS10" s="6">
        <f t="shared" si="96"/>
        <v>1</v>
      </c>
      <c r="CT10" s="5">
        <f t="shared" si="97"/>
        <v>6.4377682403433473E-2</v>
      </c>
      <c r="CU10" s="6">
        <f t="shared" si="98"/>
        <v>0</v>
      </c>
      <c r="CV10" s="5">
        <f t="shared" si="99"/>
        <v>0</v>
      </c>
      <c r="CW10" s="21">
        <f t="shared" si="100"/>
        <v>0</v>
      </c>
      <c r="CX10" s="362">
        <f t="shared" si="101"/>
        <v>6</v>
      </c>
      <c r="CY10" s="363">
        <f t="shared" si="102"/>
        <v>0.38626609442060084</v>
      </c>
      <c r="CZ10" s="210">
        <f t="shared" si="103"/>
        <v>7.2489270386266087</v>
      </c>
      <c r="DA10" s="2">
        <f t="shared" si="104"/>
        <v>70</v>
      </c>
      <c r="DB10" s="5">
        <f t="shared" si="105"/>
        <v>4.5064377682403434</v>
      </c>
      <c r="DC10" s="2">
        <f t="shared" si="106"/>
        <v>5</v>
      </c>
      <c r="DD10" s="5">
        <f t="shared" si="107"/>
        <v>0.32188841201716739</v>
      </c>
      <c r="DE10" s="107">
        <f t="shared" si="108"/>
        <v>7.1428571428571425E-2</v>
      </c>
      <c r="DF10" s="6">
        <f t="shared" si="109"/>
        <v>8</v>
      </c>
      <c r="DG10" s="5">
        <f t="shared" si="110"/>
        <v>0.51502145922746778</v>
      </c>
      <c r="DH10" s="6">
        <f t="shared" si="111"/>
        <v>13</v>
      </c>
      <c r="DI10" s="5">
        <f t="shared" si="112"/>
        <v>0.83690987124463523</v>
      </c>
      <c r="DJ10" s="5">
        <f t="shared" si="113"/>
        <v>168.9</v>
      </c>
      <c r="DK10" s="5">
        <f t="shared" si="114"/>
        <v>10.873390557939915</v>
      </c>
      <c r="DL10" s="333">
        <f t="shared" si="115"/>
        <v>91.646666666666675</v>
      </c>
      <c r="DM10" s="361">
        <f t="shared" si="116"/>
        <v>5.9</v>
      </c>
      <c r="DN10" s="6">
        <f t="shared" si="117"/>
        <v>254.74</v>
      </c>
      <c r="DO10" s="5">
        <f t="shared" si="118"/>
        <v>16.399570815450645</v>
      </c>
      <c r="DP10" s="6">
        <f t="shared" si="119"/>
        <v>66</v>
      </c>
      <c r="DQ10" s="5">
        <f t="shared" si="120"/>
        <v>4.2489270386266096</v>
      </c>
      <c r="DR10" s="211">
        <f t="shared" si="121"/>
        <v>65.240000000000009</v>
      </c>
      <c r="DS10" s="5">
        <f t="shared" si="122"/>
        <v>4.2</v>
      </c>
      <c r="DT10" s="21">
        <f t="shared" si="123"/>
        <v>0.25908769725995129</v>
      </c>
      <c r="DU10" s="6">
        <f t="shared" si="124"/>
        <v>45.480000000000004</v>
      </c>
      <c r="DV10" s="5">
        <f t="shared" si="125"/>
        <v>2.9278969957081546</v>
      </c>
      <c r="DW10" s="5">
        <f t="shared" si="126"/>
        <v>30.965665236051503</v>
      </c>
      <c r="DX10" s="181">
        <f t="shared" si="127"/>
        <v>68</v>
      </c>
      <c r="DY10" s="5">
        <f t="shared" si="128"/>
        <v>4.377682403433476</v>
      </c>
      <c r="DZ10" s="6">
        <f t="shared" si="129"/>
        <v>42</v>
      </c>
      <c r="EA10" s="5">
        <f t="shared" si="130"/>
        <v>2.703862660944206</v>
      </c>
      <c r="EB10" s="21">
        <f t="shared" si="131"/>
        <v>0.61764705882352944</v>
      </c>
      <c r="EC10" s="6">
        <f t="shared" si="132"/>
        <v>139</v>
      </c>
      <c r="ED10" s="5">
        <f t="shared" si="133"/>
        <v>8.9484978540772531</v>
      </c>
      <c r="EE10" s="6">
        <f t="shared" si="134"/>
        <v>63</v>
      </c>
      <c r="EF10" s="5">
        <f t="shared" si="135"/>
        <v>4.0557939914163095</v>
      </c>
      <c r="EG10" s="6">
        <f t="shared" si="136"/>
        <v>60</v>
      </c>
      <c r="EH10" s="5">
        <f t="shared" si="137"/>
        <v>3.8626609442060085</v>
      </c>
      <c r="EI10" s="5">
        <f t="shared" si="138"/>
        <v>4.2</v>
      </c>
      <c r="EJ10" s="5">
        <f t="shared" si="139"/>
        <v>6.91</v>
      </c>
      <c r="EK10" s="300" t="s">
        <v>19</v>
      </c>
      <c r="EL10" s="296" t="s">
        <v>13</v>
      </c>
      <c r="EM10" s="296" t="s">
        <v>916</v>
      </c>
      <c r="EN10" s="296">
        <v>26</v>
      </c>
      <c r="EO10" s="296" t="s">
        <v>582</v>
      </c>
      <c r="EP10" s="296" t="s">
        <v>587</v>
      </c>
      <c r="EQ10" s="296" t="s">
        <v>644</v>
      </c>
      <c r="ER10" s="296" t="s">
        <v>917</v>
      </c>
      <c r="ES10" s="296" t="s">
        <v>760</v>
      </c>
      <c r="ET10" s="297">
        <v>47118</v>
      </c>
      <c r="EU10" s="296">
        <v>1398</v>
      </c>
      <c r="EV10" s="296" t="s">
        <v>1011</v>
      </c>
      <c r="EW10" s="296">
        <v>2</v>
      </c>
      <c r="EX10" s="296">
        <v>11</v>
      </c>
      <c r="EY10" s="296">
        <v>0</v>
      </c>
      <c r="EZ10" s="296">
        <v>2</v>
      </c>
      <c r="FA10" s="296">
        <v>61</v>
      </c>
      <c r="FB10" s="296">
        <v>93</v>
      </c>
      <c r="FC10" s="296">
        <v>4.2</v>
      </c>
      <c r="FD10" s="296" t="s">
        <v>1098</v>
      </c>
      <c r="FE10" s="296" t="s">
        <v>1099</v>
      </c>
      <c r="FF10" s="296">
        <v>26</v>
      </c>
      <c r="FG10" s="296">
        <v>13</v>
      </c>
      <c r="FH10" s="296">
        <v>313</v>
      </c>
      <c r="FI10" s="296">
        <v>278</v>
      </c>
      <c r="FJ10" s="296">
        <v>12</v>
      </c>
      <c r="FK10" s="296">
        <v>9</v>
      </c>
      <c r="FL10" s="296">
        <v>6</v>
      </c>
      <c r="FM10" s="296">
        <v>49</v>
      </c>
      <c r="FN10" s="296">
        <v>24</v>
      </c>
      <c r="FO10" s="296">
        <v>113</v>
      </c>
      <c r="FP10" s="296">
        <v>56</v>
      </c>
      <c r="FQ10" s="296">
        <v>43</v>
      </c>
      <c r="FR10" s="296">
        <v>5</v>
      </c>
      <c r="FS10" s="296">
        <v>1</v>
      </c>
      <c r="FT10" s="296">
        <v>0</v>
      </c>
      <c r="FU10" s="296">
        <v>8</v>
      </c>
      <c r="FV10" s="296">
        <v>1</v>
      </c>
      <c r="FW10" s="296">
        <v>0</v>
      </c>
      <c r="FX10" s="296">
        <v>1</v>
      </c>
      <c r="FY10" s="296">
        <v>0</v>
      </c>
      <c r="FZ10" s="296">
        <v>1</v>
      </c>
      <c r="GA10" s="296">
        <v>0.7</v>
      </c>
      <c r="GB10" s="296">
        <v>0</v>
      </c>
      <c r="GC10" s="296">
        <v>26</v>
      </c>
      <c r="GD10" s="296">
        <v>0</v>
      </c>
      <c r="GE10" s="296">
        <v>0</v>
      </c>
      <c r="GF10" s="296">
        <v>5.9</v>
      </c>
      <c r="GG10" s="296" t="s">
        <v>945</v>
      </c>
      <c r="GH10" s="301">
        <v>6.91</v>
      </c>
    </row>
    <row r="11" spans="1:190" ht="24.95" customHeight="1" thickBot="1" x14ac:dyDescent="0.3">
      <c r="A11" s="29" t="str">
        <f t="shared" si="0"/>
        <v>10º</v>
      </c>
      <c r="B11" s="69" t="str">
        <f t="shared" si="1"/>
        <v>Rodrigo Rodrigues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Coritiba</v>
      </c>
      <c r="F11" s="167">
        <f t="shared" si="5"/>
        <v>1.91</v>
      </c>
      <c r="G11" s="150">
        <f t="shared" si="6"/>
        <v>46752</v>
      </c>
      <c r="H11" s="169">
        <f t="shared" si="7"/>
        <v>30</v>
      </c>
      <c r="I11" s="203" t="str">
        <f t="shared" si="8"/>
        <v>1,8m € p/m</v>
      </c>
      <c r="J11" s="189" t="str">
        <f t="shared" si="9"/>
        <v>60m € - 200m €</v>
      </c>
      <c r="K11" s="96">
        <f t="shared" si="10"/>
        <v>23.671111111111109</v>
      </c>
      <c r="L11" s="146">
        <f t="shared" si="11"/>
        <v>18.644444444444446</v>
      </c>
      <c r="M11" s="146">
        <f t="shared" si="12"/>
        <v>38</v>
      </c>
      <c r="N11" s="146">
        <f t="shared" si="13"/>
        <v>44.157894736842103</v>
      </c>
      <c r="O11" s="187">
        <f t="shared" si="14"/>
        <v>0.39</v>
      </c>
      <c r="P11" s="2">
        <f t="shared" si="15"/>
        <v>48</v>
      </c>
      <c r="Q11" s="5">
        <f t="shared" si="16"/>
        <v>0.29447852760736198</v>
      </c>
      <c r="R11" s="5">
        <f t="shared" si="17"/>
        <v>0.53635280095351601</v>
      </c>
      <c r="S11" s="5">
        <f t="shared" si="18"/>
        <v>0.69725864123957082</v>
      </c>
      <c r="T11" s="5">
        <f t="shared" si="19"/>
        <v>0.16090584028605481</v>
      </c>
      <c r="U11" s="6">
        <f t="shared" si="20"/>
        <v>1</v>
      </c>
      <c r="V11" s="24">
        <f t="shared" si="21"/>
        <v>1678</v>
      </c>
      <c r="W11" s="21">
        <f t="shared" si="22"/>
        <v>5.3635280095351602E-2</v>
      </c>
      <c r="X11" s="2">
        <f t="shared" si="23"/>
        <v>10</v>
      </c>
      <c r="Y11" s="2">
        <f t="shared" si="24"/>
        <v>3</v>
      </c>
      <c r="Z11" s="2">
        <f t="shared" si="25"/>
        <v>13</v>
      </c>
      <c r="AA11" s="376">
        <f t="shared" si="26"/>
        <v>10</v>
      </c>
      <c r="AB11" s="376">
        <f t="shared" si="27"/>
        <v>0</v>
      </c>
      <c r="AC11" s="377">
        <f t="shared" si="28"/>
        <v>0</v>
      </c>
      <c r="AD11" s="6">
        <f t="shared" si="29"/>
        <v>10</v>
      </c>
      <c r="AE11" s="20">
        <f t="shared" si="30"/>
        <v>1</v>
      </c>
      <c r="AF11" s="20">
        <f t="shared" si="31"/>
        <v>0.23076923076923078</v>
      </c>
      <c r="AG11" s="20">
        <f t="shared" si="32"/>
        <v>0</v>
      </c>
      <c r="AH11" s="5">
        <f t="shared" si="33"/>
        <v>0.53635280095351601</v>
      </c>
      <c r="AI11" s="5">
        <f t="shared" si="34"/>
        <v>0.16090584028605481</v>
      </c>
      <c r="AJ11" s="5">
        <f t="shared" si="35"/>
        <v>0.69725864123957082</v>
      </c>
      <c r="AK11" s="5">
        <f t="shared" si="36"/>
        <v>0.53635280095351601</v>
      </c>
      <c r="AL11" s="6">
        <f t="shared" si="37"/>
        <v>10</v>
      </c>
      <c r="AM11" s="5">
        <f t="shared" si="38"/>
        <v>0.53635280095351601</v>
      </c>
      <c r="AN11" s="6">
        <f t="shared" si="39"/>
        <v>0</v>
      </c>
      <c r="AO11" s="5">
        <f t="shared" si="40"/>
        <v>0</v>
      </c>
      <c r="AP11" s="5">
        <f t="shared" si="41"/>
        <v>0.8</v>
      </c>
      <c r="AQ11" s="21">
        <f t="shared" si="42"/>
        <v>0</v>
      </c>
      <c r="AR11" s="333">
        <f t="shared" si="43"/>
        <v>0</v>
      </c>
      <c r="AS11" s="334">
        <f t="shared" si="44"/>
        <v>0</v>
      </c>
      <c r="AT11" s="333">
        <f t="shared" si="45"/>
        <v>0</v>
      </c>
      <c r="AU11" s="334">
        <f t="shared" si="46"/>
        <v>0</v>
      </c>
      <c r="AV11" s="337">
        <f t="shared" si="47"/>
        <v>0</v>
      </c>
      <c r="AW11" s="348">
        <f t="shared" si="48"/>
        <v>0</v>
      </c>
      <c r="AX11" s="333">
        <f t="shared" si="49"/>
        <v>0</v>
      </c>
      <c r="AY11" s="333">
        <f t="shared" si="50"/>
        <v>0</v>
      </c>
      <c r="AZ11" s="351">
        <f t="shared" si="51"/>
        <v>0</v>
      </c>
      <c r="BA11" s="334">
        <f t="shared" si="52"/>
        <v>0</v>
      </c>
      <c r="BB11" s="20">
        <f t="shared" si="53"/>
        <v>1.0000000000000001E-5</v>
      </c>
      <c r="BC11" s="2">
        <f t="shared" si="54"/>
        <v>126</v>
      </c>
      <c r="BD11" s="2">
        <f t="shared" si="55"/>
        <v>44</v>
      </c>
      <c r="BE11" s="5">
        <f t="shared" si="56"/>
        <v>6.7580452920143026</v>
      </c>
      <c r="BF11" s="5">
        <f t="shared" si="57"/>
        <v>2.3599523241954707</v>
      </c>
      <c r="BG11" s="2">
        <f t="shared" si="58"/>
        <v>82</v>
      </c>
      <c r="BH11" s="107">
        <f t="shared" si="59"/>
        <v>0.34920634920634919</v>
      </c>
      <c r="BI11" s="107">
        <f t="shared" si="60"/>
        <v>0.65079365079365081</v>
      </c>
      <c r="BJ11" s="360">
        <f t="shared" si="61"/>
        <v>16</v>
      </c>
      <c r="BK11" s="334">
        <f t="shared" si="62"/>
        <v>0.85816448152562563</v>
      </c>
      <c r="BL11" s="6">
        <f t="shared" si="63"/>
        <v>51</v>
      </c>
      <c r="BM11" s="5">
        <f t="shared" si="64"/>
        <v>2.735399284862932</v>
      </c>
      <c r="BN11" s="6">
        <f t="shared" si="65"/>
        <v>23</v>
      </c>
      <c r="BO11" s="5">
        <f t="shared" si="66"/>
        <v>1.2336114421930868</v>
      </c>
      <c r="BP11" s="21">
        <f t="shared" si="67"/>
        <v>0.45098039215686275</v>
      </c>
      <c r="BQ11" s="5">
        <f t="shared" si="68"/>
        <v>5.0999999999999996</v>
      </c>
      <c r="BR11" s="5">
        <f t="shared" si="69"/>
        <v>2.2999999999999998</v>
      </c>
      <c r="BS11" s="5">
        <f t="shared" si="70"/>
        <v>17.7</v>
      </c>
      <c r="BT11" s="107">
        <f t="shared" si="71"/>
        <v>0.19607843137254902</v>
      </c>
      <c r="BU11" s="5">
        <f t="shared" si="72"/>
        <v>0.69928657229923863</v>
      </c>
      <c r="BV11" s="5">
        <f t="shared" si="73"/>
        <v>0.41138259833134683</v>
      </c>
      <c r="BW11" s="5">
        <f t="shared" si="74"/>
        <v>0.53635280095351601</v>
      </c>
      <c r="BX11" s="280">
        <f t="shared" si="75"/>
        <v>0.12497020262216918</v>
      </c>
      <c r="BY11" s="279">
        <f t="shared" si="76"/>
        <v>0.1503921568627451</v>
      </c>
      <c r="BZ11" s="5">
        <f t="shared" si="77"/>
        <v>32.901960784313722</v>
      </c>
      <c r="CA11" s="5">
        <f t="shared" si="78"/>
        <v>72.956521739130437</v>
      </c>
      <c r="CB11" s="5">
        <f t="shared" si="79"/>
        <v>167.8</v>
      </c>
      <c r="CC11" s="5">
        <f t="shared" si="80"/>
        <v>129.07692307692307</v>
      </c>
      <c r="CD11" s="5">
        <f t="shared" si="81"/>
        <v>2.33</v>
      </c>
      <c r="CE11" s="5">
        <f t="shared" si="82"/>
        <v>2.33</v>
      </c>
      <c r="CF11" s="5">
        <f t="shared" si="83"/>
        <v>7.67</v>
      </c>
      <c r="CG11" s="5">
        <f t="shared" si="84"/>
        <v>0.41138259833134683</v>
      </c>
      <c r="CH11" s="5">
        <f t="shared" si="85"/>
        <v>7.67</v>
      </c>
      <c r="CI11" s="5">
        <f t="shared" si="86"/>
        <v>0.41138259833134683</v>
      </c>
      <c r="CJ11" s="5">
        <f t="shared" si="87"/>
        <v>1.73</v>
      </c>
      <c r="CK11" s="5">
        <f t="shared" si="88"/>
        <v>9.2789034564958281E-2</v>
      </c>
      <c r="CL11" s="5">
        <f t="shared" si="89"/>
        <v>9.4</v>
      </c>
      <c r="CM11" s="5">
        <f t="shared" si="90"/>
        <v>0.50417163289630507</v>
      </c>
      <c r="CN11" s="21">
        <f t="shared" si="91"/>
        <v>0.56593095642331626</v>
      </c>
      <c r="CO11" s="6">
        <f t="shared" si="92"/>
        <v>18</v>
      </c>
      <c r="CP11" s="5">
        <f t="shared" si="93"/>
        <v>0.96543504171632888</v>
      </c>
      <c r="CQ11" s="5">
        <f t="shared" si="94"/>
        <v>1.73</v>
      </c>
      <c r="CR11" s="5">
        <f t="shared" si="95"/>
        <v>-1.27</v>
      </c>
      <c r="CS11" s="6">
        <f t="shared" si="96"/>
        <v>8</v>
      </c>
      <c r="CT11" s="5">
        <f t="shared" si="97"/>
        <v>0.42908224076281282</v>
      </c>
      <c r="CU11" s="6">
        <f t="shared" si="98"/>
        <v>5</v>
      </c>
      <c r="CV11" s="5">
        <f t="shared" si="99"/>
        <v>0.268176400476758</v>
      </c>
      <c r="CW11" s="21">
        <f t="shared" si="100"/>
        <v>0.625</v>
      </c>
      <c r="CX11" s="362">
        <f t="shared" si="101"/>
        <v>10</v>
      </c>
      <c r="CY11" s="363">
        <f t="shared" si="102"/>
        <v>0.53635280095351601</v>
      </c>
      <c r="CZ11" s="210">
        <f t="shared" si="103"/>
        <v>6.7973778307508947</v>
      </c>
      <c r="DA11" s="2">
        <f t="shared" si="104"/>
        <v>38</v>
      </c>
      <c r="DB11" s="5">
        <f t="shared" si="105"/>
        <v>2.0381406436233611</v>
      </c>
      <c r="DC11" s="2">
        <f t="shared" si="106"/>
        <v>6</v>
      </c>
      <c r="DD11" s="5">
        <f t="shared" si="107"/>
        <v>0.32181168057210963</v>
      </c>
      <c r="DE11" s="107">
        <f t="shared" si="108"/>
        <v>0.15789473684210525</v>
      </c>
      <c r="DF11" s="6">
        <f t="shared" si="109"/>
        <v>5</v>
      </c>
      <c r="DG11" s="5">
        <f t="shared" si="110"/>
        <v>0.268176400476758</v>
      </c>
      <c r="DH11" s="6">
        <f t="shared" si="111"/>
        <v>10</v>
      </c>
      <c r="DI11" s="5">
        <f t="shared" si="112"/>
        <v>0.53635280095351601</v>
      </c>
      <c r="DJ11" s="5">
        <f t="shared" si="113"/>
        <v>190.1</v>
      </c>
      <c r="DK11" s="5">
        <f t="shared" si="114"/>
        <v>10.196066746126339</v>
      </c>
      <c r="DL11" s="333">
        <f t="shared" si="115"/>
        <v>102.54444444444445</v>
      </c>
      <c r="DM11" s="361">
        <f t="shared" si="116"/>
        <v>5.5</v>
      </c>
      <c r="DN11" s="6">
        <f t="shared" si="117"/>
        <v>256.67</v>
      </c>
      <c r="DO11" s="5">
        <f t="shared" si="118"/>
        <v>13.766567342073897</v>
      </c>
      <c r="DP11" s="6">
        <f t="shared" si="119"/>
        <v>74</v>
      </c>
      <c r="DQ11" s="5">
        <f t="shared" si="120"/>
        <v>3.9690107270560189</v>
      </c>
      <c r="DR11" s="211">
        <f t="shared" si="121"/>
        <v>162.20666666666668</v>
      </c>
      <c r="DS11" s="5">
        <f t="shared" si="122"/>
        <v>8.6999999999999993</v>
      </c>
      <c r="DT11" s="21">
        <f t="shared" si="123"/>
        <v>0.28830794405267463</v>
      </c>
      <c r="DU11" s="6">
        <f t="shared" si="124"/>
        <v>58.230000000000004</v>
      </c>
      <c r="DV11" s="5">
        <f t="shared" si="125"/>
        <v>3.1231823599523243</v>
      </c>
      <c r="DW11" s="5">
        <f t="shared" si="126"/>
        <v>43.390941597139452</v>
      </c>
      <c r="DX11" s="181">
        <f t="shared" si="127"/>
        <v>87</v>
      </c>
      <c r="DY11" s="5">
        <f t="shared" si="128"/>
        <v>4.6662693682955894</v>
      </c>
      <c r="DZ11" s="6">
        <f t="shared" si="129"/>
        <v>56</v>
      </c>
      <c r="EA11" s="5">
        <f t="shared" si="130"/>
        <v>3.00357568533969</v>
      </c>
      <c r="EB11" s="21">
        <f t="shared" si="131"/>
        <v>0.64367816091954022</v>
      </c>
      <c r="EC11" s="6">
        <f t="shared" si="132"/>
        <v>126</v>
      </c>
      <c r="ED11" s="5">
        <f t="shared" si="133"/>
        <v>6.7580452920143026</v>
      </c>
      <c r="EE11" s="6">
        <f t="shared" si="134"/>
        <v>73</v>
      </c>
      <c r="EF11" s="5">
        <f t="shared" si="135"/>
        <v>3.9153754469606672</v>
      </c>
      <c r="EG11" s="6">
        <f t="shared" si="136"/>
        <v>101</v>
      </c>
      <c r="EH11" s="5">
        <f t="shared" si="137"/>
        <v>5.417163289630512</v>
      </c>
      <c r="EI11" s="5">
        <f t="shared" si="138"/>
        <v>8.6999999999999993</v>
      </c>
      <c r="EJ11" s="5">
        <f t="shared" si="139"/>
        <v>6.89</v>
      </c>
      <c r="EK11" s="300" t="s">
        <v>19</v>
      </c>
      <c r="EL11" s="296" t="s">
        <v>13</v>
      </c>
      <c r="EM11" s="296" t="s">
        <v>922</v>
      </c>
      <c r="EN11" s="296">
        <v>30</v>
      </c>
      <c r="EO11" s="296" t="s">
        <v>659</v>
      </c>
      <c r="EP11" s="296" t="s">
        <v>595</v>
      </c>
      <c r="EQ11" s="296" t="s">
        <v>644</v>
      </c>
      <c r="ER11" s="296" t="s">
        <v>969</v>
      </c>
      <c r="ES11" s="296" t="s">
        <v>914</v>
      </c>
      <c r="ET11" s="297">
        <v>46752</v>
      </c>
      <c r="EU11" s="296">
        <v>1678</v>
      </c>
      <c r="EV11" s="296" t="s">
        <v>1083</v>
      </c>
      <c r="EW11" s="296">
        <v>1</v>
      </c>
      <c r="EX11" s="296">
        <v>10</v>
      </c>
      <c r="EY11" s="296">
        <v>3</v>
      </c>
      <c r="EZ11" s="296">
        <v>4</v>
      </c>
      <c r="FA11" s="296">
        <v>48</v>
      </c>
      <c r="FB11" s="296">
        <v>163</v>
      </c>
      <c r="FC11" s="296">
        <v>8.6999999999999993</v>
      </c>
      <c r="FD11" s="296" t="s">
        <v>1102</v>
      </c>
      <c r="FE11" s="296" t="s">
        <v>1103</v>
      </c>
      <c r="FF11" s="296">
        <v>18</v>
      </c>
      <c r="FG11" s="296">
        <v>10</v>
      </c>
      <c r="FH11" s="296">
        <v>621</v>
      </c>
      <c r="FI11" s="296">
        <v>548</v>
      </c>
      <c r="FJ11" s="296">
        <v>18</v>
      </c>
      <c r="FK11" s="296">
        <v>15</v>
      </c>
      <c r="FL11" s="296">
        <v>10</v>
      </c>
      <c r="FM11" s="296">
        <v>51</v>
      </c>
      <c r="FN11" s="296">
        <v>23</v>
      </c>
      <c r="FO11" s="296">
        <v>126</v>
      </c>
      <c r="FP11" s="296">
        <v>44</v>
      </c>
      <c r="FQ11" s="296">
        <v>17</v>
      </c>
      <c r="FR11" s="296">
        <v>5</v>
      </c>
      <c r="FS11" s="296">
        <v>3</v>
      </c>
      <c r="FT11" s="296">
        <v>1</v>
      </c>
      <c r="FU11" s="296">
        <v>5</v>
      </c>
      <c r="FV11" s="296">
        <v>8</v>
      </c>
      <c r="FW11" s="296">
        <v>5</v>
      </c>
      <c r="FX11" s="296">
        <v>8</v>
      </c>
      <c r="FY11" s="296">
        <v>5</v>
      </c>
      <c r="FZ11" s="296">
        <v>0</v>
      </c>
      <c r="GA11" s="296">
        <v>0.8</v>
      </c>
      <c r="GB11" s="296">
        <v>0</v>
      </c>
      <c r="GC11" s="296">
        <v>16</v>
      </c>
      <c r="GD11" s="296">
        <v>0</v>
      </c>
      <c r="GE11" s="296">
        <v>0</v>
      </c>
      <c r="GF11" s="296">
        <v>5.5</v>
      </c>
      <c r="GG11" s="296" t="s">
        <v>1084</v>
      </c>
      <c r="GH11" s="301">
        <v>6.89</v>
      </c>
    </row>
    <row r="12" spans="1:190" ht="24.95" customHeight="1" x14ac:dyDescent="0.25"/>
    <row r="13" spans="1:190" ht="24.95" customHeight="1" x14ac:dyDescent="0.25"/>
    <row r="14" spans="1:190" ht="24.95" customHeight="1" x14ac:dyDescent="0.25"/>
    <row r="15" spans="1:190" ht="24.95" customHeight="1" x14ac:dyDescent="0.25"/>
    <row r="16" spans="1:190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H1">
    <sortState ref="B2:GH11">
      <sortCondition ref="B1"/>
    </sortState>
  </autoFilter>
  <phoneticPr fontId="53" type="noConversion"/>
  <conditionalFormatting sqref="BF1:BF1048576">
    <cfRule type="iconSet" priority="2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7">
      <colorScale>
        <cfvo type="min"/>
        <cfvo type="max"/>
        <color rgb="FFFFEF9C"/>
        <color rgb="FF63BE7B"/>
      </colorScale>
    </cfRule>
  </conditionalFormatting>
  <conditionalFormatting sqref="BC1:BE1048576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D1048576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D1048576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3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3">
      <colorScale>
        <cfvo type="num" val="-1.0000000000000001E-5"/>
        <cfvo type="num" val="0"/>
        <cfvo type="max"/>
        <color rgb="FFF8696B"/>
        <color theme="7" tint="0.59999389629810485"/>
        <color rgb="FF00B0F0"/>
      </colorScale>
    </cfRule>
  </conditionalFormatting>
  <conditionalFormatting sqref="AE1:AE1048576">
    <cfRule type="colorScale" priority="518">
      <colorScale>
        <cfvo type="min"/>
        <cfvo type="max"/>
        <color rgb="FFFFEF9C"/>
        <color rgb="FF63BE7B"/>
      </colorScale>
    </cfRule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W1048576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E1048576"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2:DV1048576">
    <cfRule type="iconSet" priority="3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514">
      <colorScale>
        <cfvo type="min"/>
        <cfvo type="max"/>
        <color rgb="FFFFEF9C"/>
        <color rgb="FF63BE7B"/>
      </colorScale>
    </cfRule>
  </conditionalFormatting>
  <conditionalFormatting sqref="BE1:BE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3">
      <colorScale>
        <cfvo type="min"/>
        <cfvo type="max"/>
        <color rgb="FFFFEF9C"/>
        <color rgb="FF63BE7B"/>
      </colorScale>
    </cfRule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048576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30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iconSet" priority="30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4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DG1:DG104857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2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09">
      <colorScale>
        <cfvo type="min"/>
        <cfvo type="max"/>
        <color rgb="FFFFEF9C"/>
        <color rgb="FF63BE7B"/>
      </colorScale>
    </cfRule>
  </conditionalFormatting>
  <conditionalFormatting sqref="BB1:BB1048576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M1048576">
    <cfRule type="colorScale" priority="562">
      <colorScale>
        <cfvo type="min"/>
        <cfvo type="max"/>
        <color rgb="FFFFEF9C"/>
        <color rgb="FF63BE7B"/>
      </colorScale>
    </cfRule>
  </conditionalFormatting>
  <conditionalFormatting sqref="AL1:AL1048576">
    <cfRule type="colorScale" priority="552">
      <colorScale>
        <cfvo type="min"/>
        <cfvo type="max"/>
        <color rgb="FFFFEF9C"/>
        <color rgb="FF63BE7B"/>
      </colorScale>
    </cfRule>
  </conditionalFormatting>
  <conditionalFormatting sqref="AM1:AM1048576">
    <cfRule type="colorScale" priority="551">
      <colorScale>
        <cfvo type="min"/>
        <cfvo type="max"/>
        <color rgb="FFFFEF9C"/>
        <color rgb="FF63BE7B"/>
      </colorScale>
    </cfRule>
  </conditionalFormatting>
  <conditionalFormatting sqref="AF1:AF1048576">
    <cfRule type="colorScale" priority="517">
      <colorScale>
        <cfvo type="min"/>
        <cfvo type="max"/>
        <color rgb="FFFFEF9C"/>
        <color rgb="FF63BE7B"/>
      </colorScale>
    </cfRule>
  </conditionalFormatting>
  <conditionalFormatting sqref="BV1:BV1048576">
    <cfRule type="iconSet" priority="30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1:BX104857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iconSet" priority="3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3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2">
      <colorScale>
        <cfvo type="num" val="-1E-4"/>
        <cfvo type="num" val="0"/>
        <cfvo type="max"/>
        <color rgb="FFF8696B"/>
        <color rgb="FFFFEB84"/>
        <color rgb="FF63BE7B"/>
      </colorScale>
    </cfRule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048576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:CI1048576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F1048576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2:CG1048576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048576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:CJ1048576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dataBar" priority="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{14AAE41A-7AD0-46BC-9D4A-95F9B0EC17AA}</x14:id>
        </ext>
      </extLst>
    </cfRule>
    <cfRule type="colorScale" priority="435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{E9A028F3-894B-47D5-AE28-79455BFA7C1A}</x14:id>
        </ext>
      </extLst>
    </cfRule>
    <cfRule type="colorScale" priority="43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{778B5564-DE9B-4B3D-937F-581F15378BA9}</x14:id>
        </ext>
      </extLst>
    </cfRule>
    <cfRule type="colorScale" priority="43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dataBar" priority="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{556CE295-D6F9-4D2A-844F-6E0855EB24BD}</x14:id>
        </ext>
      </extLst>
    </cfRule>
    <cfRule type="colorScale" priority="44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I1:CI1048576">
    <cfRule type="dataBar" priority="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{3F530B19-D044-4B1A-80D1-C16106E96D32}</x14:id>
        </ext>
      </extLst>
    </cfRule>
    <cfRule type="colorScale" priority="43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J1:CJ1048576">
    <cfRule type="dataBar" priority="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{F0FE0B45-50CB-4CCE-B835-5A07810E6A85}</x14:id>
        </ext>
      </extLst>
    </cfRule>
    <cfRule type="colorScale" priority="43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L1:CL1048576">
    <cfRule type="dataBar" priority="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{782CC29C-0A36-4764-A4A6-F6CC29A5E01D}</x14:id>
        </ext>
      </extLst>
    </cfRule>
    <cfRule type="colorScale" priority="43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EF1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3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D1048576">
    <cfRule type="iconSet" priority="33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:EE1048576">
    <cfRule type="iconSet" priority="31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2:DU1048576">
    <cfRule type="iconSet" priority="3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342">
      <colorScale>
        <cfvo type="num" val="0"/>
        <cfvo type="num" val="1.7"/>
        <cfvo type="num" val="1.83"/>
        <color rgb="FFF8696B"/>
        <color rgb="FFFFEB84"/>
        <color rgb="FF63BE7B"/>
      </colorScale>
    </cfRule>
  </conditionalFormatting>
  <conditionalFormatting sqref="CQ1:CQ1048576">
    <cfRule type="iconSet" priority="2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">
    <cfRule type="iconSet" priority="299">
      <iconSet iconSet="4Arrows">
        <cfvo type="percent" val="0"/>
        <cfvo type="percent" val="25"/>
        <cfvo type="percent" val="50"/>
        <cfvo type="percent" val="75"/>
      </iconSet>
    </cfRule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1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iconSet" priority="29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92">
      <colorScale>
        <cfvo type="min"/>
        <cfvo type="max"/>
        <color rgb="FFFCFCFF"/>
        <color rgb="FFF8696B"/>
      </colorScale>
    </cfRule>
  </conditionalFormatting>
  <conditionalFormatting sqref="BG1:BG1048576">
    <cfRule type="colorScale" priority="286">
      <colorScale>
        <cfvo type="min"/>
        <cfvo type="max"/>
        <color rgb="FFFCFCFF"/>
        <color rgb="FFF8696B"/>
      </colorScale>
    </cfRule>
  </conditionalFormatting>
  <conditionalFormatting sqref="EF1:EF1048576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1048576">
    <cfRule type="iconSet" priority="26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1:EG1048576">
    <cfRule type="iconSet" priority="26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4">
      <colorScale>
        <cfvo type="min"/>
        <cfvo type="max"/>
        <color rgb="FFFCFCFF"/>
        <color rgb="FFF8696B"/>
      </colorScale>
    </cfRule>
  </conditionalFormatting>
  <conditionalFormatting sqref="EH1:EH1048576">
    <cfRule type="iconSet" priority="2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3">
      <colorScale>
        <cfvo type="min"/>
        <cfvo type="max"/>
        <color rgb="FFFCFCFF"/>
        <color rgb="FFF8696B"/>
      </colorScale>
    </cfRule>
  </conditionalFormatting>
  <conditionalFormatting sqref="DI1:DI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:DJ1048576">
    <cfRule type="colorScale" priority="236">
      <colorScale>
        <cfvo type="min"/>
        <cfvo type="percentile" val="50"/>
        <cfvo type="max"/>
        <color rgb="FFF8696B"/>
        <color rgb="FFD9E1F2"/>
        <color rgb="FF00B0F0"/>
      </colorScale>
    </cfRule>
    <cfRule type="iconSet" priority="25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:X1048576">
    <cfRule type="iconSet" priority="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iconSet" priority="4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iconSet" priority="1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iconSet" priority="237">
      <iconSet iconSet="3ArrowsGray">
        <cfvo type="percent" val="0"/>
        <cfvo type="percent" val="33"/>
        <cfvo type="percent" val="67"/>
      </iconSet>
    </cfRule>
    <cfRule type="colorScale" priority="24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V1:V1048576">
    <cfRule type="iconSet" priority="242">
      <iconSet iconSet="3ArrowsGray" reverse="1">
        <cfvo type="percent" val="0"/>
        <cfvo type="percent" val="33"/>
        <cfvo type="percent" val="67"/>
      </iconSet>
    </cfRule>
    <cfRule type="colorScale" priority="244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W1:W1048576">
    <cfRule type="colorScale" priority="24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N1:N1048576">
    <cfRule type="iconSet" priority="2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2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1:O1048576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{4710D6D0-D2CC-45C2-B07A-568AC19364E2}</x14:id>
        </ext>
      </extLst>
    </cfRule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2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colorScale" priority="218">
      <colorScale>
        <cfvo type="min"/>
        <cfvo type="max"/>
        <color rgb="FFFFEF9C"/>
        <color rgb="FF63BE7B"/>
      </colorScale>
    </cfRule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colorScale" priority="217">
      <colorScale>
        <cfvo type="min"/>
        <cfvo type="max"/>
        <color rgb="FFFFEF9C"/>
        <color rgb="FF63BE7B"/>
      </colorScale>
    </cfRule>
  </conditionalFormatting>
  <conditionalFormatting sqref="AP1:AP1048576">
    <cfRule type="colorScale" priority="216">
      <colorScale>
        <cfvo type="min"/>
        <cfvo type="max"/>
        <color rgb="FFFFEF9C"/>
        <color rgb="FF63BE7B"/>
      </colorScale>
    </cfRule>
  </conditionalFormatting>
  <conditionalFormatting sqref="AQ1">
    <cfRule type="colorScale" priority="215">
      <colorScale>
        <cfvo type="min"/>
        <cfvo type="max"/>
        <color rgb="FFFFEF9C"/>
        <color rgb="FF63BE7B"/>
      </colorScale>
    </cfRule>
  </conditionalFormatting>
  <conditionalFormatting sqref="AQ1:AQ1048576">
    <cfRule type="iconSet" priority="212">
      <iconSet>
        <cfvo type="percent" val="0"/>
        <cfvo type="percent" val="33"/>
        <cfvo type="percent" val="67"/>
      </iconSet>
    </cfRule>
    <cfRule type="colorScale" priority="214">
      <colorScale>
        <cfvo type="min"/>
        <cfvo type="max"/>
        <color rgb="FFFFEF9C"/>
        <color rgb="FF63BE7B"/>
      </colorScale>
    </cfRule>
  </conditionalFormatting>
  <conditionalFormatting sqref="I1:I104857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ntainsText" dxfId="2" priority="193" operator="containsText" text="Desconhecido">
      <formula>NOT(ISERROR(SEARCH("Desconhecido",J1)))</formula>
    </cfRule>
    <cfRule type="containsText" dxfId="1" priority="194" operator="containsText" text="Não está à venda">
      <formula>NOT(ISERROR(SEARCH("Não está à venda",J1)))</formula>
    </cfRule>
  </conditionalFormatting>
  <conditionalFormatting sqref="CZ1:CZ1048576">
    <cfRule type="dataBar" priority="183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{6DDC7AAF-373F-4AAB-A24C-0B2D4B0185A5}</x14:id>
        </ext>
      </extLst>
    </cfRule>
    <cfRule type="iconSet" priority="19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K1:DK1048576">
    <cfRule type="colorScale" priority="187">
      <colorScale>
        <cfvo type="min"/>
        <cfvo type="percentile" val="50"/>
        <cfvo type="max"/>
        <color rgb="FFF8696B"/>
        <color rgb="FFD9E1F2"/>
        <color rgb="FF00B0F0"/>
      </colorScale>
    </cfRule>
  </conditionalFormatting>
  <conditionalFormatting sqref="BQ1:BQ1048576">
    <cfRule type="iconSet" priority="17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O1048576">
    <cfRule type="iconSet" priority="1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iconSet" priority="1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J1:EJ1048576">
    <cfRule type="iconSet" priority="151">
      <iconSet iconSet="3Arrows">
        <cfvo type="percent" val="0"/>
        <cfvo type="num" val="6.7"/>
        <cfvo type="num" val="7"/>
      </iconSet>
    </cfRule>
    <cfRule type="colorScale" priority="152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DN1:DN1048576">
    <cfRule type="colorScale" priority="12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O1:DO1048576">
    <cfRule type="colorScale" priority="12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P1:DP1048576">
    <cfRule type="iconSet" priority="1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Q1:DQ1048576"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R1:DR1048576">
    <cfRule type="iconSet" priority="12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4">
      <colorScale>
        <cfvo type="min"/>
        <cfvo type="max"/>
        <color rgb="FFFCFCFF"/>
        <color rgb="FFF8696B"/>
      </colorScale>
    </cfRule>
  </conditionalFormatting>
  <conditionalFormatting sqref="DS1:DS1048576">
    <cfRule type="iconSet" priority="12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3">
      <colorScale>
        <cfvo type="min"/>
        <cfvo type="max"/>
        <color rgb="FFFCFCFF"/>
        <color rgb="FFF8696B"/>
      </colorScale>
    </cfRule>
  </conditionalFormatting>
  <conditionalFormatting sqref="DT1:DT1048576">
    <cfRule type="iconSet" priority="1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{C44FA3A8-7BE4-4DC0-913B-0A46DCF1586D}</x14:id>
        </ext>
      </extLst>
    </cfRule>
    <cfRule type="colorScale" priority="115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O1:CO1048576">
    <cfRule type="iconSet" priority="1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10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iconSet" priority="10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:BT104857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dataBar" priority="89">
      <dataBar>
        <cfvo type="min"/>
        <cfvo type="max"/>
        <color rgb="FF61BFF9"/>
      </dataBar>
      <extLst>
        <ext xmlns:x14="http://schemas.microsoft.com/office/spreadsheetml/2009/9/main" uri="{B025F937-C7B1-47D3-B67F-A62EFF666E3E}">
          <x14:id>{4A44C164-1EBA-4266-9D88-7AD3826FCDB2}</x14:id>
        </ext>
      </extLst>
    </cfRule>
    <cfRule type="iconSet" priority="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F5D74"/>
        <color rgb="FFA3D9FB"/>
        <color rgb="FF61BFF9"/>
      </colorScale>
    </cfRule>
  </conditionalFormatting>
  <conditionalFormatting sqref="BR1:BR1048576">
    <cfRule type="iconSet" priority="9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:BL1048576">
    <cfRule type="iconSet" priority="9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5">
      <colorScale>
        <cfvo type="min"/>
        <cfvo type="max"/>
        <color rgb="FFFFEF9C"/>
        <color rgb="FF63BE7B"/>
      </colorScale>
    </cfRule>
  </conditionalFormatting>
  <conditionalFormatting sqref="BM1:BM1048576">
    <cfRule type="iconSet" priority="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max"/>
        <color rgb="FFFFEF9C"/>
        <color rgb="FF63BE7B"/>
      </colorScale>
    </cfRule>
  </conditionalFormatting>
  <conditionalFormatting sqref="BN1:BN1048576">
    <cfRule type="iconSet" priority="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:CC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:CR1048576">
    <cfRule type="colorScale" priority="85">
      <colorScale>
        <cfvo type="num" val="-1"/>
        <cfvo type="num" val="0"/>
        <cfvo type="max"/>
        <color rgb="FFF8696B"/>
        <color rgb="FFFFEB84"/>
        <color rgb="FF63BE7B"/>
      </colorScale>
    </cfRule>
  </conditionalFormatting>
  <conditionalFormatting sqref="CS1:CS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T1:CT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U1:CU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V1:CV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W1:CW104857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X1:D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2">
      <colorScale>
        <cfvo type="min"/>
        <cfvo type="percentile" val="50"/>
        <cfvo type="max"/>
        <color rgb="FFF8696B"/>
        <color theme="4" tint="0.59999389629810485"/>
        <color theme="4" tint="-0.249977111117893"/>
      </colorScale>
    </cfRule>
  </conditionalFormatting>
  <conditionalFormatting sqref="DY1:DY1048576">
    <cfRule type="colorScale" priority="56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Z1:DZ1048576">
    <cfRule type="colorScale" priority="55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5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A1:EA1048576">
    <cfRule type="colorScale" priority="54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B1:EB104857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1:CN1048576">
    <cfRule type="dataBar" priority="4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{816EFB8F-36AA-4329-9761-19D02431D6C4}</x14:id>
        </ext>
      </extLst>
    </cfRule>
    <cfRule type="colorScale" priority="48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H1:AH104857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:CA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AX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{D7EA6F09-0016-4403-ACAB-D164071280E4}</x14:id>
        </ext>
      </extLst>
    </cfRule>
  </conditionalFormatting>
  <conditionalFormatting sqref="AY1:AY104857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{EA25C936-B00C-4BC5-AE42-A2C1B746CC5A}</x14:id>
        </ext>
      </extLst>
    </cfRule>
  </conditionalFormatting>
  <conditionalFormatting sqref="AZ1:AZ1048576"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{B90A5FD0-CFBD-44D2-847A-FDC9BCE3B71F}</x14:id>
        </ext>
      </extLst>
    </cfRule>
  </conditionalFormatting>
  <conditionalFormatting sqref="BA1:BA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{B844C464-1F5F-4CE8-8601-2F0F22BD163F}</x14:id>
        </ext>
      </extLst>
    </cfRule>
  </conditionalFormatting>
  <conditionalFormatting sqref="BV1:BV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2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{72C25462-B690-43DB-A390-AC4CACF28AB4}</x14:id>
        </ext>
      </extLst>
    </cfRule>
  </conditionalFormatting>
  <conditionalFormatting sqref="AR1:AR1048576">
    <cfRule type="dataBar" priority="2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{13C71701-FFB7-41EE-83DD-30C7626D9805}</x14:id>
        </ext>
      </extLst>
    </cfRule>
  </conditionalFormatting>
  <conditionalFormatting sqref="AV1:AV1048576">
    <cfRule type="dataBar" priority="1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{5E4BCAB9-E13A-4EDF-94C8-3B5206DA0A22}</x14:id>
        </ext>
      </extLst>
    </cfRule>
  </conditionalFormatting>
  <conditionalFormatting sqref="AW1:AW1048576">
    <cfRule type="dataBar" priority="17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{24F73CF6-4949-4EB7-8DCA-6664CA53232B}</x14:id>
        </ext>
      </extLst>
    </cfRule>
  </conditionalFormatting>
  <conditionalFormatting sqref="AS1:AS1048576">
    <cfRule type="dataBar" priority="1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{E6138265-35ED-480E-80B4-CCE8A529E598}</x14:id>
        </ext>
      </extLst>
    </cfRule>
  </conditionalFormatting>
  <conditionalFormatting sqref="AU1:AU1048576">
    <cfRule type="dataBar" priority="1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{BEBD870E-F763-4171-9009-1EAFB3706158}</x14:id>
        </ext>
      </extLst>
    </cfRule>
  </conditionalFormatting>
  <conditionalFormatting sqref="BJ1:BJ1048576">
    <cfRule type="iconSet" priority="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1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{4F91B05B-FBB7-4DD1-8837-9F473E2133C5}</x14:id>
        </ext>
      </extLst>
    </cfRule>
  </conditionalFormatting>
  <conditionalFormatting sqref="BK1:BK1048576">
    <cfRule type="iconSet" priority="4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10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{90A28873-503D-4A48-B2E7-4282FAC63867}</x14:id>
        </ext>
      </extLst>
    </cfRule>
  </conditionalFormatting>
  <conditionalFormatting sqref="DL1:DL1048576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{A17F4A20-7385-4408-ABFD-3EDF35AA8F29}</x14:id>
        </ext>
      </extLst>
    </cfRule>
  </conditionalFormatting>
  <conditionalFormatting sqref="DM1:DM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{ACFFD22C-288A-4858-A438-F69172D6B167}</x14:id>
        </ext>
      </extLst>
    </cfRule>
  </conditionalFormatting>
  <conditionalFormatting sqref="CX1:CX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{507416C6-821C-4CD7-A6F1-99620BFA8651}</x14:id>
        </ext>
      </extLst>
    </cfRule>
  </conditionalFormatting>
  <conditionalFormatting sqref="CY1:CY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{8622CB33-9D99-4192-AA63-EEACCA02AEE5}</x14:id>
        </ext>
      </extLst>
    </cfRule>
  </conditionalFormatting>
  <conditionalFormatting sqref="AA1:AA1048576">
    <cfRule type="dataBar" priority="3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{532DD576-1F65-4F19-8023-5342688CCB82}</x14:id>
        </ext>
      </extLst>
    </cfRule>
  </conditionalFormatting>
  <conditionalFormatting sqref="AB1:AB1048576">
    <cfRule type="dataBar" priority="2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{6BEFC0E4-45ED-4A6D-AF76-21FB9B7119C4}</x14:id>
        </ext>
      </extLst>
    </cfRule>
  </conditionalFormatting>
  <conditionalFormatting sqref="AC1:AC1048576">
    <cfRule type="dataBar" priority="1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{281ACDAE-2042-4B63-8E16-B3B1B2BEF6AF}</x14:id>
        </ext>
      </extLst>
    </cfRule>
  </conditionalFormatting>
  <conditionalFormatting sqref="DE12:DF1048576 DE1:DF1 DE2:DE11">
    <cfRule type="colorScale" priority="2444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2:DH1048576 DH1">
    <cfRule type="colorScale" priority="2444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2:DU1048576">
    <cfRule type="colorScale" priority="2444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2:DF1048576 DF1">
    <cfRule type="colorScale" priority="2444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2:DC11">
    <cfRule type="colorScale" priority="2444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2:DD11">
    <cfRule type="colorScale" priority="2444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1">
    <cfRule type="colorScale" priority="244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44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2:DH11">
    <cfRule type="colorScale" priority="24447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2:DV11">
    <cfRule type="colorScale" priority="244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2:DV11">
    <cfRule type="colorScale" priority="2444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1">
    <cfRule type="colorScale" priority="2444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1">
    <cfRule type="colorScale" priority="2444718">
      <colorScale>
        <cfvo type="min"/>
        <cfvo type="max"/>
        <color rgb="FFFFEF9C"/>
        <color rgb="FF63BE7B"/>
      </colorScale>
    </cfRule>
  </conditionalFormatting>
  <conditionalFormatting sqref="DG2:DG11">
    <cfRule type="colorScale" priority="2444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2:DU11">
    <cfRule type="colorScale" priority="244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2:DU11">
    <cfRule type="colorScale" priority="2444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2:DF11">
    <cfRule type="colorScale" priority="24447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11">
    <cfRule type="iconSet" priority="2444723">
      <iconSet iconSet="3ArrowsGray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AAE41A-7AD0-46BC-9D4A-95F9B0EC1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E9A028F3-894B-47D5-AE28-79455BFA7C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778B5564-DE9B-4B3D-937F-581F15378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556CE295-D6F9-4D2A-844F-6E0855EB2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3F530B19-D044-4B1A-80D1-C16106E96D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F0FE0B45-50CB-4CCE-B835-5A07810E6A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782CC29C-0A36-4764-A4A6-F6CC29A5E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CL1:CL1048576</xm:sqref>
        </x14:conditionalFormatting>
        <x14:conditionalFormatting xmlns:xm="http://schemas.microsoft.com/office/excel/2006/main">
          <x14:cfRule type="dataBar" id="{4710D6D0-D2CC-45C2-B07A-568AC19364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6DDC7AAF-373F-4AAB-A24C-0B2D4B018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CZ1:CZ1048576</xm:sqref>
        </x14:conditionalFormatting>
        <x14:conditionalFormatting xmlns:xm="http://schemas.microsoft.com/office/excel/2006/main">
          <x14:cfRule type="dataBar" id="{C44FA3A8-7BE4-4DC0-913B-0A46DCF158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4A44C164-1EBA-4266-9D88-7AD3826FCDB2}">
            <x14:dataBar minLength="0" maxLength="100" border="1" gradient="0">
              <x14:cfvo type="autoMin"/>
              <x14:cfvo type="autoMax"/>
              <x14:borderColor theme="0" tint="0.79998168889431442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816EFB8F-36AA-4329-9761-19D02431D6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CN1:CN1048576</xm:sqref>
        </x14:conditionalFormatting>
        <x14:conditionalFormatting xmlns:xm="http://schemas.microsoft.com/office/excel/2006/main">
          <x14:cfRule type="dataBar" id="{D7EA6F09-0016-4403-ACAB-D164071280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EA25C936-B00C-4BC5-AE42-A2C1B746CC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B90A5FD0-CFBD-44D2-847A-FDC9BCE3B7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B844C464-1F5F-4CE8-8601-2F0F22BD16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BA1:BA1048576</xm:sqref>
        </x14:conditionalFormatting>
        <x14:conditionalFormatting xmlns:xm="http://schemas.microsoft.com/office/excel/2006/main">
          <x14:cfRule type="dataBar" id="{72C25462-B690-43DB-A390-AC4CACF28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13C71701-FFB7-41EE-83DD-30C7626D98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5E4BCAB9-E13A-4EDF-94C8-3B5206DA0A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24F73CF6-4949-4EB7-8DCA-6664CA5323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E6138265-35ED-480E-80B4-CCE8A529E5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BEBD870E-F763-4171-9009-1EAFB37061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4F91B05B-FBB7-4DD1-8837-9F473E213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BJ1:BJ1048576</xm:sqref>
        </x14:conditionalFormatting>
        <x14:conditionalFormatting xmlns:xm="http://schemas.microsoft.com/office/excel/2006/main">
          <x14:cfRule type="dataBar" id="{90A28873-503D-4A48-B2E7-4282FAC638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BK1:BK1048576</xm:sqref>
        </x14:conditionalFormatting>
        <x14:conditionalFormatting xmlns:xm="http://schemas.microsoft.com/office/excel/2006/main">
          <x14:cfRule type="dataBar" id="{A17F4A20-7385-4408-ABFD-3EDF35AA8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DL1:DL1048576</xm:sqref>
        </x14:conditionalFormatting>
        <x14:conditionalFormatting xmlns:xm="http://schemas.microsoft.com/office/excel/2006/main">
          <x14:cfRule type="dataBar" id="{ACFFD22C-288A-4858-A438-F69172D6B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DM1:DM1048576</xm:sqref>
        </x14:conditionalFormatting>
        <x14:conditionalFormatting xmlns:xm="http://schemas.microsoft.com/office/excel/2006/main">
          <x14:cfRule type="dataBar" id="{507416C6-821C-4CD7-A6F1-99620BFA86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8622CB33-9D99-4192-AA63-EEACCA02AE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532DD576-1F65-4F19-8023-5342688CCB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BEFC0E4-45ED-4A6D-AF76-21FB9B7119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81ACDAE-2042-4B63-8E16-B3B1B2BEF6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>
    <tabColor rgb="FFFFFF00"/>
  </sheetPr>
  <dimension ref="A1:DF204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8.75" x14ac:dyDescent="0.3"/>
  <cols>
    <col min="1" max="1" width="25.7109375" customWidth="1"/>
    <col min="2" max="2" width="11" customWidth="1"/>
    <col min="3" max="3" width="16.28515625" customWidth="1"/>
    <col min="4" max="5" width="13.5703125" customWidth="1"/>
    <col min="6" max="15" width="18.7109375" customWidth="1"/>
    <col min="16" max="16" width="18.7109375" style="227" customWidth="1"/>
    <col min="17" max="53" width="18.7109375" customWidth="1"/>
    <col min="54" max="54" width="20.5703125" customWidth="1"/>
    <col min="55" max="61" width="18.7109375" customWidth="1"/>
    <col min="62" max="62" width="8.7109375" customWidth="1"/>
    <col min="63" max="66" width="11.7109375" customWidth="1"/>
    <col min="67" max="68" width="11.7109375" style="1" customWidth="1"/>
    <col min="69" max="69" width="11.7109375" style="226" customWidth="1"/>
    <col min="70" max="99" width="11.7109375" style="1" customWidth="1"/>
    <col min="100" max="100" width="2.5703125" customWidth="1"/>
  </cols>
  <sheetData>
    <row r="1" spans="1:110" ht="50.1" customHeight="1" thickBot="1" x14ac:dyDescent="0.3">
      <c r="A1" s="235" t="s">
        <v>20</v>
      </c>
      <c r="B1" s="235" t="s">
        <v>510</v>
      </c>
      <c r="C1" s="230" t="s">
        <v>527</v>
      </c>
      <c r="D1" s="230" t="s">
        <v>121</v>
      </c>
      <c r="E1" s="230" t="s">
        <v>526</v>
      </c>
      <c r="F1" s="264" t="s">
        <v>170</v>
      </c>
      <c r="G1" s="264" t="s">
        <v>525</v>
      </c>
      <c r="H1" s="264" t="s">
        <v>524</v>
      </c>
      <c r="I1" s="264" t="s">
        <v>523</v>
      </c>
      <c r="J1" s="265" t="s">
        <v>39</v>
      </c>
      <c r="K1" s="264" t="s">
        <v>82</v>
      </c>
      <c r="L1" s="264" t="s">
        <v>27</v>
      </c>
      <c r="M1" s="264" t="s">
        <v>83</v>
      </c>
      <c r="N1" s="200" t="s">
        <v>428</v>
      </c>
      <c r="O1" s="200" t="s">
        <v>429</v>
      </c>
      <c r="P1" s="263" t="s">
        <v>522</v>
      </c>
      <c r="Q1" s="263" t="s">
        <v>521</v>
      </c>
      <c r="R1" s="22" t="s">
        <v>248</v>
      </c>
      <c r="S1" s="22" t="s">
        <v>249</v>
      </c>
      <c r="T1" s="4" t="s">
        <v>47</v>
      </c>
      <c r="U1" s="4" t="s">
        <v>140</v>
      </c>
      <c r="V1" s="4" t="s">
        <v>520</v>
      </c>
      <c r="W1" s="46" t="s">
        <v>336</v>
      </c>
      <c r="X1" s="46" t="s">
        <v>337</v>
      </c>
      <c r="Y1" s="46" t="s">
        <v>473</v>
      </c>
      <c r="Z1" s="46" t="s">
        <v>528</v>
      </c>
      <c r="AA1" s="46" t="s">
        <v>357</v>
      </c>
      <c r="AB1" s="46" t="s">
        <v>519</v>
      </c>
      <c r="AC1" s="366" t="s">
        <v>426</v>
      </c>
      <c r="AD1" s="366" t="s">
        <v>518</v>
      </c>
      <c r="AE1" s="365" t="s">
        <v>517</v>
      </c>
      <c r="AF1" s="365" t="s">
        <v>516</v>
      </c>
      <c r="AG1" s="365" t="s">
        <v>515</v>
      </c>
      <c r="AH1" s="262" t="s">
        <v>22</v>
      </c>
      <c r="AI1" s="262" t="s">
        <v>150</v>
      </c>
      <c r="AJ1" s="262" t="s">
        <v>65</v>
      </c>
      <c r="AK1" s="262" t="s">
        <v>155</v>
      </c>
      <c r="AL1" s="262" t="s">
        <v>551</v>
      </c>
      <c r="AM1" s="262" t="s">
        <v>305</v>
      </c>
      <c r="AN1" s="261" t="s">
        <v>340</v>
      </c>
      <c r="AO1" s="261" t="s">
        <v>514</v>
      </c>
      <c r="AP1" s="235" t="s">
        <v>341</v>
      </c>
      <c r="AQ1" s="261" t="s">
        <v>503</v>
      </c>
      <c r="AR1" s="235" t="s">
        <v>105</v>
      </c>
      <c r="AS1" s="260" t="s">
        <v>182</v>
      </c>
      <c r="AT1" s="234" t="s">
        <v>513</v>
      </c>
      <c r="AU1" s="260" t="s">
        <v>111</v>
      </c>
      <c r="AV1" s="234" t="s">
        <v>512</v>
      </c>
      <c r="AW1" s="234" t="s">
        <v>511</v>
      </c>
      <c r="AX1" s="367" t="s">
        <v>69</v>
      </c>
      <c r="AY1" s="367" t="s">
        <v>494</v>
      </c>
      <c r="AZ1" s="100" t="s">
        <v>446</v>
      </c>
      <c r="BA1" s="100" t="s">
        <v>446</v>
      </c>
      <c r="BB1" s="100" t="s">
        <v>824</v>
      </c>
      <c r="BC1" s="270" t="s">
        <v>433</v>
      </c>
      <c r="BD1" s="241" t="s">
        <v>106</v>
      </c>
      <c r="BE1" s="259" t="s">
        <v>427</v>
      </c>
      <c r="BF1" s="258" t="s">
        <v>81</v>
      </c>
      <c r="BG1" s="235" t="s">
        <v>92</v>
      </c>
      <c r="BH1" s="235" t="s">
        <v>171</v>
      </c>
      <c r="BI1" s="110" t="s">
        <v>25</v>
      </c>
      <c r="BJ1" s="293" t="s">
        <v>14</v>
      </c>
      <c r="BK1" s="294" t="s">
        <v>831</v>
      </c>
      <c r="BL1" s="294" t="s">
        <v>20</v>
      </c>
      <c r="BM1" s="294" t="s">
        <v>1</v>
      </c>
      <c r="BN1" s="294" t="s">
        <v>29</v>
      </c>
      <c r="BO1" s="294" t="s">
        <v>40</v>
      </c>
      <c r="BP1" s="294" t="s">
        <v>622</v>
      </c>
      <c r="BQ1" s="294" t="s">
        <v>643</v>
      </c>
      <c r="BR1" s="294" t="s">
        <v>684</v>
      </c>
      <c r="BS1" s="294" t="s">
        <v>685</v>
      </c>
      <c r="BT1" s="294" t="s">
        <v>5</v>
      </c>
      <c r="BU1" s="294" t="s">
        <v>103</v>
      </c>
      <c r="BV1" s="294" t="s">
        <v>8</v>
      </c>
      <c r="BW1" s="294" t="s">
        <v>9</v>
      </c>
      <c r="BX1" s="294" t="s">
        <v>11</v>
      </c>
      <c r="BY1" s="294" t="s">
        <v>17</v>
      </c>
      <c r="BZ1" s="294" t="s">
        <v>7</v>
      </c>
      <c r="CA1" s="294" t="s">
        <v>166</v>
      </c>
      <c r="CB1" s="294" t="s">
        <v>179</v>
      </c>
      <c r="CC1" s="294" t="s">
        <v>4</v>
      </c>
      <c r="CD1" s="294" t="s">
        <v>649</v>
      </c>
      <c r="CE1" s="294" t="s">
        <v>93</v>
      </c>
      <c r="CF1" s="294" t="s">
        <v>94</v>
      </c>
      <c r="CG1" s="294" t="s">
        <v>568</v>
      </c>
      <c r="CH1" s="294" t="s">
        <v>569</v>
      </c>
      <c r="CI1" s="294" t="s">
        <v>48</v>
      </c>
      <c r="CJ1" s="294" t="s">
        <v>646</v>
      </c>
      <c r="CK1" s="294" t="s">
        <v>647</v>
      </c>
      <c r="CL1" s="294" t="s">
        <v>624</v>
      </c>
      <c r="CM1" s="294" t="s">
        <v>18</v>
      </c>
      <c r="CN1" s="294" t="s">
        <v>10</v>
      </c>
      <c r="CO1" s="294" t="s">
        <v>15</v>
      </c>
      <c r="CP1" s="294" t="s">
        <v>16</v>
      </c>
      <c r="CQ1" s="294" t="s">
        <v>648</v>
      </c>
      <c r="CR1" s="294" t="s">
        <v>189</v>
      </c>
      <c r="CS1" s="294" t="s">
        <v>190</v>
      </c>
      <c r="CT1" s="294" t="s">
        <v>104</v>
      </c>
      <c r="CU1" s="295" t="s">
        <v>636</v>
      </c>
      <c r="CV1" s="228"/>
      <c r="DD1" s="1"/>
      <c r="DF1" s="1"/>
    </row>
    <row r="2" spans="1:110" ht="30" customHeight="1" thickBot="1" x14ac:dyDescent="0.3">
      <c r="A2" s="257" t="str">
        <f t="shared" ref="A2:A12" si="0">IF(BL2=0,"Sem Jogador Adicionado",BL2)</f>
        <v>Sem Jogador Adicionado</v>
      </c>
      <c r="B2" s="256" t="str">
        <f t="shared" ref="B2:B12" si="1">IF(BK2=0,"VAZIO",BK2)</f>
        <v>VAZIO</v>
      </c>
      <c r="C2" s="255">
        <f t="shared" ref="C2:C12" si="2">BP2</f>
        <v>0</v>
      </c>
      <c r="D2" s="255">
        <f>C2/90</f>
        <v>0</v>
      </c>
      <c r="E2" s="5">
        <f t="shared" ref="E2:E12" si="3">IFERROR(SUBSTITUTE(BN2," cm","")/100,0)</f>
        <v>0</v>
      </c>
      <c r="F2" s="24">
        <f t="shared" ref="F2:F12" si="4">IFERROR(CO2/D2,0)</f>
        <v>0</v>
      </c>
      <c r="G2" s="24">
        <f t="shared" ref="G2:G12" si="5">IFERROR(CP2/D2,0)</f>
        <v>0</v>
      </c>
      <c r="H2" s="5">
        <f t="shared" ref="H2:H12" si="6">IFERROR((CO2-CP2)/(D2),0)</f>
        <v>0</v>
      </c>
      <c r="I2" s="20">
        <f t="shared" ref="I2:I12" si="7">IFERROR((G2*1)/F2,0)</f>
        <v>0</v>
      </c>
      <c r="J2" s="376">
        <f t="shared" ref="J2:J12" si="8">CL2</f>
        <v>0</v>
      </c>
      <c r="K2" s="6">
        <f t="shared" ref="K2:K12" si="9">CO2</f>
        <v>0</v>
      </c>
      <c r="L2" s="6">
        <f t="shared" ref="L2:L12" si="10">IFERROR((CO2-CP2),0)</f>
        <v>0</v>
      </c>
      <c r="M2" s="20">
        <f t="shared" ref="M2:M12" si="11">IFERROR((L2*1)/CO2,0)</f>
        <v>0</v>
      </c>
      <c r="N2" s="253">
        <f t="shared" ref="N2:N12" si="12">IFERROR((CG2+BV2+CN2+C2),0)</f>
        <v>0</v>
      </c>
      <c r="O2" s="254">
        <f t="shared" ref="O2:O12" si="13">IFERROR((N2/D2),0)</f>
        <v>0</v>
      </c>
      <c r="P2" s="253">
        <f t="shared" ref="P2:P12" si="14">IFERROR(Q2*D2,0)</f>
        <v>0</v>
      </c>
      <c r="Q2" s="252">
        <f t="shared" ref="Q2:Q12" si="15">CB2</f>
        <v>0</v>
      </c>
      <c r="R2" s="6">
        <f t="shared" ref="R2:R12" si="16">IFERROR(CC2+CA2+BW2+BR2,0)</f>
        <v>0</v>
      </c>
      <c r="S2" s="5">
        <f t="shared" ref="S2:S12" si="17">IFERROR(R2/D2,0)</f>
        <v>0</v>
      </c>
      <c r="T2" s="6">
        <f t="shared" ref="T2:T12" si="18">CG2</f>
        <v>0</v>
      </c>
      <c r="U2" s="6">
        <f t="shared" ref="U2:U12" si="19">CH2</f>
        <v>0</v>
      </c>
      <c r="V2" s="21">
        <f t="shared" ref="V2:V12" si="20">IFERROR((U2*1)/T2,0)</f>
        <v>0</v>
      </c>
      <c r="W2" s="5">
        <f>IFERROR(SUBSTITUTE(CA2,".","," )*1,0)</f>
        <v>0</v>
      </c>
      <c r="X2" s="5">
        <f t="shared" ref="X2:X12" si="21">IFERROR(W2/D2,0)</f>
        <v>0</v>
      </c>
      <c r="Y2" s="5">
        <f t="shared" ref="Y2:Y12" si="22">IFERROR(VALUE(SUBSTITUTE(BZ2,".",","))-(BT2*0.79),0)</f>
        <v>0</v>
      </c>
      <c r="Z2" s="5">
        <f t="shared" ref="Z2:Z12" si="23">IFERROR(Y2/D2,0)</f>
        <v>0</v>
      </c>
      <c r="AA2" s="5">
        <f t="shared" ref="AA2:AA12" si="24">IFERROR(W2+Y2,0)</f>
        <v>0</v>
      </c>
      <c r="AB2" s="5">
        <f t="shared" ref="AB2:AB12" si="25">IFERROR(AA2/D2,0)</f>
        <v>0</v>
      </c>
      <c r="AC2" s="6">
        <f t="shared" ref="AC2:AC12" si="26">BV2-BT2</f>
        <v>0</v>
      </c>
      <c r="AD2" s="5">
        <f t="shared" ref="AD2:AD12" si="27">IFERROR(AC2/D2,0)</f>
        <v>0</v>
      </c>
      <c r="AE2" s="5">
        <f t="shared" ref="AE2:AE12" si="28">IFERROR((BW2-BU2)/(D2-BT2),0)</f>
        <v>0</v>
      </c>
      <c r="AF2" s="20">
        <f t="shared" ref="AF2:AF12" si="29">IFERROR((BW2-BU2)/(BV2-BT2),0)</f>
        <v>0</v>
      </c>
      <c r="AG2" s="21">
        <f t="shared" ref="AG2:AG12" si="30">IFERROR((BR2-BU2)/(BV2-BT2),0)</f>
        <v>0</v>
      </c>
      <c r="AH2" s="6">
        <f t="shared" ref="AH2:AH12" si="31">BR2</f>
        <v>0</v>
      </c>
      <c r="AI2" s="5">
        <f t="shared" ref="AI2:AI12" si="32">IFERROR(AH2/D2,0)</f>
        <v>0</v>
      </c>
      <c r="AJ2" s="6">
        <f t="shared" ref="AJ2:AJ12" si="33">BS2</f>
        <v>0</v>
      </c>
      <c r="AK2" s="5">
        <f t="shared" ref="AK2:AK12" si="34">IFERROR((AJ2/D2),0)</f>
        <v>0</v>
      </c>
      <c r="AL2" s="6">
        <f t="shared" ref="AL2:AL12" si="35">AH2+AJ2</f>
        <v>0</v>
      </c>
      <c r="AM2" s="5">
        <f t="shared" ref="AM2:AM12" si="36">IFERROR(AI2+AK2,0)</f>
        <v>0</v>
      </c>
      <c r="AN2" s="6">
        <f t="shared" ref="AN2:AN12" si="37">IFERROR(BX2,0)</f>
        <v>0</v>
      </c>
      <c r="AO2" s="24">
        <f t="shared" ref="AO2:AO12" si="38">IFERROR(AN2/D2,0)</f>
        <v>0</v>
      </c>
      <c r="AP2" s="6">
        <f t="shared" ref="AP2:AP12" si="39">BY2</f>
        <v>0</v>
      </c>
      <c r="AQ2" s="199">
        <f t="shared" ref="AQ2:AQ12" si="40">IFERROR(AP2/D2,0)</f>
        <v>0</v>
      </c>
      <c r="AR2" s="21">
        <f t="shared" ref="AR2:AR12" si="41">IFERROR((AP2*1)/AN2,0)</f>
        <v>0</v>
      </c>
      <c r="AS2" s="211">
        <f t="shared" ref="AS2:AS12" si="42">CT2+CJ2+CI2</f>
        <v>0</v>
      </c>
      <c r="AT2" s="199">
        <f t="shared" ref="AT2:AT12" si="43">IFERROR(AS2/D2,0)</f>
        <v>0</v>
      </c>
      <c r="AU2" s="6">
        <f t="shared" ref="AU2:AU12" si="44">CU2+CI2</f>
        <v>0</v>
      </c>
      <c r="AV2" s="5">
        <f t="shared" ref="AV2:AV12" si="45">IFERROR(AU2/D2,0)</f>
        <v>0</v>
      </c>
      <c r="AW2" s="21">
        <f t="shared" ref="AW2:AW12" si="46">IFERROR(AU2/AS2,0)</f>
        <v>0</v>
      </c>
      <c r="AX2" s="348">
        <f t="shared" ref="AX2:AX12" si="47">CJ2</f>
        <v>0</v>
      </c>
      <c r="AY2" s="350">
        <f t="shared" ref="AY2:AY12" si="48">IFERROR(AX2/D2,0)</f>
        <v>0</v>
      </c>
      <c r="AZ2" s="348">
        <f t="shared" ref="AZ2:AZ12" si="49">CE2-CG2</f>
        <v>0</v>
      </c>
      <c r="BA2" s="348">
        <f t="shared" ref="BA2:BA12" si="50">CF2-CH2</f>
        <v>0</v>
      </c>
      <c r="BB2" s="337">
        <f t="shared" ref="BB2:BB12" si="51">IFERROR(BA2/AZ2,0)</f>
        <v>0</v>
      </c>
      <c r="BC2" s="2">
        <f t="shared" ref="BC2:BC12" si="52">CD2</f>
        <v>0</v>
      </c>
      <c r="BD2" s="5">
        <f t="shared" ref="BD2:BD12" si="53">IFERROR(BC2/D2,0)</f>
        <v>0</v>
      </c>
      <c r="BE2" s="5">
        <f t="shared" ref="BE2:BE12" si="54">IFERROR(VALUE(SUBSTITUTE(CM2," km","")),0)</f>
        <v>0</v>
      </c>
      <c r="BF2" s="5">
        <f t="shared" ref="BF2:BF12" si="55">IFERROR((BE2/D2),0)</f>
        <v>0</v>
      </c>
      <c r="BG2" s="2">
        <f t="shared" ref="BG2:BG12" si="56">CN2</f>
        <v>0</v>
      </c>
      <c r="BH2" s="5">
        <f t="shared" ref="BH2:BH12" si="57">IFERROR(BG2/D2,0)</f>
        <v>0</v>
      </c>
      <c r="BI2" s="5">
        <f t="shared" ref="BI2:BI12" si="58">IFERROR(VALUE(SUBSTITUTE(BQ2, ".", ",")),6)</f>
        <v>6</v>
      </c>
      <c r="BJ2" s="302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303"/>
      <c r="CV2" s="228"/>
    </row>
    <row r="3" spans="1:110" ht="30" customHeight="1" thickBot="1" x14ac:dyDescent="0.3">
      <c r="A3" s="257" t="str">
        <f t="shared" si="0"/>
        <v>Sem Jogador Adicionado</v>
      </c>
      <c r="B3" s="256" t="str">
        <f t="shared" si="1"/>
        <v>VAZIO</v>
      </c>
      <c r="C3" s="255">
        <f t="shared" si="2"/>
        <v>0</v>
      </c>
      <c r="D3" s="255">
        <f t="shared" ref="D3:D12" si="59">C3/90</f>
        <v>0</v>
      </c>
      <c r="E3" s="5">
        <f t="shared" si="3"/>
        <v>0</v>
      </c>
      <c r="F3" s="24">
        <f t="shared" si="4"/>
        <v>0</v>
      </c>
      <c r="G3" s="24">
        <f t="shared" si="5"/>
        <v>0</v>
      </c>
      <c r="H3" s="5">
        <f t="shared" si="6"/>
        <v>0</v>
      </c>
      <c r="I3" s="20">
        <f t="shared" si="7"/>
        <v>0</v>
      </c>
      <c r="J3" s="376">
        <f t="shared" si="8"/>
        <v>0</v>
      </c>
      <c r="K3" s="6">
        <f t="shared" si="9"/>
        <v>0</v>
      </c>
      <c r="L3" s="6">
        <f t="shared" si="10"/>
        <v>0</v>
      </c>
      <c r="M3" s="20">
        <f t="shared" si="11"/>
        <v>0</v>
      </c>
      <c r="N3" s="253">
        <f t="shared" si="12"/>
        <v>0</v>
      </c>
      <c r="O3" s="254">
        <f t="shared" si="13"/>
        <v>0</v>
      </c>
      <c r="P3" s="253">
        <f t="shared" si="14"/>
        <v>0</v>
      </c>
      <c r="Q3" s="252">
        <f t="shared" si="15"/>
        <v>0</v>
      </c>
      <c r="R3" s="6">
        <f t="shared" si="16"/>
        <v>0</v>
      </c>
      <c r="S3" s="5">
        <f t="shared" si="17"/>
        <v>0</v>
      </c>
      <c r="T3" s="6">
        <f t="shared" si="18"/>
        <v>0</v>
      </c>
      <c r="U3" s="6">
        <f t="shared" si="19"/>
        <v>0</v>
      </c>
      <c r="V3" s="21">
        <f t="shared" si="20"/>
        <v>0</v>
      </c>
      <c r="W3" s="5">
        <f t="shared" ref="W3:W12" si="60">IFERROR(SUBSTITUTE(CA3,".","," )*1,0)</f>
        <v>0</v>
      </c>
      <c r="X3" s="5">
        <f t="shared" si="21"/>
        <v>0</v>
      </c>
      <c r="Y3" s="5">
        <f t="shared" si="22"/>
        <v>0</v>
      </c>
      <c r="Z3" s="5">
        <f t="shared" si="23"/>
        <v>0</v>
      </c>
      <c r="AA3" s="5">
        <f t="shared" si="24"/>
        <v>0</v>
      </c>
      <c r="AB3" s="5">
        <f t="shared" si="25"/>
        <v>0</v>
      </c>
      <c r="AC3" s="6">
        <f t="shared" si="26"/>
        <v>0</v>
      </c>
      <c r="AD3" s="5">
        <f t="shared" si="27"/>
        <v>0</v>
      </c>
      <c r="AE3" s="5">
        <f t="shared" si="28"/>
        <v>0</v>
      </c>
      <c r="AF3" s="20">
        <f t="shared" si="29"/>
        <v>0</v>
      </c>
      <c r="AG3" s="21">
        <f t="shared" si="30"/>
        <v>0</v>
      </c>
      <c r="AH3" s="6">
        <f t="shared" si="31"/>
        <v>0</v>
      </c>
      <c r="AI3" s="5">
        <f t="shared" si="32"/>
        <v>0</v>
      </c>
      <c r="AJ3" s="6">
        <f t="shared" si="33"/>
        <v>0</v>
      </c>
      <c r="AK3" s="5">
        <f t="shared" si="34"/>
        <v>0</v>
      </c>
      <c r="AL3" s="6">
        <f t="shared" si="35"/>
        <v>0</v>
      </c>
      <c r="AM3" s="5">
        <f t="shared" si="36"/>
        <v>0</v>
      </c>
      <c r="AN3" s="6">
        <f t="shared" si="37"/>
        <v>0</v>
      </c>
      <c r="AO3" s="24">
        <f t="shared" si="38"/>
        <v>0</v>
      </c>
      <c r="AP3" s="6">
        <f t="shared" si="39"/>
        <v>0</v>
      </c>
      <c r="AQ3" s="199">
        <f t="shared" si="40"/>
        <v>0</v>
      </c>
      <c r="AR3" s="21">
        <f t="shared" si="41"/>
        <v>0</v>
      </c>
      <c r="AS3" s="211">
        <f t="shared" si="42"/>
        <v>0</v>
      </c>
      <c r="AT3" s="199">
        <f t="shared" si="43"/>
        <v>0</v>
      </c>
      <c r="AU3" s="6">
        <f t="shared" si="44"/>
        <v>0</v>
      </c>
      <c r="AV3" s="5">
        <f t="shared" si="45"/>
        <v>0</v>
      </c>
      <c r="AW3" s="21">
        <f t="shared" si="46"/>
        <v>0</v>
      </c>
      <c r="AX3" s="348">
        <f t="shared" si="47"/>
        <v>0</v>
      </c>
      <c r="AY3" s="350">
        <f t="shared" si="48"/>
        <v>0</v>
      </c>
      <c r="AZ3" s="348">
        <f t="shared" si="49"/>
        <v>0</v>
      </c>
      <c r="BA3" s="348">
        <f t="shared" si="50"/>
        <v>0</v>
      </c>
      <c r="BB3" s="337">
        <f t="shared" si="51"/>
        <v>0</v>
      </c>
      <c r="BC3" s="2">
        <f t="shared" si="52"/>
        <v>0</v>
      </c>
      <c r="BD3" s="5">
        <f t="shared" si="53"/>
        <v>0</v>
      </c>
      <c r="BE3" s="5">
        <f t="shared" si="54"/>
        <v>0</v>
      </c>
      <c r="BF3" s="5">
        <f t="shared" si="55"/>
        <v>0</v>
      </c>
      <c r="BG3" s="2">
        <f t="shared" si="56"/>
        <v>0</v>
      </c>
      <c r="BH3" s="5">
        <f t="shared" si="57"/>
        <v>0</v>
      </c>
      <c r="BI3" s="5">
        <f t="shared" si="58"/>
        <v>6</v>
      </c>
      <c r="BJ3" s="300"/>
      <c r="BK3" s="296"/>
      <c r="BL3" s="296"/>
      <c r="BM3" s="296"/>
      <c r="BN3" s="296"/>
      <c r="BO3" s="296"/>
      <c r="BP3" s="296"/>
      <c r="BQ3" s="296"/>
      <c r="BR3" s="296"/>
      <c r="BS3" s="296"/>
      <c r="BT3" s="296"/>
      <c r="BU3" s="296"/>
      <c r="BV3" s="296"/>
      <c r="BW3" s="296"/>
      <c r="BX3" s="296"/>
      <c r="BY3" s="296"/>
      <c r="BZ3" s="296"/>
      <c r="CA3" s="296"/>
      <c r="CB3" s="296"/>
      <c r="CC3" s="296"/>
      <c r="CD3" s="296"/>
      <c r="CE3" s="296"/>
      <c r="CF3" s="296"/>
      <c r="CG3" s="296"/>
      <c r="CH3" s="296"/>
      <c r="CI3" s="296"/>
      <c r="CJ3" s="296"/>
      <c r="CK3" s="296"/>
      <c r="CL3" s="296"/>
      <c r="CM3" s="296"/>
      <c r="CN3" s="296"/>
      <c r="CO3" s="296"/>
      <c r="CP3" s="296"/>
      <c r="CQ3" s="296"/>
      <c r="CR3" s="296"/>
      <c r="CS3" s="296"/>
      <c r="CT3" s="296"/>
      <c r="CU3" s="301"/>
      <c r="CV3" s="228"/>
    </row>
    <row r="4" spans="1:110" ht="30" customHeight="1" thickBot="1" x14ac:dyDescent="0.3">
      <c r="A4" s="257" t="str">
        <f t="shared" si="0"/>
        <v>Sem Jogador Adicionado</v>
      </c>
      <c r="B4" s="256" t="str">
        <f t="shared" si="1"/>
        <v>VAZIO</v>
      </c>
      <c r="C4" s="255">
        <f t="shared" si="2"/>
        <v>0</v>
      </c>
      <c r="D4" s="255">
        <f t="shared" si="59"/>
        <v>0</v>
      </c>
      <c r="E4" s="5">
        <f t="shared" si="3"/>
        <v>0</v>
      </c>
      <c r="F4" s="24">
        <f t="shared" si="4"/>
        <v>0</v>
      </c>
      <c r="G4" s="24">
        <f t="shared" si="5"/>
        <v>0</v>
      </c>
      <c r="H4" s="5">
        <f t="shared" si="6"/>
        <v>0</v>
      </c>
      <c r="I4" s="20">
        <f t="shared" si="7"/>
        <v>0</v>
      </c>
      <c r="J4" s="376">
        <f t="shared" si="8"/>
        <v>0</v>
      </c>
      <c r="K4" s="6">
        <f t="shared" si="9"/>
        <v>0</v>
      </c>
      <c r="L4" s="6">
        <f t="shared" si="10"/>
        <v>0</v>
      </c>
      <c r="M4" s="20">
        <f t="shared" si="11"/>
        <v>0</v>
      </c>
      <c r="N4" s="253">
        <f t="shared" si="12"/>
        <v>0</v>
      </c>
      <c r="O4" s="254">
        <f t="shared" si="13"/>
        <v>0</v>
      </c>
      <c r="P4" s="253">
        <f t="shared" si="14"/>
        <v>0</v>
      </c>
      <c r="Q4" s="252">
        <f t="shared" si="15"/>
        <v>0</v>
      </c>
      <c r="R4" s="6">
        <f t="shared" si="16"/>
        <v>0</v>
      </c>
      <c r="S4" s="5">
        <f t="shared" si="17"/>
        <v>0</v>
      </c>
      <c r="T4" s="6">
        <f t="shared" si="18"/>
        <v>0</v>
      </c>
      <c r="U4" s="6">
        <f t="shared" si="19"/>
        <v>0</v>
      </c>
      <c r="V4" s="21">
        <f t="shared" si="20"/>
        <v>0</v>
      </c>
      <c r="W4" s="5">
        <f t="shared" si="60"/>
        <v>0</v>
      </c>
      <c r="X4" s="5">
        <f t="shared" si="21"/>
        <v>0</v>
      </c>
      <c r="Y4" s="5">
        <f t="shared" si="22"/>
        <v>0</v>
      </c>
      <c r="Z4" s="5">
        <f t="shared" si="23"/>
        <v>0</v>
      </c>
      <c r="AA4" s="5">
        <f t="shared" si="24"/>
        <v>0</v>
      </c>
      <c r="AB4" s="5">
        <f t="shared" si="25"/>
        <v>0</v>
      </c>
      <c r="AC4" s="6">
        <f t="shared" si="26"/>
        <v>0</v>
      </c>
      <c r="AD4" s="5">
        <f t="shared" si="27"/>
        <v>0</v>
      </c>
      <c r="AE4" s="5">
        <f t="shared" si="28"/>
        <v>0</v>
      </c>
      <c r="AF4" s="20">
        <f t="shared" si="29"/>
        <v>0</v>
      </c>
      <c r="AG4" s="21">
        <f t="shared" si="30"/>
        <v>0</v>
      </c>
      <c r="AH4" s="6">
        <f t="shared" si="31"/>
        <v>0</v>
      </c>
      <c r="AI4" s="5">
        <f t="shared" si="32"/>
        <v>0</v>
      </c>
      <c r="AJ4" s="6">
        <f t="shared" si="33"/>
        <v>0</v>
      </c>
      <c r="AK4" s="5">
        <f t="shared" si="34"/>
        <v>0</v>
      </c>
      <c r="AL4" s="6">
        <f t="shared" si="35"/>
        <v>0</v>
      </c>
      <c r="AM4" s="5">
        <f t="shared" si="36"/>
        <v>0</v>
      </c>
      <c r="AN4" s="6">
        <f t="shared" si="37"/>
        <v>0</v>
      </c>
      <c r="AO4" s="24">
        <f t="shared" si="38"/>
        <v>0</v>
      </c>
      <c r="AP4" s="6">
        <f t="shared" si="39"/>
        <v>0</v>
      </c>
      <c r="AQ4" s="199">
        <f t="shared" si="40"/>
        <v>0</v>
      </c>
      <c r="AR4" s="21">
        <f t="shared" si="41"/>
        <v>0</v>
      </c>
      <c r="AS4" s="211">
        <f t="shared" si="42"/>
        <v>0</v>
      </c>
      <c r="AT4" s="199">
        <f t="shared" si="43"/>
        <v>0</v>
      </c>
      <c r="AU4" s="6">
        <f t="shared" si="44"/>
        <v>0</v>
      </c>
      <c r="AV4" s="5">
        <f t="shared" si="45"/>
        <v>0</v>
      </c>
      <c r="AW4" s="21">
        <f t="shared" si="46"/>
        <v>0</v>
      </c>
      <c r="AX4" s="348">
        <f t="shared" si="47"/>
        <v>0</v>
      </c>
      <c r="AY4" s="350">
        <f t="shared" si="48"/>
        <v>0</v>
      </c>
      <c r="AZ4" s="348">
        <f t="shared" si="49"/>
        <v>0</v>
      </c>
      <c r="BA4" s="348">
        <f t="shared" si="50"/>
        <v>0</v>
      </c>
      <c r="BB4" s="337">
        <f t="shared" si="51"/>
        <v>0</v>
      </c>
      <c r="BC4" s="2">
        <f t="shared" si="52"/>
        <v>0</v>
      </c>
      <c r="BD4" s="5">
        <f t="shared" si="53"/>
        <v>0</v>
      </c>
      <c r="BE4" s="5">
        <f t="shared" si="54"/>
        <v>0</v>
      </c>
      <c r="BF4" s="5">
        <f t="shared" si="55"/>
        <v>0</v>
      </c>
      <c r="BG4" s="2">
        <f t="shared" si="56"/>
        <v>0</v>
      </c>
      <c r="BH4" s="5">
        <f t="shared" si="57"/>
        <v>0</v>
      </c>
      <c r="BI4" s="5">
        <f t="shared" si="58"/>
        <v>6</v>
      </c>
      <c r="BJ4" s="300"/>
      <c r="BK4" s="296"/>
      <c r="BL4" s="296"/>
      <c r="BM4" s="296"/>
      <c r="BN4" s="296"/>
      <c r="BO4" s="296"/>
      <c r="BP4" s="296"/>
      <c r="BQ4" s="296"/>
      <c r="BR4" s="296"/>
      <c r="BS4" s="296"/>
      <c r="BT4" s="296"/>
      <c r="BU4" s="296"/>
      <c r="BV4" s="296"/>
      <c r="BW4" s="296"/>
      <c r="BX4" s="296"/>
      <c r="BY4" s="296"/>
      <c r="BZ4" s="296"/>
      <c r="CA4" s="296"/>
      <c r="CB4" s="296"/>
      <c r="CC4" s="296"/>
      <c r="CD4" s="296"/>
      <c r="CE4" s="296"/>
      <c r="CF4" s="296"/>
      <c r="CG4" s="296"/>
      <c r="CH4" s="296"/>
      <c r="CI4" s="296"/>
      <c r="CJ4" s="296"/>
      <c r="CK4" s="296"/>
      <c r="CL4" s="296"/>
      <c r="CM4" s="296"/>
      <c r="CN4" s="296"/>
      <c r="CO4" s="296"/>
      <c r="CP4" s="296"/>
      <c r="CQ4" s="296"/>
      <c r="CR4" s="296"/>
      <c r="CS4" s="296"/>
      <c r="CT4" s="296"/>
      <c r="CU4" s="301"/>
      <c r="CV4" s="228"/>
    </row>
    <row r="5" spans="1:110" ht="30" customHeight="1" thickBot="1" x14ac:dyDescent="0.3">
      <c r="A5" s="257" t="str">
        <f t="shared" si="0"/>
        <v>Sem Jogador Adicionado</v>
      </c>
      <c r="B5" s="256" t="str">
        <f t="shared" si="1"/>
        <v>VAZIO</v>
      </c>
      <c r="C5" s="255">
        <f t="shared" si="2"/>
        <v>0</v>
      </c>
      <c r="D5" s="255">
        <f t="shared" si="59"/>
        <v>0</v>
      </c>
      <c r="E5" s="5">
        <f t="shared" si="3"/>
        <v>0</v>
      </c>
      <c r="F5" s="24">
        <f t="shared" si="4"/>
        <v>0</v>
      </c>
      <c r="G5" s="24">
        <f t="shared" si="5"/>
        <v>0</v>
      </c>
      <c r="H5" s="5">
        <f t="shared" si="6"/>
        <v>0</v>
      </c>
      <c r="I5" s="20">
        <f t="shared" si="7"/>
        <v>0</v>
      </c>
      <c r="J5" s="376">
        <f t="shared" si="8"/>
        <v>0</v>
      </c>
      <c r="K5" s="6">
        <f t="shared" si="9"/>
        <v>0</v>
      </c>
      <c r="L5" s="6">
        <f t="shared" si="10"/>
        <v>0</v>
      </c>
      <c r="M5" s="20">
        <f t="shared" si="11"/>
        <v>0</v>
      </c>
      <c r="N5" s="253">
        <f t="shared" si="12"/>
        <v>0</v>
      </c>
      <c r="O5" s="254">
        <f t="shared" si="13"/>
        <v>0</v>
      </c>
      <c r="P5" s="253">
        <f t="shared" si="14"/>
        <v>0</v>
      </c>
      <c r="Q5" s="252">
        <f t="shared" si="15"/>
        <v>0</v>
      </c>
      <c r="R5" s="6">
        <f t="shared" si="16"/>
        <v>0</v>
      </c>
      <c r="S5" s="5">
        <f t="shared" si="17"/>
        <v>0</v>
      </c>
      <c r="T5" s="6">
        <f t="shared" si="18"/>
        <v>0</v>
      </c>
      <c r="U5" s="6">
        <f t="shared" si="19"/>
        <v>0</v>
      </c>
      <c r="V5" s="21">
        <f t="shared" si="20"/>
        <v>0</v>
      </c>
      <c r="W5" s="5">
        <f t="shared" si="60"/>
        <v>0</v>
      </c>
      <c r="X5" s="5">
        <f t="shared" si="21"/>
        <v>0</v>
      </c>
      <c r="Y5" s="5">
        <f t="shared" si="22"/>
        <v>0</v>
      </c>
      <c r="Z5" s="5">
        <f t="shared" si="23"/>
        <v>0</v>
      </c>
      <c r="AA5" s="5">
        <f t="shared" si="24"/>
        <v>0</v>
      </c>
      <c r="AB5" s="5">
        <f t="shared" si="25"/>
        <v>0</v>
      </c>
      <c r="AC5" s="6">
        <f t="shared" si="26"/>
        <v>0</v>
      </c>
      <c r="AD5" s="5">
        <f t="shared" si="27"/>
        <v>0</v>
      </c>
      <c r="AE5" s="5">
        <f t="shared" si="28"/>
        <v>0</v>
      </c>
      <c r="AF5" s="20">
        <f t="shared" si="29"/>
        <v>0</v>
      </c>
      <c r="AG5" s="21">
        <f t="shared" si="30"/>
        <v>0</v>
      </c>
      <c r="AH5" s="6">
        <f t="shared" si="31"/>
        <v>0</v>
      </c>
      <c r="AI5" s="5">
        <f t="shared" si="32"/>
        <v>0</v>
      </c>
      <c r="AJ5" s="6">
        <f t="shared" si="33"/>
        <v>0</v>
      </c>
      <c r="AK5" s="5">
        <f t="shared" si="34"/>
        <v>0</v>
      </c>
      <c r="AL5" s="6">
        <f t="shared" si="35"/>
        <v>0</v>
      </c>
      <c r="AM5" s="5">
        <f t="shared" si="36"/>
        <v>0</v>
      </c>
      <c r="AN5" s="6">
        <f t="shared" si="37"/>
        <v>0</v>
      </c>
      <c r="AO5" s="24">
        <f t="shared" si="38"/>
        <v>0</v>
      </c>
      <c r="AP5" s="6">
        <f t="shared" si="39"/>
        <v>0</v>
      </c>
      <c r="AQ5" s="199">
        <f t="shared" si="40"/>
        <v>0</v>
      </c>
      <c r="AR5" s="21">
        <f t="shared" si="41"/>
        <v>0</v>
      </c>
      <c r="AS5" s="211">
        <f t="shared" si="42"/>
        <v>0</v>
      </c>
      <c r="AT5" s="199">
        <f t="shared" si="43"/>
        <v>0</v>
      </c>
      <c r="AU5" s="6">
        <f t="shared" si="44"/>
        <v>0</v>
      </c>
      <c r="AV5" s="5">
        <f t="shared" si="45"/>
        <v>0</v>
      </c>
      <c r="AW5" s="21">
        <f t="shared" si="46"/>
        <v>0</v>
      </c>
      <c r="AX5" s="348">
        <f t="shared" si="47"/>
        <v>0</v>
      </c>
      <c r="AY5" s="350">
        <f t="shared" si="48"/>
        <v>0</v>
      </c>
      <c r="AZ5" s="348">
        <f t="shared" si="49"/>
        <v>0</v>
      </c>
      <c r="BA5" s="348">
        <f t="shared" si="50"/>
        <v>0</v>
      </c>
      <c r="BB5" s="337">
        <f t="shared" si="51"/>
        <v>0</v>
      </c>
      <c r="BC5" s="2">
        <f t="shared" si="52"/>
        <v>0</v>
      </c>
      <c r="BD5" s="5">
        <f t="shared" si="53"/>
        <v>0</v>
      </c>
      <c r="BE5" s="5">
        <f t="shared" si="54"/>
        <v>0</v>
      </c>
      <c r="BF5" s="5">
        <f t="shared" si="55"/>
        <v>0</v>
      </c>
      <c r="BG5" s="2">
        <f t="shared" si="56"/>
        <v>0</v>
      </c>
      <c r="BH5" s="5">
        <f t="shared" si="57"/>
        <v>0</v>
      </c>
      <c r="BI5" s="5">
        <f t="shared" si="58"/>
        <v>6</v>
      </c>
      <c r="BJ5" s="300"/>
      <c r="BK5" s="296"/>
      <c r="BL5" s="296"/>
      <c r="BM5" s="296"/>
      <c r="BN5" s="296"/>
      <c r="BO5" s="296"/>
      <c r="BP5" s="296"/>
      <c r="BQ5" s="296"/>
      <c r="BR5" s="296"/>
      <c r="BS5" s="296"/>
      <c r="BT5" s="296"/>
      <c r="BU5" s="296"/>
      <c r="BV5" s="296"/>
      <c r="BW5" s="296"/>
      <c r="BX5" s="296"/>
      <c r="BY5" s="296"/>
      <c r="BZ5" s="296"/>
      <c r="CA5" s="296"/>
      <c r="CB5" s="296"/>
      <c r="CC5" s="296"/>
      <c r="CD5" s="296"/>
      <c r="CE5" s="296"/>
      <c r="CF5" s="296"/>
      <c r="CG5" s="296"/>
      <c r="CH5" s="296"/>
      <c r="CI5" s="296"/>
      <c r="CJ5" s="296"/>
      <c r="CK5" s="296"/>
      <c r="CL5" s="296"/>
      <c r="CM5" s="296"/>
      <c r="CN5" s="296"/>
      <c r="CO5" s="296"/>
      <c r="CP5" s="296"/>
      <c r="CQ5" s="296"/>
      <c r="CR5" s="296"/>
      <c r="CS5" s="296"/>
      <c r="CT5" s="296"/>
      <c r="CU5" s="301"/>
      <c r="CV5" s="228"/>
    </row>
    <row r="6" spans="1:110" ht="30" customHeight="1" thickBot="1" x14ac:dyDescent="0.3">
      <c r="A6" s="257" t="str">
        <f t="shared" si="0"/>
        <v>Sem Jogador Adicionado</v>
      </c>
      <c r="B6" s="256" t="str">
        <f t="shared" si="1"/>
        <v>VAZIO</v>
      </c>
      <c r="C6" s="255">
        <f t="shared" si="2"/>
        <v>0</v>
      </c>
      <c r="D6" s="255">
        <f t="shared" si="59"/>
        <v>0</v>
      </c>
      <c r="E6" s="5">
        <f t="shared" si="3"/>
        <v>0</v>
      </c>
      <c r="F6" s="24">
        <f t="shared" si="4"/>
        <v>0</v>
      </c>
      <c r="G6" s="24">
        <f t="shared" si="5"/>
        <v>0</v>
      </c>
      <c r="H6" s="5">
        <f t="shared" si="6"/>
        <v>0</v>
      </c>
      <c r="I6" s="20">
        <f t="shared" si="7"/>
        <v>0</v>
      </c>
      <c r="J6" s="376">
        <f t="shared" si="8"/>
        <v>0</v>
      </c>
      <c r="K6" s="6">
        <f t="shared" si="9"/>
        <v>0</v>
      </c>
      <c r="L6" s="6">
        <f t="shared" si="10"/>
        <v>0</v>
      </c>
      <c r="M6" s="20">
        <f t="shared" si="11"/>
        <v>0</v>
      </c>
      <c r="N6" s="253">
        <f t="shared" si="12"/>
        <v>0</v>
      </c>
      <c r="O6" s="254">
        <f t="shared" si="13"/>
        <v>0</v>
      </c>
      <c r="P6" s="253">
        <f t="shared" si="14"/>
        <v>0</v>
      </c>
      <c r="Q6" s="252">
        <f t="shared" si="15"/>
        <v>0</v>
      </c>
      <c r="R6" s="6">
        <f t="shared" si="16"/>
        <v>0</v>
      </c>
      <c r="S6" s="5">
        <f t="shared" si="17"/>
        <v>0</v>
      </c>
      <c r="T6" s="6">
        <f t="shared" si="18"/>
        <v>0</v>
      </c>
      <c r="U6" s="6">
        <f t="shared" si="19"/>
        <v>0</v>
      </c>
      <c r="V6" s="21">
        <f t="shared" si="20"/>
        <v>0</v>
      </c>
      <c r="W6" s="5">
        <f t="shared" si="60"/>
        <v>0</v>
      </c>
      <c r="X6" s="5">
        <f t="shared" si="21"/>
        <v>0</v>
      </c>
      <c r="Y6" s="5">
        <f t="shared" si="22"/>
        <v>0</v>
      </c>
      <c r="Z6" s="5">
        <f t="shared" si="23"/>
        <v>0</v>
      </c>
      <c r="AA6" s="5">
        <f t="shared" si="24"/>
        <v>0</v>
      </c>
      <c r="AB6" s="5">
        <f t="shared" si="25"/>
        <v>0</v>
      </c>
      <c r="AC6" s="6">
        <f t="shared" si="26"/>
        <v>0</v>
      </c>
      <c r="AD6" s="5">
        <f t="shared" si="27"/>
        <v>0</v>
      </c>
      <c r="AE6" s="5">
        <f t="shared" si="28"/>
        <v>0</v>
      </c>
      <c r="AF6" s="20">
        <f t="shared" si="29"/>
        <v>0</v>
      </c>
      <c r="AG6" s="21">
        <f t="shared" si="30"/>
        <v>0</v>
      </c>
      <c r="AH6" s="6">
        <f t="shared" si="31"/>
        <v>0</v>
      </c>
      <c r="AI6" s="5">
        <f t="shared" si="32"/>
        <v>0</v>
      </c>
      <c r="AJ6" s="6">
        <f t="shared" si="33"/>
        <v>0</v>
      </c>
      <c r="AK6" s="5">
        <f t="shared" si="34"/>
        <v>0</v>
      </c>
      <c r="AL6" s="6">
        <f t="shared" si="35"/>
        <v>0</v>
      </c>
      <c r="AM6" s="5">
        <f t="shared" si="36"/>
        <v>0</v>
      </c>
      <c r="AN6" s="6">
        <f t="shared" si="37"/>
        <v>0</v>
      </c>
      <c r="AO6" s="24">
        <f t="shared" si="38"/>
        <v>0</v>
      </c>
      <c r="AP6" s="6">
        <f t="shared" si="39"/>
        <v>0</v>
      </c>
      <c r="AQ6" s="199">
        <f t="shared" si="40"/>
        <v>0</v>
      </c>
      <c r="AR6" s="21">
        <f t="shared" si="41"/>
        <v>0</v>
      </c>
      <c r="AS6" s="211">
        <f t="shared" si="42"/>
        <v>0</v>
      </c>
      <c r="AT6" s="199">
        <f t="shared" si="43"/>
        <v>0</v>
      </c>
      <c r="AU6" s="6">
        <f t="shared" si="44"/>
        <v>0</v>
      </c>
      <c r="AV6" s="5">
        <f t="shared" si="45"/>
        <v>0</v>
      </c>
      <c r="AW6" s="21">
        <f t="shared" si="46"/>
        <v>0</v>
      </c>
      <c r="AX6" s="348">
        <f t="shared" si="47"/>
        <v>0</v>
      </c>
      <c r="AY6" s="350">
        <f t="shared" si="48"/>
        <v>0</v>
      </c>
      <c r="AZ6" s="348">
        <f t="shared" si="49"/>
        <v>0</v>
      </c>
      <c r="BA6" s="348">
        <f t="shared" si="50"/>
        <v>0</v>
      </c>
      <c r="BB6" s="337">
        <f t="shared" si="51"/>
        <v>0</v>
      </c>
      <c r="BC6" s="2">
        <f t="shared" si="52"/>
        <v>0</v>
      </c>
      <c r="BD6" s="5">
        <f t="shared" si="53"/>
        <v>0</v>
      </c>
      <c r="BE6" s="5">
        <f t="shared" si="54"/>
        <v>0</v>
      </c>
      <c r="BF6" s="5">
        <f t="shared" si="55"/>
        <v>0</v>
      </c>
      <c r="BG6" s="2">
        <f t="shared" si="56"/>
        <v>0</v>
      </c>
      <c r="BH6" s="5">
        <f t="shared" si="57"/>
        <v>0</v>
      </c>
      <c r="BI6" s="5">
        <f t="shared" si="58"/>
        <v>6</v>
      </c>
      <c r="BJ6" s="302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303"/>
      <c r="CV6" s="228"/>
    </row>
    <row r="7" spans="1:110" ht="30" customHeight="1" thickBot="1" x14ac:dyDescent="0.3">
      <c r="A7" s="257" t="str">
        <f t="shared" si="0"/>
        <v>Sem Jogador Adicionado</v>
      </c>
      <c r="B7" s="256" t="str">
        <f t="shared" si="1"/>
        <v>VAZIO</v>
      </c>
      <c r="C7" s="255">
        <f t="shared" si="2"/>
        <v>0</v>
      </c>
      <c r="D7" s="255">
        <f t="shared" si="59"/>
        <v>0</v>
      </c>
      <c r="E7" s="5">
        <f t="shared" si="3"/>
        <v>0</v>
      </c>
      <c r="F7" s="24">
        <f t="shared" si="4"/>
        <v>0</v>
      </c>
      <c r="G7" s="24">
        <f t="shared" si="5"/>
        <v>0</v>
      </c>
      <c r="H7" s="5">
        <f t="shared" si="6"/>
        <v>0</v>
      </c>
      <c r="I7" s="20">
        <f t="shared" si="7"/>
        <v>0</v>
      </c>
      <c r="J7" s="376">
        <f t="shared" si="8"/>
        <v>0</v>
      </c>
      <c r="K7" s="6">
        <f t="shared" si="9"/>
        <v>0</v>
      </c>
      <c r="L7" s="6">
        <f t="shared" si="10"/>
        <v>0</v>
      </c>
      <c r="M7" s="20">
        <f t="shared" si="11"/>
        <v>0</v>
      </c>
      <c r="N7" s="253">
        <f t="shared" si="12"/>
        <v>0</v>
      </c>
      <c r="O7" s="254">
        <f t="shared" si="13"/>
        <v>0</v>
      </c>
      <c r="P7" s="253">
        <f t="shared" si="14"/>
        <v>0</v>
      </c>
      <c r="Q7" s="252">
        <f t="shared" si="15"/>
        <v>0</v>
      </c>
      <c r="R7" s="6">
        <f t="shared" si="16"/>
        <v>0</v>
      </c>
      <c r="S7" s="5">
        <f t="shared" si="17"/>
        <v>0</v>
      </c>
      <c r="T7" s="6">
        <f t="shared" si="18"/>
        <v>0</v>
      </c>
      <c r="U7" s="6">
        <f t="shared" si="19"/>
        <v>0</v>
      </c>
      <c r="V7" s="21">
        <f t="shared" si="20"/>
        <v>0</v>
      </c>
      <c r="W7" s="5">
        <f t="shared" si="60"/>
        <v>0</v>
      </c>
      <c r="X7" s="5">
        <f t="shared" si="21"/>
        <v>0</v>
      </c>
      <c r="Y7" s="5">
        <f t="shared" si="22"/>
        <v>0</v>
      </c>
      <c r="Z7" s="5">
        <f t="shared" si="23"/>
        <v>0</v>
      </c>
      <c r="AA7" s="5">
        <f t="shared" si="24"/>
        <v>0</v>
      </c>
      <c r="AB7" s="5">
        <f t="shared" si="25"/>
        <v>0</v>
      </c>
      <c r="AC7" s="6">
        <f t="shared" si="26"/>
        <v>0</v>
      </c>
      <c r="AD7" s="5">
        <f t="shared" si="27"/>
        <v>0</v>
      </c>
      <c r="AE7" s="5">
        <f t="shared" si="28"/>
        <v>0</v>
      </c>
      <c r="AF7" s="20">
        <f t="shared" si="29"/>
        <v>0</v>
      </c>
      <c r="AG7" s="21">
        <f t="shared" si="30"/>
        <v>0</v>
      </c>
      <c r="AH7" s="6">
        <f t="shared" si="31"/>
        <v>0</v>
      </c>
      <c r="AI7" s="5">
        <f t="shared" si="32"/>
        <v>0</v>
      </c>
      <c r="AJ7" s="6">
        <f t="shared" si="33"/>
        <v>0</v>
      </c>
      <c r="AK7" s="5">
        <f t="shared" si="34"/>
        <v>0</v>
      </c>
      <c r="AL7" s="6">
        <f t="shared" si="35"/>
        <v>0</v>
      </c>
      <c r="AM7" s="5">
        <f t="shared" si="36"/>
        <v>0</v>
      </c>
      <c r="AN7" s="6">
        <f t="shared" si="37"/>
        <v>0</v>
      </c>
      <c r="AO7" s="24">
        <f t="shared" si="38"/>
        <v>0</v>
      </c>
      <c r="AP7" s="6">
        <f t="shared" si="39"/>
        <v>0</v>
      </c>
      <c r="AQ7" s="199">
        <f t="shared" si="40"/>
        <v>0</v>
      </c>
      <c r="AR7" s="21">
        <f t="shared" si="41"/>
        <v>0</v>
      </c>
      <c r="AS7" s="211">
        <f t="shared" si="42"/>
        <v>0</v>
      </c>
      <c r="AT7" s="199">
        <f t="shared" si="43"/>
        <v>0</v>
      </c>
      <c r="AU7" s="6">
        <f t="shared" si="44"/>
        <v>0</v>
      </c>
      <c r="AV7" s="5">
        <f t="shared" si="45"/>
        <v>0</v>
      </c>
      <c r="AW7" s="21">
        <f t="shared" si="46"/>
        <v>0</v>
      </c>
      <c r="AX7" s="348">
        <f t="shared" si="47"/>
        <v>0</v>
      </c>
      <c r="AY7" s="350">
        <f t="shared" si="48"/>
        <v>0</v>
      </c>
      <c r="AZ7" s="348">
        <f t="shared" si="49"/>
        <v>0</v>
      </c>
      <c r="BA7" s="348">
        <f t="shared" si="50"/>
        <v>0</v>
      </c>
      <c r="BB7" s="337">
        <f t="shared" si="51"/>
        <v>0</v>
      </c>
      <c r="BC7" s="2">
        <f t="shared" si="52"/>
        <v>0</v>
      </c>
      <c r="BD7" s="5">
        <f t="shared" si="53"/>
        <v>0</v>
      </c>
      <c r="BE7" s="5">
        <f t="shared" si="54"/>
        <v>0</v>
      </c>
      <c r="BF7" s="5">
        <f t="shared" si="55"/>
        <v>0</v>
      </c>
      <c r="BG7" s="2">
        <f t="shared" si="56"/>
        <v>0</v>
      </c>
      <c r="BH7" s="5">
        <f t="shared" si="57"/>
        <v>0</v>
      </c>
      <c r="BI7" s="5">
        <f t="shared" si="58"/>
        <v>6</v>
      </c>
      <c r="BJ7" s="302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303"/>
      <c r="CV7" s="228"/>
    </row>
    <row r="8" spans="1:110" ht="30" customHeight="1" thickBot="1" x14ac:dyDescent="0.3">
      <c r="A8" s="257" t="str">
        <f t="shared" si="0"/>
        <v>Sem Jogador Adicionado</v>
      </c>
      <c r="B8" s="256" t="str">
        <f t="shared" si="1"/>
        <v>VAZIO</v>
      </c>
      <c r="C8" s="255">
        <f t="shared" si="2"/>
        <v>0</v>
      </c>
      <c r="D8" s="255">
        <f t="shared" si="59"/>
        <v>0</v>
      </c>
      <c r="E8" s="5">
        <f t="shared" si="3"/>
        <v>0</v>
      </c>
      <c r="F8" s="24">
        <f t="shared" si="4"/>
        <v>0</v>
      </c>
      <c r="G8" s="24">
        <f t="shared" si="5"/>
        <v>0</v>
      </c>
      <c r="H8" s="5">
        <f t="shared" si="6"/>
        <v>0</v>
      </c>
      <c r="I8" s="20">
        <f t="shared" si="7"/>
        <v>0</v>
      </c>
      <c r="J8" s="376">
        <f t="shared" si="8"/>
        <v>0</v>
      </c>
      <c r="K8" s="6">
        <f t="shared" si="9"/>
        <v>0</v>
      </c>
      <c r="L8" s="6">
        <f t="shared" si="10"/>
        <v>0</v>
      </c>
      <c r="M8" s="20">
        <f t="shared" si="11"/>
        <v>0</v>
      </c>
      <c r="N8" s="253">
        <f t="shared" si="12"/>
        <v>0</v>
      </c>
      <c r="O8" s="254">
        <f t="shared" si="13"/>
        <v>0</v>
      </c>
      <c r="P8" s="253">
        <f t="shared" si="14"/>
        <v>0</v>
      </c>
      <c r="Q8" s="252">
        <f t="shared" si="15"/>
        <v>0</v>
      </c>
      <c r="R8" s="6">
        <f t="shared" si="16"/>
        <v>0</v>
      </c>
      <c r="S8" s="5">
        <f t="shared" si="17"/>
        <v>0</v>
      </c>
      <c r="T8" s="6">
        <f t="shared" si="18"/>
        <v>0</v>
      </c>
      <c r="U8" s="6">
        <f t="shared" si="19"/>
        <v>0</v>
      </c>
      <c r="V8" s="21">
        <f t="shared" si="20"/>
        <v>0</v>
      </c>
      <c r="W8" s="5">
        <f t="shared" si="60"/>
        <v>0</v>
      </c>
      <c r="X8" s="5">
        <f t="shared" si="21"/>
        <v>0</v>
      </c>
      <c r="Y8" s="5">
        <f t="shared" si="22"/>
        <v>0</v>
      </c>
      <c r="Z8" s="5">
        <f t="shared" si="23"/>
        <v>0</v>
      </c>
      <c r="AA8" s="5">
        <f t="shared" si="24"/>
        <v>0</v>
      </c>
      <c r="AB8" s="5">
        <f t="shared" si="25"/>
        <v>0</v>
      </c>
      <c r="AC8" s="6">
        <f t="shared" si="26"/>
        <v>0</v>
      </c>
      <c r="AD8" s="5">
        <f t="shared" si="27"/>
        <v>0</v>
      </c>
      <c r="AE8" s="5">
        <f t="shared" si="28"/>
        <v>0</v>
      </c>
      <c r="AF8" s="20">
        <f t="shared" si="29"/>
        <v>0</v>
      </c>
      <c r="AG8" s="21">
        <f t="shared" si="30"/>
        <v>0</v>
      </c>
      <c r="AH8" s="6">
        <f t="shared" si="31"/>
        <v>0</v>
      </c>
      <c r="AI8" s="5">
        <f t="shared" si="32"/>
        <v>0</v>
      </c>
      <c r="AJ8" s="6">
        <f t="shared" si="33"/>
        <v>0</v>
      </c>
      <c r="AK8" s="5">
        <f t="shared" si="34"/>
        <v>0</v>
      </c>
      <c r="AL8" s="6">
        <f t="shared" si="35"/>
        <v>0</v>
      </c>
      <c r="AM8" s="5">
        <f t="shared" si="36"/>
        <v>0</v>
      </c>
      <c r="AN8" s="6">
        <f t="shared" si="37"/>
        <v>0</v>
      </c>
      <c r="AO8" s="24">
        <f t="shared" si="38"/>
        <v>0</v>
      </c>
      <c r="AP8" s="6">
        <f t="shared" si="39"/>
        <v>0</v>
      </c>
      <c r="AQ8" s="199">
        <f t="shared" si="40"/>
        <v>0</v>
      </c>
      <c r="AR8" s="21">
        <f t="shared" si="41"/>
        <v>0</v>
      </c>
      <c r="AS8" s="211">
        <f t="shared" si="42"/>
        <v>0</v>
      </c>
      <c r="AT8" s="199">
        <f t="shared" si="43"/>
        <v>0</v>
      </c>
      <c r="AU8" s="6">
        <f t="shared" si="44"/>
        <v>0</v>
      </c>
      <c r="AV8" s="5">
        <f t="shared" si="45"/>
        <v>0</v>
      </c>
      <c r="AW8" s="21">
        <f t="shared" si="46"/>
        <v>0</v>
      </c>
      <c r="AX8" s="348">
        <f t="shared" si="47"/>
        <v>0</v>
      </c>
      <c r="AY8" s="350">
        <f t="shared" si="48"/>
        <v>0</v>
      </c>
      <c r="AZ8" s="348">
        <f t="shared" si="49"/>
        <v>0</v>
      </c>
      <c r="BA8" s="348">
        <f t="shared" si="50"/>
        <v>0</v>
      </c>
      <c r="BB8" s="337">
        <f t="shared" si="51"/>
        <v>0</v>
      </c>
      <c r="BC8" s="2">
        <f t="shared" si="52"/>
        <v>0</v>
      </c>
      <c r="BD8" s="5">
        <f t="shared" si="53"/>
        <v>0</v>
      </c>
      <c r="BE8" s="5">
        <f t="shared" si="54"/>
        <v>0</v>
      </c>
      <c r="BF8" s="5">
        <f t="shared" si="55"/>
        <v>0</v>
      </c>
      <c r="BG8" s="2">
        <f t="shared" si="56"/>
        <v>0</v>
      </c>
      <c r="BH8" s="5">
        <f t="shared" si="57"/>
        <v>0</v>
      </c>
      <c r="BI8" s="5">
        <f t="shared" si="58"/>
        <v>6</v>
      </c>
      <c r="BJ8" s="300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301"/>
      <c r="CV8" s="228"/>
    </row>
    <row r="9" spans="1:110" ht="30" customHeight="1" thickBot="1" x14ac:dyDescent="0.3">
      <c r="A9" s="257" t="str">
        <f t="shared" si="0"/>
        <v>Sem Jogador Adicionado</v>
      </c>
      <c r="B9" s="256" t="str">
        <f t="shared" si="1"/>
        <v>VAZIO</v>
      </c>
      <c r="C9" s="255">
        <f t="shared" si="2"/>
        <v>0</v>
      </c>
      <c r="D9" s="255">
        <f t="shared" si="59"/>
        <v>0</v>
      </c>
      <c r="E9" s="5">
        <f t="shared" si="3"/>
        <v>0</v>
      </c>
      <c r="F9" s="24">
        <f t="shared" si="4"/>
        <v>0</v>
      </c>
      <c r="G9" s="24">
        <f t="shared" si="5"/>
        <v>0</v>
      </c>
      <c r="H9" s="5">
        <f t="shared" si="6"/>
        <v>0</v>
      </c>
      <c r="I9" s="20">
        <f t="shared" si="7"/>
        <v>0</v>
      </c>
      <c r="J9" s="376">
        <f t="shared" si="8"/>
        <v>0</v>
      </c>
      <c r="K9" s="6">
        <f t="shared" si="9"/>
        <v>0</v>
      </c>
      <c r="L9" s="6">
        <f t="shared" si="10"/>
        <v>0</v>
      </c>
      <c r="M9" s="20">
        <f t="shared" si="11"/>
        <v>0</v>
      </c>
      <c r="N9" s="253">
        <f t="shared" si="12"/>
        <v>0</v>
      </c>
      <c r="O9" s="254">
        <f t="shared" si="13"/>
        <v>0</v>
      </c>
      <c r="P9" s="253">
        <f t="shared" si="14"/>
        <v>0</v>
      </c>
      <c r="Q9" s="252">
        <f t="shared" si="15"/>
        <v>0</v>
      </c>
      <c r="R9" s="6">
        <f t="shared" si="16"/>
        <v>0</v>
      </c>
      <c r="S9" s="5">
        <f t="shared" si="17"/>
        <v>0</v>
      </c>
      <c r="T9" s="6">
        <f t="shared" si="18"/>
        <v>0</v>
      </c>
      <c r="U9" s="6">
        <f t="shared" si="19"/>
        <v>0</v>
      </c>
      <c r="V9" s="21">
        <f t="shared" si="20"/>
        <v>0</v>
      </c>
      <c r="W9" s="5">
        <f t="shared" si="60"/>
        <v>0</v>
      </c>
      <c r="X9" s="5">
        <f t="shared" si="21"/>
        <v>0</v>
      </c>
      <c r="Y9" s="5">
        <f t="shared" si="22"/>
        <v>0</v>
      </c>
      <c r="Z9" s="5">
        <f t="shared" si="23"/>
        <v>0</v>
      </c>
      <c r="AA9" s="5">
        <f t="shared" si="24"/>
        <v>0</v>
      </c>
      <c r="AB9" s="5">
        <f t="shared" si="25"/>
        <v>0</v>
      </c>
      <c r="AC9" s="6">
        <f t="shared" si="26"/>
        <v>0</v>
      </c>
      <c r="AD9" s="5">
        <f t="shared" si="27"/>
        <v>0</v>
      </c>
      <c r="AE9" s="5">
        <f t="shared" si="28"/>
        <v>0</v>
      </c>
      <c r="AF9" s="20">
        <f t="shared" si="29"/>
        <v>0</v>
      </c>
      <c r="AG9" s="21">
        <f t="shared" si="30"/>
        <v>0</v>
      </c>
      <c r="AH9" s="6">
        <f t="shared" si="31"/>
        <v>0</v>
      </c>
      <c r="AI9" s="5">
        <f t="shared" si="32"/>
        <v>0</v>
      </c>
      <c r="AJ9" s="6">
        <f t="shared" si="33"/>
        <v>0</v>
      </c>
      <c r="AK9" s="5">
        <f t="shared" si="34"/>
        <v>0</v>
      </c>
      <c r="AL9" s="6">
        <f t="shared" si="35"/>
        <v>0</v>
      </c>
      <c r="AM9" s="5">
        <f t="shared" si="36"/>
        <v>0</v>
      </c>
      <c r="AN9" s="6">
        <f t="shared" si="37"/>
        <v>0</v>
      </c>
      <c r="AO9" s="24">
        <f t="shared" si="38"/>
        <v>0</v>
      </c>
      <c r="AP9" s="6">
        <f t="shared" si="39"/>
        <v>0</v>
      </c>
      <c r="AQ9" s="199">
        <f t="shared" si="40"/>
        <v>0</v>
      </c>
      <c r="AR9" s="21">
        <f t="shared" si="41"/>
        <v>0</v>
      </c>
      <c r="AS9" s="211">
        <f t="shared" si="42"/>
        <v>0</v>
      </c>
      <c r="AT9" s="199">
        <f t="shared" si="43"/>
        <v>0</v>
      </c>
      <c r="AU9" s="6">
        <f t="shared" si="44"/>
        <v>0</v>
      </c>
      <c r="AV9" s="5">
        <f t="shared" si="45"/>
        <v>0</v>
      </c>
      <c r="AW9" s="21">
        <f t="shared" si="46"/>
        <v>0</v>
      </c>
      <c r="AX9" s="348">
        <f t="shared" si="47"/>
        <v>0</v>
      </c>
      <c r="AY9" s="350">
        <f t="shared" si="48"/>
        <v>0</v>
      </c>
      <c r="AZ9" s="348">
        <f t="shared" si="49"/>
        <v>0</v>
      </c>
      <c r="BA9" s="348">
        <f t="shared" si="50"/>
        <v>0</v>
      </c>
      <c r="BB9" s="337">
        <f t="shared" si="51"/>
        <v>0</v>
      </c>
      <c r="BC9" s="2">
        <f t="shared" si="52"/>
        <v>0</v>
      </c>
      <c r="BD9" s="5">
        <f t="shared" si="53"/>
        <v>0</v>
      </c>
      <c r="BE9" s="5">
        <f t="shared" si="54"/>
        <v>0</v>
      </c>
      <c r="BF9" s="5">
        <f t="shared" si="55"/>
        <v>0</v>
      </c>
      <c r="BG9" s="2">
        <f t="shared" si="56"/>
        <v>0</v>
      </c>
      <c r="BH9" s="5">
        <f t="shared" si="57"/>
        <v>0</v>
      </c>
      <c r="BI9" s="5">
        <f t="shared" si="58"/>
        <v>6</v>
      </c>
      <c r="BJ9" s="302"/>
      <c r="BK9" s="298"/>
      <c r="BL9" s="298"/>
      <c r="BM9" s="298"/>
      <c r="BN9" s="298"/>
      <c r="BO9" s="298"/>
      <c r="BP9" s="298"/>
      <c r="BQ9" s="298"/>
      <c r="BR9" s="298"/>
      <c r="BS9" s="298"/>
      <c r="BT9" s="298"/>
      <c r="BU9" s="298"/>
      <c r="BV9" s="298"/>
      <c r="BW9" s="298"/>
      <c r="BX9" s="298"/>
      <c r="BY9" s="298"/>
      <c r="BZ9" s="298"/>
      <c r="CA9" s="298"/>
      <c r="CB9" s="298"/>
      <c r="CC9" s="298"/>
      <c r="CD9" s="298"/>
      <c r="CE9" s="298"/>
      <c r="CF9" s="298"/>
      <c r="CG9" s="298"/>
      <c r="CH9" s="298"/>
      <c r="CI9" s="298"/>
      <c r="CJ9" s="298"/>
      <c r="CK9" s="298"/>
      <c r="CL9" s="298"/>
      <c r="CM9" s="298"/>
      <c r="CN9" s="298"/>
      <c r="CO9" s="298"/>
      <c r="CP9" s="298"/>
      <c r="CQ9" s="298"/>
      <c r="CR9" s="298"/>
      <c r="CS9" s="298"/>
      <c r="CT9" s="298"/>
      <c r="CU9" s="303"/>
      <c r="CV9" s="228"/>
    </row>
    <row r="10" spans="1:110" ht="30" customHeight="1" thickBot="1" x14ac:dyDescent="0.3">
      <c r="A10" s="257" t="str">
        <f t="shared" si="0"/>
        <v>Sem Jogador Adicionado</v>
      </c>
      <c r="B10" s="256" t="str">
        <f t="shared" si="1"/>
        <v>VAZIO</v>
      </c>
      <c r="C10" s="255">
        <f t="shared" si="2"/>
        <v>0</v>
      </c>
      <c r="D10" s="255">
        <f t="shared" si="59"/>
        <v>0</v>
      </c>
      <c r="E10" s="5">
        <f t="shared" si="3"/>
        <v>0</v>
      </c>
      <c r="F10" s="24">
        <f t="shared" si="4"/>
        <v>0</v>
      </c>
      <c r="G10" s="24">
        <f t="shared" si="5"/>
        <v>0</v>
      </c>
      <c r="H10" s="5">
        <f t="shared" si="6"/>
        <v>0</v>
      </c>
      <c r="I10" s="20">
        <f t="shared" si="7"/>
        <v>0</v>
      </c>
      <c r="J10" s="376">
        <f t="shared" si="8"/>
        <v>0</v>
      </c>
      <c r="K10" s="6">
        <f t="shared" si="9"/>
        <v>0</v>
      </c>
      <c r="L10" s="6">
        <f t="shared" si="10"/>
        <v>0</v>
      </c>
      <c r="M10" s="20">
        <f t="shared" si="11"/>
        <v>0</v>
      </c>
      <c r="N10" s="253">
        <f t="shared" si="12"/>
        <v>0</v>
      </c>
      <c r="O10" s="254">
        <f t="shared" si="13"/>
        <v>0</v>
      </c>
      <c r="P10" s="253">
        <f t="shared" si="14"/>
        <v>0</v>
      </c>
      <c r="Q10" s="252">
        <f t="shared" si="15"/>
        <v>0</v>
      </c>
      <c r="R10" s="6">
        <f t="shared" si="16"/>
        <v>0</v>
      </c>
      <c r="S10" s="5">
        <f t="shared" si="17"/>
        <v>0</v>
      </c>
      <c r="T10" s="6">
        <f t="shared" si="18"/>
        <v>0</v>
      </c>
      <c r="U10" s="6">
        <f t="shared" si="19"/>
        <v>0</v>
      </c>
      <c r="V10" s="21">
        <f t="shared" si="20"/>
        <v>0</v>
      </c>
      <c r="W10" s="5">
        <f t="shared" si="60"/>
        <v>0</v>
      </c>
      <c r="X10" s="5">
        <f t="shared" si="21"/>
        <v>0</v>
      </c>
      <c r="Y10" s="5">
        <f t="shared" si="22"/>
        <v>0</v>
      </c>
      <c r="Z10" s="5">
        <f t="shared" si="23"/>
        <v>0</v>
      </c>
      <c r="AA10" s="5">
        <f t="shared" si="24"/>
        <v>0</v>
      </c>
      <c r="AB10" s="5">
        <f t="shared" si="25"/>
        <v>0</v>
      </c>
      <c r="AC10" s="6">
        <f t="shared" si="26"/>
        <v>0</v>
      </c>
      <c r="AD10" s="5">
        <f t="shared" si="27"/>
        <v>0</v>
      </c>
      <c r="AE10" s="5">
        <f t="shared" si="28"/>
        <v>0</v>
      </c>
      <c r="AF10" s="20">
        <f t="shared" si="29"/>
        <v>0</v>
      </c>
      <c r="AG10" s="21">
        <f t="shared" si="30"/>
        <v>0</v>
      </c>
      <c r="AH10" s="6">
        <f t="shared" si="31"/>
        <v>0</v>
      </c>
      <c r="AI10" s="5">
        <f t="shared" si="32"/>
        <v>0</v>
      </c>
      <c r="AJ10" s="6">
        <f t="shared" si="33"/>
        <v>0</v>
      </c>
      <c r="AK10" s="5">
        <f t="shared" si="34"/>
        <v>0</v>
      </c>
      <c r="AL10" s="6">
        <f t="shared" si="35"/>
        <v>0</v>
      </c>
      <c r="AM10" s="5">
        <f t="shared" si="36"/>
        <v>0</v>
      </c>
      <c r="AN10" s="6">
        <f t="shared" si="37"/>
        <v>0</v>
      </c>
      <c r="AO10" s="24">
        <f t="shared" si="38"/>
        <v>0</v>
      </c>
      <c r="AP10" s="6">
        <f t="shared" si="39"/>
        <v>0</v>
      </c>
      <c r="AQ10" s="199">
        <f t="shared" si="40"/>
        <v>0</v>
      </c>
      <c r="AR10" s="21">
        <f t="shared" si="41"/>
        <v>0</v>
      </c>
      <c r="AS10" s="211">
        <f t="shared" si="42"/>
        <v>0</v>
      </c>
      <c r="AT10" s="199">
        <f t="shared" si="43"/>
        <v>0</v>
      </c>
      <c r="AU10" s="6">
        <f t="shared" si="44"/>
        <v>0</v>
      </c>
      <c r="AV10" s="5">
        <f t="shared" si="45"/>
        <v>0</v>
      </c>
      <c r="AW10" s="21">
        <f t="shared" si="46"/>
        <v>0</v>
      </c>
      <c r="AX10" s="348">
        <f t="shared" si="47"/>
        <v>0</v>
      </c>
      <c r="AY10" s="350">
        <f t="shared" si="48"/>
        <v>0</v>
      </c>
      <c r="AZ10" s="348">
        <f t="shared" si="49"/>
        <v>0</v>
      </c>
      <c r="BA10" s="348">
        <f t="shared" si="50"/>
        <v>0</v>
      </c>
      <c r="BB10" s="337">
        <f t="shared" si="51"/>
        <v>0</v>
      </c>
      <c r="BC10" s="2">
        <f t="shared" si="52"/>
        <v>0</v>
      </c>
      <c r="BD10" s="5">
        <f t="shared" si="53"/>
        <v>0</v>
      </c>
      <c r="BE10" s="5">
        <f t="shared" si="54"/>
        <v>0</v>
      </c>
      <c r="BF10" s="5">
        <f t="shared" si="55"/>
        <v>0</v>
      </c>
      <c r="BG10" s="2">
        <f t="shared" si="56"/>
        <v>0</v>
      </c>
      <c r="BH10" s="5">
        <f t="shared" si="57"/>
        <v>0</v>
      </c>
      <c r="BI10" s="5">
        <f t="shared" si="58"/>
        <v>6</v>
      </c>
      <c r="BJ10" s="302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  <c r="BV10" s="298"/>
      <c r="BW10" s="298"/>
      <c r="BX10" s="298"/>
      <c r="BY10" s="298"/>
      <c r="BZ10" s="298"/>
      <c r="CA10" s="298"/>
      <c r="CB10" s="298"/>
      <c r="CC10" s="298"/>
      <c r="CD10" s="298"/>
      <c r="CE10" s="298"/>
      <c r="CF10" s="298"/>
      <c r="CG10" s="298"/>
      <c r="CH10" s="298"/>
      <c r="CI10" s="298"/>
      <c r="CJ10" s="298"/>
      <c r="CK10" s="298"/>
      <c r="CL10" s="298"/>
      <c r="CM10" s="298"/>
      <c r="CN10" s="298"/>
      <c r="CO10" s="298"/>
      <c r="CP10" s="298"/>
      <c r="CQ10" s="298"/>
      <c r="CR10" s="298"/>
      <c r="CS10" s="298"/>
      <c r="CT10" s="298"/>
      <c r="CU10" s="303"/>
      <c r="CV10" s="228"/>
    </row>
    <row r="11" spans="1:110" ht="30" customHeight="1" thickBot="1" x14ac:dyDescent="0.3">
      <c r="A11" s="257" t="str">
        <f t="shared" si="0"/>
        <v>Sem Jogador Adicionado</v>
      </c>
      <c r="B11" s="256" t="str">
        <f t="shared" si="1"/>
        <v>VAZIO</v>
      </c>
      <c r="C11" s="255">
        <f t="shared" si="2"/>
        <v>0</v>
      </c>
      <c r="D11" s="255">
        <f t="shared" si="59"/>
        <v>0</v>
      </c>
      <c r="E11" s="5">
        <f t="shared" si="3"/>
        <v>0</v>
      </c>
      <c r="F11" s="24">
        <f t="shared" si="4"/>
        <v>0</v>
      </c>
      <c r="G11" s="24">
        <f t="shared" si="5"/>
        <v>0</v>
      </c>
      <c r="H11" s="5">
        <f t="shared" si="6"/>
        <v>0</v>
      </c>
      <c r="I11" s="20">
        <f t="shared" si="7"/>
        <v>0</v>
      </c>
      <c r="J11" s="376">
        <f t="shared" si="8"/>
        <v>0</v>
      </c>
      <c r="K11" s="6">
        <f t="shared" si="9"/>
        <v>0</v>
      </c>
      <c r="L11" s="6">
        <f t="shared" si="10"/>
        <v>0</v>
      </c>
      <c r="M11" s="20">
        <f t="shared" si="11"/>
        <v>0</v>
      </c>
      <c r="N11" s="253">
        <f t="shared" si="12"/>
        <v>0</v>
      </c>
      <c r="O11" s="254">
        <f t="shared" si="13"/>
        <v>0</v>
      </c>
      <c r="P11" s="253">
        <f t="shared" si="14"/>
        <v>0</v>
      </c>
      <c r="Q11" s="252">
        <f t="shared" si="15"/>
        <v>0</v>
      </c>
      <c r="R11" s="6">
        <f t="shared" si="16"/>
        <v>0</v>
      </c>
      <c r="S11" s="5">
        <f t="shared" si="17"/>
        <v>0</v>
      </c>
      <c r="T11" s="6">
        <f t="shared" si="18"/>
        <v>0</v>
      </c>
      <c r="U11" s="6">
        <f t="shared" si="19"/>
        <v>0</v>
      </c>
      <c r="V11" s="21">
        <f t="shared" si="20"/>
        <v>0</v>
      </c>
      <c r="W11" s="5">
        <f t="shared" si="60"/>
        <v>0</v>
      </c>
      <c r="X11" s="5">
        <f t="shared" si="21"/>
        <v>0</v>
      </c>
      <c r="Y11" s="5">
        <f t="shared" si="22"/>
        <v>0</v>
      </c>
      <c r="Z11" s="5">
        <f t="shared" si="23"/>
        <v>0</v>
      </c>
      <c r="AA11" s="5">
        <f t="shared" si="24"/>
        <v>0</v>
      </c>
      <c r="AB11" s="5">
        <f t="shared" si="25"/>
        <v>0</v>
      </c>
      <c r="AC11" s="6">
        <f t="shared" si="26"/>
        <v>0</v>
      </c>
      <c r="AD11" s="5">
        <f t="shared" si="27"/>
        <v>0</v>
      </c>
      <c r="AE11" s="5">
        <f t="shared" si="28"/>
        <v>0</v>
      </c>
      <c r="AF11" s="20">
        <f t="shared" si="29"/>
        <v>0</v>
      </c>
      <c r="AG11" s="21">
        <f t="shared" si="30"/>
        <v>0</v>
      </c>
      <c r="AH11" s="6">
        <f t="shared" si="31"/>
        <v>0</v>
      </c>
      <c r="AI11" s="5">
        <f t="shared" si="32"/>
        <v>0</v>
      </c>
      <c r="AJ11" s="6">
        <f t="shared" si="33"/>
        <v>0</v>
      </c>
      <c r="AK11" s="5">
        <f t="shared" si="34"/>
        <v>0</v>
      </c>
      <c r="AL11" s="6">
        <f t="shared" si="35"/>
        <v>0</v>
      </c>
      <c r="AM11" s="5">
        <f t="shared" si="36"/>
        <v>0</v>
      </c>
      <c r="AN11" s="6">
        <f t="shared" si="37"/>
        <v>0</v>
      </c>
      <c r="AO11" s="24">
        <f t="shared" si="38"/>
        <v>0</v>
      </c>
      <c r="AP11" s="6">
        <f t="shared" si="39"/>
        <v>0</v>
      </c>
      <c r="AQ11" s="199">
        <f t="shared" si="40"/>
        <v>0</v>
      </c>
      <c r="AR11" s="21">
        <f t="shared" si="41"/>
        <v>0</v>
      </c>
      <c r="AS11" s="211">
        <f t="shared" si="42"/>
        <v>0</v>
      </c>
      <c r="AT11" s="199">
        <f t="shared" si="43"/>
        <v>0</v>
      </c>
      <c r="AU11" s="6">
        <f t="shared" si="44"/>
        <v>0</v>
      </c>
      <c r="AV11" s="5">
        <f t="shared" si="45"/>
        <v>0</v>
      </c>
      <c r="AW11" s="21">
        <f t="shared" si="46"/>
        <v>0</v>
      </c>
      <c r="AX11" s="348">
        <f t="shared" si="47"/>
        <v>0</v>
      </c>
      <c r="AY11" s="350">
        <f t="shared" si="48"/>
        <v>0</v>
      </c>
      <c r="AZ11" s="348">
        <f t="shared" si="49"/>
        <v>0</v>
      </c>
      <c r="BA11" s="348">
        <f t="shared" si="50"/>
        <v>0</v>
      </c>
      <c r="BB11" s="337">
        <f t="shared" si="51"/>
        <v>0</v>
      </c>
      <c r="BC11" s="2">
        <f t="shared" si="52"/>
        <v>0</v>
      </c>
      <c r="BD11" s="5">
        <f t="shared" si="53"/>
        <v>0</v>
      </c>
      <c r="BE11" s="5">
        <f t="shared" si="54"/>
        <v>0</v>
      </c>
      <c r="BF11" s="5">
        <f t="shared" si="55"/>
        <v>0</v>
      </c>
      <c r="BG11" s="2">
        <f t="shared" si="56"/>
        <v>0</v>
      </c>
      <c r="BH11" s="5">
        <f t="shared" si="57"/>
        <v>0</v>
      </c>
      <c r="BI11" s="5">
        <f t="shared" si="58"/>
        <v>6</v>
      </c>
      <c r="BJ11" s="300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296"/>
      <c r="CP11" s="296"/>
      <c r="CQ11" s="296"/>
      <c r="CR11" s="296"/>
      <c r="CS11" s="296"/>
      <c r="CT11" s="296"/>
      <c r="CU11" s="301"/>
      <c r="CV11" s="228"/>
    </row>
    <row r="12" spans="1:110" ht="30" customHeight="1" thickBot="1" x14ac:dyDescent="0.3">
      <c r="A12" s="257" t="str">
        <f t="shared" si="0"/>
        <v>Sem Jogador Adicionado</v>
      </c>
      <c r="B12" s="256" t="str">
        <f t="shared" si="1"/>
        <v>VAZIO</v>
      </c>
      <c r="C12" s="255">
        <f t="shared" si="2"/>
        <v>0</v>
      </c>
      <c r="D12" s="255">
        <f t="shared" si="59"/>
        <v>0</v>
      </c>
      <c r="E12" s="5">
        <f t="shared" si="3"/>
        <v>0</v>
      </c>
      <c r="F12" s="24">
        <f t="shared" si="4"/>
        <v>0</v>
      </c>
      <c r="G12" s="24">
        <f t="shared" si="5"/>
        <v>0</v>
      </c>
      <c r="H12" s="5">
        <f t="shared" si="6"/>
        <v>0</v>
      </c>
      <c r="I12" s="20">
        <f t="shared" si="7"/>
        <v>0</v>
      </c>
      <c r="J12" s="376">
        <f t="shared" si="8"/>
        <v>0</v>
      </c>
      <c r="K12" s="6">
        <f t="shared" si="9"/>
        <v>0</v>
      </c>
      <c r="L12" s="6">
        <f t="shared" si="10"/>
        <v>0</v>
      </c>
      <c r="M12" s="20">
        <f t="shared" si="11"/>
        <v>0</v>
      </c>
      <c r="N12" s="253">
        <f t="shared" si="12"/>
        <v>0</v>
      </c>
      <c r="O12" s="254">
        <f t="shared" si="13"/>
        <v>0</v>
      </c>
      <c r="P12" s="253">
        <f t="shared" si="14"/>
        <v>0</v>
      </c>
      <c r="Q12" s="252">
        <f t="shared" si="15"/>
        <v>0</v>
      </c>
      <c r="R12" s="6">
        <f t="shared" si="16"/>
        <v>0</v>
      </c>
      <c r="S12" s="5">
        <f t="shared" si="17"/>
        <v>0</v>
      </c>
      <c r="T12" s="6">
        <f t="shared" si="18"/>
        <v>0</v>
      </c>
      <c r="U12" s="6">
        <f t="shared" si="19"/>
        <v>0</v>
      </c>
      <c r="V12" s="21">
        <f t="shared" si="20"/>
        <v>0</v>
      </c>
      <c r="W12" s="5">
        <f t="shared" si="60"/>
        <v>0</v>
      </c>
      <c r="X12" s="5">
        <f t="shared" si="21"/>
        <v>0</v>
      </c>
      <c r="Y12" s="5">
        <f t="shared" si="22"/>
        <v>0</v>
      </c>
      <c r="Z12" s="5">
        <f t="shared" si="23"/>
        <v>0</v>
      </c>
      <c r="AA12" s="5">
        <f t="shared" si="24"/>
        <v>0</v>
      </c>
      <c r="AB12" s="5">
        <f t="shared" si="25"/>
        <v>0</v>
      </c>
      <c r="AC12" s="6">
        <f t="shared" si="26"/>
        <v>0</v>
      </c>
      <c r="AD12" s="5">
        <f t="shared" si="27"/>
        <v>0</v>
      </c>
      <c r="AE12" s="5">
        <f t="shared" si="28"/>
        <v>0</v>
      </c>
      <c r="AF12" s="20">
        <f t="shared" si="29"/>
        <v>0</v>
      </c>
      <c r="AG12" s="21">
        <f t="shared" si="30"/>
        <v>0</v>
      </c>
      <c r="AH12" s="6">
        <f t="shared" si="31"/>
        <v>0</v>
      </c>
      <c r="AI12" s="5">
        <f t="shared" si="32"/>
        <v>0</v>
      </c>
      <c r="AJ12" s="6">
        <f t="shared" si="33"/>
        <v>0</v>
      </c>
      <c r="AK12" s="5">
        <f t="shared" si="34"/>
        <v>0</v>
      </c>
      <c r="AL12" s="6">
        <f t="shared" si="35"/>
        <v>0</v>
      </c>
      <c r="AM12" s="5">
        <f t="shared" si="36"/>
        <v>0</v>
      </c>
      <c r="AN12" s="6">
        <f t="shared" si="37"/>
        <v>0</v>
      </c>
      <c r="AO12" s="24">
        <f t="shared" si="38"/>
        <v>0</v>
      </c>
      <c r="AP12" s="6">
        <f t="shared" si="39"/>
        <v>0</v>
      </c>
      <c r="AQ12" s="199">
        <f t="shared" si="40"/>
        <v>0</v>
      </c>
      <c r="AR12" s="21">
        <f t="shared" si="41"/>
        <v>0</v>
      </c>
      <c r="AS12" s="211">
        <f t="shared" si="42"/>
        <v>0</v>
      </c>
      <c r="AT12" s="199">
        <f t="shared" si="43"/>
        <v>0</v>
      </c>
      <c r="AU12" s="6">
        <f t="shared" si="44"/>
        <v>0</v>
      </c>
      <c r="AV12" s="5">
        <f t="shared" si="45"/>
        <v>0</v>
      </c>
      <c r="AW12" s="21">
        <f t="shared" si="46"/>
        <v>0</v>
      </c>
      <c r="AX12" s="348">
        <f t="shared" si="47"/>
        <v>0</v>
      </c>
      <c r="AY12" s="350">
        <f t="shared" si="48"/>
        <v>0</v>
      </c>
      <c r="AZ12" s="348">
        <f t="shared" si="49"/>
        <v>0</v>
      </c>
      <c r="BA12" s="348">
        <f t="shared" si="50"/>
        <v>0</v>
      </c>
      <c r="BB12" s="337">
        <f t="shared" si="51"/>
        <v>0</v>
      </c>
      <c r="BC12" s="2">
        <f t="shared" si="52"/>
        <v>0</v>
      </c>
      <c r="BD12" s="5">
        <f t="shared" si="53"/>
        <v>0</v>
      </c>
      <c r="BE12" s="5">
        <f t="shared" si="54"/>
        <v>0</v>
      </c>
      <c r="BF12" s="5">
        <f t="shared" si="55"/>
        <v>0</v>
      </c>
      <c r="BG12" s="2">
        <f t="shared" si="56"/>
        <v>0</v>
      </c>
      <c r="BH12" s="5">
        <f t="shared" si="57"/>
        <v>0</v>
      </c>
      <c r="BI12" s="5">
        <f t="shared" si="58"/>
        <v>6</v>
      </c>
      <c r="BJ12" s="330"/>
      <c r="BK12" s="331"/>
      <c r="BL12" s="331"/>
      <c r="BM12" s="331"/>
      <c r="BN12" s="331"/>
      <c r="BO12" s="331"/>
      <c r="BP12" s="331"/>
      <c r="BQ12" s="331"/>
      <c r="BR12" s="331"/>
      <c r="BS12" s="331"/>
      <c r="BT12" s="331"/>
      <c r="BU12" s="331"/>
      <c r="BV12" s="331"/>
      <c r="BW12" s="331"/>
      <c r="BX12" s="331"/>
      <c r="BY12" s="331"/>
      <c r="BZ12" s="331"/>
      <c r="CA12" s="331"/>
      <c r="CB12" s="331"/>
      <c r="CC12" s="331"/>
      <c r="CD12" s="331"/>
      <c r="CE12" s="331"/>
      <c r="CF12" s="331"/>
      <c r="CG12" s="331"/>
      <c r="CH12" s="331"/>
      <c r="CI12" s="331"/>
      <c r="CJ12" s="331"/>
      <c r="CK12" s="331"/>
      <c r="CL12" s="331"/>
      <c r="CM12" s="331"/>
      <c r="CN12" s="331"/>
      <c r="CO12" s="331"/>
      <c r="CP12" s="331"/>
      <c r="CQ12" s="331"/>
      <c r="CR12" s="331"/>
      <c r="CS12" s="331"/>
      <c r="CT12" s="331"/>
      <c r="CU12" s="332"/>
      <c r="CV12" s="228"/>
    </row>
    <row r="13" spans="1:110" ht="8.25" customHeight="1" thickBot="1" x14ac:dyDescent="0.3">
      <c r="A13" s="228"/>
      <c r="B13" s="228"/>
      <c r="C13" s="228"/>
      <c r="D13" s="228"/>
      <c r="E13" s="228"/>
      <c r="F13" s="228"/>
      <c r="G13" s="228"/>
      <c r="H13" s="228"/>
      <c r="I13" s="228"/>
      <c r="J13" s="271" t="s">
        <v>560</v>
      </c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228"/>
      <c r="AD13" s="228"/>
      <c r="AE13" s="228"/>
      <c r="AF13" s="228"/>
      <c r="AG13" s="228"/>
      <c r="AH13" s="228"/>
      <c r="AI13" s="228"/>
      <c r="AJ13" s="228"/>
      <c r="AK13" s="228"/>
      <c r="AL13" s="228"/>
      <c r="AM13" s="228"/>
      <c r="AN13" s="228"/>
      <c r="AO13" s="228"/>
      <c r="AP13" s="228"/>
      <c r="AQ13" s="228"/>
      <c r="AR13" s="228"/>
      <c r="AS13" s="228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8"/>
      <c r="BE13" s="228"/>
      <c r="BF13" s="228"/>
      <c r="BG13" s="228"/>
      <c r="BH13" s="228"/>
      <c r="BI13" s="228"/>
      <c r="BJ13" s="228"/>
      <c r="BK13" s="228"/>
      <c r="BL13" s="228"/>
      <c r="BM13" s="228"/>
      <c r="BN13" s="228"/>
      <c r="BO13" s="228"/>
      <c r="BP13" s="228"/>
      <c r="BQ13" s="228"/>
      <c r="BR13" s="228"/>
      <c r="BS13" s="228"/>
      <c r="BT13" s="228"/>
      <c r="BU13" s="228"/>
      <c r="BV13" s="228"/>
      <c r="BW13" s="228"/>
      <c r="BX13" s="228"/>
      <c r="BY13" s="228"/>
      <c r="BZ13" s="228"/>
      <c r="CA13" s="228"/>
      <c r="CB13" s="228"/>
      <c r="CC13" s="228"/>
      <c r="CD13" s="228"/>
      <c r="CE13" s="228"/>
      <c r="CF13" s="228"/>
      <c r="CG13" s="228"/>
      <c r="CH13" s="228"/>
      <c r="CI13" s="228"/>
      <c r="CJ13" s="228"/>
      <c r="CK13" s="228"/>
      <c r="CL13" s="228"/>
      <c r="CM13" s="228"/>
      <c r="CN13" s="228"/>
      <c r="CO13" s="228"/>
      <c r="CP13" s="228"/>
      <c r="CQ13" s="228"/>
      <c r="CR13" s="228"/>
      <c r="CS13" s="228"/>
      <c r="CT13" s="228"/>
      <c r="CU13" s="228"/>
      <c r="CV13" s="228"/>
    </row>
    <row r="14" spans="1:110" ht="24.95" customHeight="1" thickBot="1" x14ac:dyDescent="0.3">
      <c r="A14" s="380" t="s">
        <v>508</v>
      </c>
      <c r="B14" s="381"/>
      <c r="C14" s="251" t="s">
        <v>507</v>
      </c>
      <c r="D14" s="250">
        <f>IFERROR(AVERAGE(BM2:BM12),0)</f>
        <v>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/>
      <c r="X14" s="228"/>
      <c r="Y14" s="228"/>
      <c r="Z14" s="228"/>
      <c r="AA14" s="228"/>
      <c r="AB14" s="228"/>
      <c r="AC14" s="228"/>
      <c r="AD14" s="228"/>
      <c r="AE14" s="228"/>
      <c r="AF14" s="228"/>
      <c r="AG14" s="228"/>
      <c r="AH14" s="228"/>
      <c r="AI14" s="228"/>
      <c r="AJ14" s="228"/>
      <c r="AK14" s="228"/>
      <c r="AL14" s="228"/>
      <c r="AM14" s="228"/>
      <c r="AN14" s="228"/>
      <c r="AO14" s="228"/>
      <c r="AP14" s="228"/>
      <c r="AQ14" s="228"/>
      <c r="AR14" s="228"/>
      <c r="AS14" s="228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8"/>
      <c r="BE14" s="228"/>
      <c r="BF14" s="228"/>
      <c r="BG14" s="228"/>
      <c r="BH14" s="228"/>
      <c r="BI14" s="228"/>
      <c r="BJ14" s="228"/>
      <c r="BK14" s="228"/>
      <c r="BL14" s="228"/>
      <c r="BM14" s="228"/>
      <c r="BN14" s="228"/>
      <c r="BO14" s="228"/>
      <c r="BP14" s="228"/>
      <c r="BQ14" s="228"/>
      <c r="BR14" s="228"/>
      <c r="BS14" s="228"/>
      <c r="BT14" s="228"/>
      <c r="BU14" s="228"/>
      <c r="BV14" s="228"/>
      <c r="BW14" s="228"/>
      <c r="BX14" s="228"/>
      <c r="BY14" s="228"/>
      <c r="BZ14" s="228"/>
      <c r="CA14" s="228"/>
      <c r="CB14" s="228"/>
      <c r="CC14" s="228"/>
      <c r="CD14" s="228"/>
      <c r="CE14" s="228"/>
      <c r="CF14" s="228"/>
      <c r="CG14" s="228"/>
      <c r="CH14" s="228"/>
      <c r="CI14" s="228"/>
      <c r="CJ14" s="228"/>
      <c r="CK14" s="228"/>
      <c r="CL14" s="228"/>
      <c r="CM14" s="228"/>
      <c r="CN14" s="228"/>
      <c r="CO14" s="228"/>
      <c r="CP14" s="228"/>
      <c r="CQ14" s="228"/>
      <c r="CR14" s="228"/>
      <c r="CS14" s="228"/>
      <c r="CT14" s="228"/>
      <c r="CU14" s="228"/>
      <c r="CV14" s="228"/>
    </row>
    <row r="15" spans="1:110" ht="40.5" customHeight="1" thickBot="1" x14ac:dyDescent="0.3">
      <c r="A15" s="245" t="s">
        <v>506</v>
      </c>
      <c r="B15" s="240">
        <f>SUM(F2:F12)</f>
        <v>0</v>
      </c>
      <c r="C15" s="249" t="s">
        <v>505</v>
      </c>
      <c r="D15" s="246">
        <f>SUM(AO2:AO12)</f>
        <v>0</v>
      </c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  <c r="X15" s="228"/>
      <c r="Y15" s="228"/>
      <c r="Z15" s="228"/>
      <c r="AA15" s="228"/>
      <c r="AB15" s="228"/>
      <c r="AC15" s="228"/>
      <c r="AD15" s="228"/>
      <c r="AE15" s="228"/>
      <c r="AF15" s="228"/>
      <c r="AG15" s="228"/>
      <c r="AH15" s="228"/>
      <c r="AI15" s="228"/>
      <c r="AJ15" s="228"/>
      <c r="AK15" s="228"/>
      <c r="AL15" s="228"/>
      <c r="AM15" s="228"/>
      <c r="AN15" s="228"/>
      <c r="AO15" s="228"/>
      <c r="AP15" s="228"/>
      <c r="AQ15" s="228"/>
      <c r="AR15" s="228"/>
      <c r="AS15" s="228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8"/>
      <c r="BE15" s="228"/>
      <c r="BF15" s="228"/>
      <c r="BG15" s="228"/>
      <c r="BH15" s="228"/>
      <c r="BI15" s="228"/>
      <c r="BJ15" s="228"/>
      <c r="BK15" s="228"/>
      <c r="BL15" s="228"/>
      <c r="BM15" s="228"/>
      <c r="BN15" s="228"/>
      <c r="BO15" s="228"/>
      <c r="BP15" s="228"/>
      <c r="BQ15" s="228"/>
      <c r="BR15" s="228"/>
      <c r="BS15" s="228"/>
      <c r="BT15" s="228"/>
      <c r="BU15" s="228"/>
      <c r="BV15" s="228"/>
      <c r="BW15" s="228"/>
      <c r="BX15" s="228"/>
      <c r="BY15" s="228"/>
      <c r="BZ15" s="228"/>
      <c r="CA15" s="228"/>
      <c r="CB15" s="228"/>
      <c r="CC15" s="228"/>
      <c r="CD15" s="228"/>
      <c r="CE15" s="228"/>
      <c r="CF15" s="228"/>
      <c r="CG15" s="228"/>
      <c r="CH15" s="228"/>
      <c r="CI15" s="228"/>
      <c r="CJ15" s="228"/>
      <c r="CK15" s="228"/>
      <c r="CL15" s="228"/>
      <c r="CM15" s="228"/>
      <c r="CN15" s="228"/>
      <c r="CO15" s="228"/>
      <c r="CP15" s="228"/>
      <c r="CQ15" s="228"/>
      <c r="CR15" s="228"/>
      <c r="CS15" s="228"/>
      <c r="CT15" s="228"/>
      <c r="CU15" s="228"/>
      <c r="CV15" s="228"/>
    </row>
    <row r="16" spans="1:110" ht="31.5" customHeight="1" thickBot="1" x14ac:dyDescent="0.3">
      <c r="A16" s="245" t="s">
        <v>504</v>
      </c>
      <c r="B16" s="248">
        <f>SUM(G2:G12)</f>
        <v>0</v>
      </c>
      <c r="C16" s="247" t="s">
        <v>503</v>
      </c>
      <c r="D16" s="246">
        <f>SUM(AQ2:AQ12)</f>
        <v>0</v>
      </c>
      <c r="E16" s="236"/>
      <c r="F16" s="236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/>
      <c r="X16" s="228"/>
      <c r="Y16" s="228"/>
      <c r="Z16" s="228"/>
      <c r="AA16" s="228"/>
      <c r="AB16" s="228"/>
      <c r="AC16" s="228"/>
      <c r="AD16" s="228"/>
      <c r="AE16" s="228"/>
      <c r="AF16" s="228"/>
      <c r="AG16" s="228"/>
      <c r="AH16" s="228"/>
      <c r="AI16" s="228"/>
      <c r="AJ16" s="228"/>
      <c r="AK16" s="228"/>
      <c r="AL16" s="228"/>
      <c r="AM16" s="228"/>
      <c r="AN16" s="228"/>
      <c r="AO16" s="228"/>
      <c r="AP16" s="228"/>
      <c r="AQ16" s="228"/>
      <c r="AR16" s="228"/>
      <c r="AS16" s="228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8"/>
      <c r="BE16" s="228"/>
      <c r="BF16" s="228"/>
      <c r="BG16" s="228"/>
      <c r="BH16" s="228"/>
      <c r="BI16" s="228"/>
      <c r="BJ16" s="228"/>
      <c r="BK16" s="228"/>
      <c r="BL16" s="228"/>
      <c r="BM16" s="228"/>
      <c r="BN16" s="228"/>
      <c r="BO16" s="228"/>
      <c r="BP16" s="228"/>
      <c r="BQ16" s="228"/>
      <c r="BR16" s="228"/>
      <c r="BS16" s="228"/>
      <c r="BT16" s="228"/>
      <c r="BU16" s="228"/>
      <c r="BV16" s="228"/>
      <c r="BW16" s="228"/>
      <c r="BX16" s="228"/>
      <c r="BY16" s="228"/>
      <c r="BZ16" s="228"/>
      <c r="CA16" s="228"/>
      <c r="CB16" s="228"/>
      <c r="CC16" s="228"/>
      <c r="CD16" s="228"/>
      <c r="CE16" s="228"/>
      <c r="CF16" s="228"/>
      <c r="CG16" s="228"/>
      <c r="CH16" s="228"/>
      <c r="CI16" s="228"/>
      <c r="CJ16" s="228"/>
      <c r="CK16" s="228"/>
      <c r="CL16" s="228"/>
      <c r="CM16" s="228"/>
      <c r="CN16" s="228"/>
      <c r="CO16" s="228"/>
      <c r="CP16" s="228"/>
      <c r="CQ16" s="228"/>
      <c r="CR16" s="228"/>
      <c r="CS16" s="228"/>
      <c r="CT16" s="228"/>
      <c r="CU16" s="228"/>
      <c r="CV16" s="228"/>
    </row>
    <row r="17" spans="1:100" ht="24.95" customHeight="1" thickBot="1" x14ac:dyDescent="0.3">
      <c r="A17" s="245" t="s">
        <v>502</v>
      </c>
      <c r="B17" s="244">
        <f>IFERROR(B16/B15,0)</f>
        <v>0</v>
      </c>
      <c r="C17" s="234" t="s">
        <v>105</v>
      </c>
      <c r="D17" s="243">
        <f>IFERROR(SUM(AQ2:AQ12)/SUM(AO2:AO12),0)</f>
        <v>0</v>
      </c>
      <c r="E17" s="236"/>
      <c r="F17" s="236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  <c r="X17" s="228"/>
      <c r="Y17" s="228"/>
      <c r="Z17" s="228"/>
      <c r="AA17" s="228"/>
      <c r="AB17" s="228"/>
      <c r="AC17" s="228"/>
      <c r="AD17" s="228"/>
      <c r="AE17" s="228"/>
      <c r="AF17" s="228"/>
      <c r="AG17" s="228"/>
      <c r="AH17" s="228"/>
      <c r="AI17" s="228"/>
      <c r="AJ17" s="228"/>
      <c r="AK17" s="228"/>
      <c r="AL17" s="228"/>
      <c r="AM17" s="228"/>
      <c r="AN17" s="228"/>
      <c r="AO17" s="228"/>
      <c r="AP17" s="228"/>
      <c r="AQ17" s="228"/>
      <c r="AR17" s="228"/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  <c r="BJ17" s="228"/>
      <c r="BK17" s="228"/>
      <c r="BL17" s="228"/>
      <c r="BM17" s="228"/>
      <c r="BN17" s="228"/>
      <c r="BO17" s="228"/>
      <c r="BP17" s="228"/>
      <c r="BQ17" s="228"/>
      <c r="BR17" s="228"/>
      <c r="BS17" s="228"/>
      <c r="BT17" s="228"/>
      <c r="BU17" s="228"/>
      <c r="BV17" s="228"/>
      <c r="BW17" s="228"/>
      <c r="BX17" s="228"/>
      <c r="BY17" s="228"/>
      <c r="BZ17" s="228"/>
      <c r="CA17" s="228"/>
      <c r="CB17" s="228"/>
      <c r="CC17" s="228"/>
      <c r="CD17" s="228"/>
      <c r="CE17" s="228"/>
      <c r="CF17" s="228"/>
      <c r="CG17" s="228"/>
      <c r="CH17" s="228"/>
      <c r="CI17" s="228"/>
      <c r="CJ17" s="228"/>
      <c r="CK17" s="228"/>
      <c r="CL17" s="228"/>
      <c r="CM17" s="228"/>
      <c r="CN17" s="228"/>
      <c r="CO17" s="228"/>
      <c r="CP17" s="228"/>
      <c r="CQ17" s="228"/>
      <c r="CR17" s="228"/>
      <c r="CS17" s="228"/>
      <c r="CT17" s="228"/>
      <c r="CU17" s="228"/>
      <c r="CV17" s="228"/>
    </row>
    <row r="18" spans="1:100" ht="24.95" customHeight="1" thickBot="1" x14ac:dyDescent="0.3">
      <c r="A18" s="239" t="s">
        <v>330</v>
      </c>
      <c r="B18" s="242">
        <f>SUM(AD2:AD12)</f>
        <v>0</v>
      </c>
      <c r="C18" s="241" t="s">
        <v>106</v>
      </c>
      <c r="D18" s="240">
        <f>SUM(BD2:BD12)</f>
        <v>0</v>
      </c>
      <c r="E18" s="236"/>
      <c r="F18" s="236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  <c r="X18" s="228"/>
      <c r="Y18" s="228"/>
      <c r="Z18" s="228"/>
      <c r="AA18" s="228"/>
      <c r="AB18" s="228"/>
      <c r="AC18" s="228"/>
      <c r="AD18" s="228"/>
      <c r="AE18" s="228"/>
      <c r="AF18" s="228"/>
      <c r="AG18" s="228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  <c r="BJ18" s="228"/>
      <c r="BK18" s="228"/>
      <c r="BL18" s="228"/>
      <c r="BM18" s="228"/>
      <c r="BN18" s="228"/>
      <c r="BO18" s="228"/>
      <c r="BP18" s="228"/>
      <c r="BQ18" s="228"/>
      <c r="BR18" s="228"/>
      <c r="BS18" s="228"/>
      <c r="BT18" s="228"/>
      <c r="BU18" s="228"/>
      <c r="BV18" s="228"/>
      <c r="BW18" s="228"/>
      <c r="BX18" s="228"/>
      <c r="BY18" s="228"/>
      <c r="BZ18" s="228"/>
      <c r="CA18" s="228"/>
      <c r="CB18" s="228"/>
      <c r="CC18" s="228"/>
      <c r="CD18" s="228"/>
      <c r="CE18" s="228"/>
      <c r="CF18" s="228"/>
      <c r="CG18" s="228"/>
      <c r="CH18" s="228"/>
      <c r="CI18" s="228"/>
      <c r="CJ18" s="228"/>
      <c r="CK18" s="228"/>
      <c r="CL18" s="228"/>
      <c r="CM18" s="228"/>
      <c r="CN18" s="228"/>
      <c r="CO18" s="228"/>
      <c r="CP18" s="228"/>
      <c r="CQ18" s="228"/>
      <c r="CR18" s="228"/>
      <c r="CS18" s="228"/>
      <c r="CT18" s="228"/>
      <c r="CU18" s="228"/>
      <c r="CV18" s="228"/>
    </row>
    <row r="19" spans="1:100" ht="24.95" customHeight="1" thickBot="1" x14ac:dyDescent="0.3">
      <c r="A19" s="239" t="s">
        <v>501</v>
      </c>
      <c r="B19" s="238">
        <f>IFERROR(SUM(AE2:AE12)/SUM(AD2:AD12),0)</f>
        <v>0</v>
      </c>
      <c r="C19" s="235" t="s">
        <v>92</v>
      </c>
      <c r="D19" s="237">
        <f>SUM(BG2:BG12)</f>
        <v>0</v>
      </c>
      <c r="E19" s="236"/>
      <c r="F19" s="236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  <c r="X19" s="228"/>
      <c r="Y19" s="228"/>
      <c r="Z19" s="228"/>
      <c r="AA19" s="228"/>
      <c r="AB19" s="228"/>
      <c r="AC19" s="228"/>
      <c r="AD19" s="228"/>
      <c r="AE19" s="228"/>
      <c r="AF19" s="228"/>
      <c r="AG19" s="228"/>
      <c r="AH19" s="228"/>
      <c r="AI19" s="228"/>
      <c r="AJ19" s="228"/>
      <c r="AK19" s="228"/>
      <c r="AL19" s="228"/>
      <c r="AM19" s="228"/>
      <c r="AN19" s="228"/>
      <c r="AO19" s="228"/>
      <c r="AP19" s="228"/>
      <c r="AQ19" s="228"/>
      <c r="AR19" s="228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  <c r="BJ19" s="228"/>
      <c r="BK19" s="228"/>
      <c r="BL19" s="228"/>
      <c r="BM19" s="228"/>
      <c r="BN19" s="228"/>
      <c r="BO19" s="228"/>
      <c r="BP19" s="228"/>
      <c r="BQ19" s="228"/>
      <c r="BR19" s="228"/>
      <c r="BS19" s="228"/>
      <c r="BT19" s="228"/>
      <c r="BU19" s="228"/>
      <c r="BV19" s="228"/>
      <c r="BW19" s="228"/>
      <c r="BX19" s="228"/>
      <c r="BY19" s="228"/>
      <c r="BZ19" s="228"/>
      <c r="CA19" s="228"/>
      <c r="CB19" s="228"/>
      <c r="CC19" s="228"/>
      <c r="CD19" s="228"/>
      <c r="CE19" s="228"/>
      <c r="CF19" s="228"/>
      <c r="CG19" s="228"/>
      <c r="CH19" s="228"/>
      <c r="CI19" s="228"/>
      <c r="CJ19" s="228"/>
      <c r="CK19" s="228"/>
      <c r="CL19" s="228"/>
      <c r="CM19" s="228"/>
      <c r="CN19" s="228"/>
      <c r="CO19" s="228"/>
      <c r="CP19" s="228"/>
      <c r="CQ19" s="228"/>
      <c r="CR19" s="228"/>
      <c r="CS19" s="228"/>
      <c r="CT19" s="228"/>
      <c r="CU19" s="228"/>
      <c r="CV19" s="228"/>
    </row>
    <row r="20" spans="1:100" ht="24.95" customHeight="1" thickBot="1" x14ac:dyDescent="0.3">
      <c r="A20" s="232" t="s">
        <v>150</v>
      </c>
      <c r="B20" s="231">
        <f>SUM(AI2:AI12)</f>
        <v>0</v>
      </c>
      <c r="C20" s="235" t="s">
        <v>171</v>
      </c>
      <c r="D20" s="233">
        <f>SUM(BH2:BH12)</f>
        <v>0</v>
      </c>
      <c r="E20" s="236"/>
      <c r="F20" s="236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  <c r="X20" s="228"/>
      <c r="Y20" s="228"/>
      <c r="Z20" s="228"/>
      <c r="AA20" s="228"/>
      <c r="AB20" s="228"/>
      <c r="AC20" s="228"/>
      <c r="AD20" s="228"/>
      <c r="AE20" s="228"/>
      <c r="AF20" s="228"/>
      <c r="AG20" s="228"/>
      <c r="AH20" s="228"/>
      <c r="AI20" s="228"/>
      <c r="AJ20" s="228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BJ20" s="228"/>
      <c r="BK20" s="228"/>
      <c r="BL20" s="228"/>
      <c r="BM20" s="228"/>
      <c r="BN20" s="228"/>
      <c r="BO20" s="228"/>
      <c r="BP20" s="228"/>
      <c r="BQ20" s="228"/>
      <c r="BR20" s="228"/>
      <c r="BS20" s="228"/>
      <c r="BT20" s="228"/>
      <c r="BU20" s="228"/>
      <c r="BV20" s="228"/>
      <c r="BW20" s="228"/>
      <c r="BX20" s="228"/>
      <c r="BY20" s="228"/>
      <c r="BZ20" s="228"/>
      <c r="CA20" s="228"/>
      <c r="CB20" s="228"/>
      <c r="CC20" s="228"/>
      <c r="CD20" s="228"/>
      <c r="CE20" s="228"/>
      <c r="CF20" s="228"/>
      <c r="CG20" s="228"/>
      <c r="CH20" s="228"/>
      <c r="CI20" s="228"/>
      <c r="CJ20" s="228"/>
      <c r="CK20" s="228"/>
      <c r="CL20" s="228"/>
      <c r="CM20" s="228"/>
      <c r="CN20" s="228"/>
      <c r="CO20" s="228"/>
      <c r="CP20" s="228"/>
      <c r="CQ20" s="228"/>
      <c r="CR20" s="228"/>
      <c r="CS20" s="228"/>
      <c r="CT20" s="228"/>
      <c r="CU20" s="228"/>
      <c r="CV20" s="228"/>
    </row>
    <row r="21" spans="1:100" ht="33" customHeight="1" thickBot="1" x14ac:dyDescent="0.3">
      <c r="A21" s="232" t="s">
        <v>155</v>
      </c>
      <c r="B21" s="231">
        <f>SUM(AK2:AK12)</f>
        <v>0</v>
      </c>
      <c r="C21" s="234" t="s">
        <v>108</v>
      </c>
      <c r="D21" s="233">
        <f>SUM(AV2:AV12)</f>
        <v>0</v>
      </c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8"/>
      <c r="AE21" s="228"/>
      <c r="AF21" s="228"/>
      <c r="AG21" s="228"/>
      <c r="AH21" s="228"/>
      <c r="AI21" s="228"/>
      <c r="AJ21" s="228"/>
      <c r="AK21" s="228"/>
      <c r="AL21" s="228"/>
      <c r="AM21" s="228"/>
      <c r="AN21" s="228"/>
      <c r="AO21" s="228"/>
      <c r="AP21" s="228"/>
      <c r="AQ21" s="228"/>
      <c r="AR21" s="228"/>
      <c r="AS21" s="228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BJ21" s="228"/>
      <c r="BK21" s="228"/>
      <c r="BL21" s="228"/>
      <c r="BM21" s="228"/>
      <c r="BN21" s="228"/>
      <c r="BO21" s="228"/>
      <c r="BP21" s="228"/>
      <c r="BQ21" s="228"/>
      <c r="BR21" s="228"/>
      <c r="BS21" s="228"/>
      <c r="BT21" s="228"/>
      <c r="BU21" s="228"/>
      <c r="BV21" s="228"/>
      <c r="BW21" s="228"/>
      <c r="BX21" s="228"/>
      <c r="BY21" s="228"/>
      <c r="BZ21" s="228"/>
      <c r="CA21" s="228"/>
      <c r="CB21" s="228"/>
      <c r="CC21" s="228"/>
      <c r="CD21" s="228"/>
      <c r="CE21" s="228"/>
      <c r="CF21" s="228"/>
      <c r="CG21" s="228"/>
      <c r="CH21" s="228"/>
      <c r="CI21" s="228"/>
      <c r="CJ21" s="228"/>
      <c r="CK21" s="228"/>
      <c r="CL21" s="228"/>
      <c r="CM21" s="228"/>
      <c r="CN21" s="228"/>
      <c r="CO21" s="228"/>
      <c r="CP21" s="228"/>
      <c r="CQ21" s="228"/>
      <c r="CR21" s="228"/>
      <c r="CS21" s="228"/>
      <c r="CT21" s="228"/>
      <c r="CU21" s="228"/>
      <c r="CV21" s="228"/>
    </row>
    <row r="22" spans="1:100" ht="31.5" customHeight="1" thickBot="1" x14ac:dyDescent="0.3">
      <c r="A22" s="232" t="s">
        <v>500</v>
      </c>
      <c r="B22" s="231">
        <f>SUM(AI3:AI12)+(SUM(AK3:AK12))</f>
        <v>0</v>
      </c>
      <c r="C22" s="230" t="s">
        <v>499</v>
      </c>
      <c r="D22" s="229">
        <f>IFERROR(AVERAGE(E2:E12),0)</f>
        <v>0</v>
      </c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  <c r="X22" s="228"/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BJ22" s="228"/>
      <c r="BK22" s="228"/>
      <c r="BL22" s="228"/>
      <c r="BM22" s="228"/>
      <c r="BN22" s="228"/>
      <c r="BO22" s="228"/>
      <c r="BP22" s="228"/>
      <c r="BQ22" s="228"/>
      <c r="BR22" s="228"/>
      <c r="BS22" s="228"/>
      <c r="BT22" s="228"/>
      <c r="BU22" s="228"/>
      <c r="BV22" s="228"/>
      <c r="BW22" s="228"/>
      <c r="BX22" s="228"/>
      <c r="BY22" s="228"/>
      <c r="BZ22" s="228"/>
      <c r="CA22" s="228"/>
      <c r="CB22" s="228"/>
      <c r="CC22" s="228"/>
      <c r="CD22" s="228"/>
      <c r="CE22" s="228"/>
      <c r="CF22" s="228"/>
      <c r="CG22" s="228"/>
      <c r="CH22" s="228"/>
      <c r="CI22" s="228"/>
      <c r="CJ22" s="228"/>
      <c r="CK22" s="228"/>
      <c r="CL22" s="228"/>
      <c r="CM22" s="228"/>
      <c r="CN22" s="228"/>
      <c r="CO22" s="228"/>
      <c r="CP22" s="228"/>
      <c r="CQ22" s="228"/>
      <c r="CR22" s="228"/>
      <c r="CS22" s="228"/>
      <c r="CT22" s="228"/>
      <c r="CU22" s="228"/>
      <c r="CV22" s="228"/>
    </row>
    <row r="23" spans="1:100" ht="31.5" customHeight="1" x14ac:dyDescent="0.25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8"/>
      <c r="AC23" s="228"/>
      <c r="AD23" s="228"/>
      <c r="AE23" s="228"/>
      <c r="AF23" s="228"/>
      <c r="AG23" s="228"/>
      <c r="AH23" s="228"/>
      <c r="AI23" s="228"/>
      <c r="AJ23" s="228"/>
      <c r="AK23" s="228"/>
      <c r="AL23" s="228"/>
      <c r="AM23" s="228"/>
      <c r="AN23" s="228"/>
      <c r="AO23" s="228"/>
      <c r="AP23" s="228"/>
      <c r="AQ23" s="228"/>
      <c r="AR23" s="228"/>
      <c r="AS23" s="228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BJ23" s="228"/>
      <c r="BK23" s="228"/>
      <c r="BL23" s="228"/>
      <c r="BM23" s="228"/>
      <c r="BN23" s="228"/>
      <c r="BO23" s="228"/>
      <c r="BP23" s="228"/>
      <c r="BQ23" s="228"/>
      <c r="BR23" s="228"/>
      <c r="BS23" s="228"/>
      <c r="BT23" s="228"/>
      <c r="BU23" s="228"/>
      <c r="BV23" s="228"/>
      <c r="BW23" s="228"/>
      <c r="BX23" s="228"/>
      <c r="BY23" s="228"/>
      <c r="BZ23" s="228"/>
      <c r="CA23" s="228"/>
      <c r="CB23" s="228"/>
      <c r="CC23" s="228"/>
      <c r="CD23" s="228"/>
      <c r="CE23" s="228"/>
      <c r="CF23" s="228"/>
      <c r="CG23" s="228"/>
      <c r="CH23" s="228"/>
      <c r="CI23" s="228"/>
      <c r="CJ23" s="228"/>
      <c r="CK23" s="228"/>
      <c r="CL23" s="228"/>
      <c r="CM23" s="228"/>
      <c r="CN23" s="228"/>
      <c r="CO23" s="228"/>
      <c r="CP23" s="228"/>
      <c r="CQ23" s="228"/>
      <c r="CR23" s="228"/>
      <c r="CS23" s="228"/>
      <c r="CT23" s="228"/>
      <c r="CU23" s="228"/>
      <c r="CV23" s="228"/>
    </row>
    <row r="24" spans="1:100" ht="31.5" customHeight="1" x14ac:dyDescent="0.25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  <c r="P24" s="228"/>
      <c r="Q24" s="228"/>
      <c r="R24" s="228"/>
      <c r="S24" s="228"/>
      <c r="T24" s="228"/>
      <c r="U24" s="228"/>
      <c r="V24" s="228"/>
      <c r="W24" s="228"/>
      <c r="X24" s="228"/>
      <c r="Y24" s="228"/>
      <c r="Z24" s="228"/>
      <c r="AA24" s="228"/>
      <c r="AB24" s="228"/>
      <c r="AC24" s="228"/>
      <c r="AD24" s="228"/>
      <c r="AE24" s="228"/>
      <c r="AF24" s="228"/>
      <c r="AG24" s="228"/>
      <c r="AH24" s="228"/>
      <c r="AI24" s="228"/>
      <c r="AJ24" s="228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BJ24" s="228"/>
      <c r="BK24" s="228"/>
      <c r="BL24" s="228"/>
      <c r="BM24" s="228"/>
      <c r="BN24" s="228"/>
      <c r="BO24" s="228"/>
      <c r="BP24" s="228"/>
      <c r="BQ24" s="228"/>
      <c r="BR24" s="228"/>
      <c r="BS24" s="228"/>
      <c r="BT24" s="228"/>
      <c r="BU24" s="228"/>
      <c r="BV24" s="228"/>
      <c r="BW24" s="228"/>
      <c r="BX24" s="228"/>
      <c r="BY24" s="228"/>
      <c r="BZ24" s="228"/>
      <c r="CA24" s="228"/>
      <c r="CB24" s="228"/>
      <c r="CC24" s="228"/>
      <c r="CD24" s="228"/>
      <c r="CE24" s="228"/>
      <c r="CF24" s="228"/>
      <c r="CG24" s="228"/>
      <c r="CH24" s="228"/>
      <c r="CI24" s="228"/>
      <c r="CJ24" s="228"/>
      <c r="CK24" s="228"/>
      <c r="CL24" s="228"/>
      <c r="CM24" s="228"/>
      <c r="CN24" s="228"/>
      <c r="CO24" s="228"/>
      <c r="CP24" s="228"/>
      <c r="CQ24" s="228"/>
      <c r="CR24" s="228"/>
      <c r="CS24" s="228"/>
      <c r="CT24" s="228"/>
      <c r="CU24" s="228"/>
      <c r="CV24" s="228"/>
    </row>
    <row r="25" spans="1:100" ht="31.5" customHeight="1" x14ac:dyDescent="0.25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  <c r="AB25" s="228"/>
      <c r="AC25" s="228"/>
      <c r="AD25" s="228"/>
      <c r="AE25" s="228"/>
      <c r="AF25" s="228"/>
      <c r="AG25" s="228"/>
      <c r="AH25" s="228"/>
      <c r="AI25" s="228"/>
      <c r="AJ25" s="228"/>
      <c r="AK25" s="228"/>
      <c r="AL25" s="228"/>
      <c r="AM25" s="228"/>
      <c r="AN25" s="228"/>
      <c r="AO25" s="228"/>
      <c r="AP25" s="228"/>
      <c r="AQ25" s="228"/>
      <c r="AR25" s="228"/>
      <c r="AS25" s="228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BJ25" s="228"/>
      <c r="BK25" s="228"/>
      <c r="BL25" s="228"/>
      <c r="BM25" s="228"/>
      <c r="BN25" s="228"/>
      <c r="BO25" s="228"/>
      <c r="BP25" s="228"/>
      <c r="BQ25" s="228"/>
      <c r="BR25" s="228"/>
      <c r="BS25" s="228"/>
      <c r="BT25" s="228"/>
      <c r="BU25" s="228"/>
      <c r="BV25" s="228"/>
      <c r="BW25" s="228"/>
      <c r="BX25" s="228"/>
      <c r="BY25" s="228"/>
      <c r="BZ25" s="228"/>
      <c r="CA25" s="228"/>
      <c r="CB25" s="228"/>
      <c r="CC25" s="228"/>
      <c r="CD25" s="228"/>
      <c r="CE25" s="228"/>
      <c r="CF25" s="228"/>
      <c r="CG25" s="228"/>
      <c r="CH25" s="228"/>
      <c r="CI25" s="228"/>
      <c r="CJ25" s="228"/>
      <c r="CK25" s="228"/>
      <c r="CL25" s="228"/>
      <c r="CM25" s="228"/>
      <c r="CN25" s="228"/>
      <c r="CO25" s="228"/>
      <c r="CP25" s="228"/>
      <c r="CQ25" s="228"/>
      <c r="CR25" s="228"/>
      <c r="CS25" s="228"/>
      <c r="CT25" s="228"/>
      <c r="CU25" s="228"/>
      <c r="CV25" s="228"/>
    </row>
    <row r="26" spans="1:100" ht="31.5" customHeight="1" x14ac:dyDescent="0.25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  <c r="P26" s="228"/>
      <c r="Q26" s="228"/>
      <c r="R26" s="228"/>
      <c r="S26" s="228"/>
      <c r="T26" s="228"/>
      <c r="U26" s="228"/>
      <c r="V26" s="228"/>
      <c r="W26" s="228"/>
      <c r="X26" s="228"/>
      <c r="Y26" s="228"/>
      <c r="Z26" s="228"/>
      <c r="AA26" s="228"/>
      <c r="AB26" s="228"/>
      <c r="AC26" s="228"/>
      <c r="AD26" s="228"/>
      <c r="AE26" s="228"/>
      <c r="AF26" s="228"/>
      <c r="AG26" s="228"/>
      <c r="AH26" s="228"/>
      <c r="AI26" s="228"/>
      <c r="AJ26" s="228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BJ26" s="228"/>
      <c r="BK26" s="228"/>
      <c r="BL26" s="228"/>
      <c r="BM26" s="228"/>
      <c r="BN26" s="228"/>
      <c r="BO26" s="228"/>
      <c r="BP26" s="228"/>
      <c r="BQ26" s="228"/>
      <c r="BR26" s="228"/>
      <c r="BS26" s="228"/>
      <c r="BT26" s="228"/>
      <c r="BU26" s="228"/>
      <c r="BV26" s="228"/>
      <c r="BW26" s="228"/>
      <c r="BX26" s="228"/>
      <c r="BY26" s="228"/>
      <c r="BZ26" s="228"/>
      <c r="CA26" s="228"/>
      <c r="CB26" s="228"/>
      <c r="CC26" s="228"/>
      <c r="CD26" s="228"/>
      <c r="CE26" s="228"/>
      <c r="CF26" s="228"/>
      <c r="CG26" s="228"/>
      <c r="CH26" s="228"/>
      <c r="CI26" s="228"/>
      <c r="CJ26" s="228"/>
      <c r="CK26" s="228"/>
      <c r="CL26" s="228"/>
      <c r="CM26" s="228"/>
      <c r="CN26" s="228"/>
      <c r="CO26" s="228"/>
      <c r="CP26" s="228"/>
      <c r="CQ26" s="228"/>
      <c r="CR26" s="228"/>
      <c r="CS26" s="228"/>
      <c r="CT26" s="228"/>
      <c r="CU26" s="228"/>
      <c r="CV26" s="228"/>
    </row>
    <row r="27" spans="1:100" ht="31.5" customHeight="1" x14ac:dyDescent="0.25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8"/>
      <c r="AH27" s="228"/>
      <c r="AI27" s="228"/>
      <c r="AJ27" s="228"/>
      <c r="AK27" s="228"/>
      <c r="AL27" s="228"/>
      <c r="AM27" s="228"/>
      <c r="AN27" s="228"/>
      <c r="AO27" s="228"/>
      <c r="AP27" s="228"/>
      <c r="AQ27" s="228"/>
      <c r="AR27" s="228"/>
      <c r="AS27" s="228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8"/>
      <c r="BE27" s="228"/>
      <c r="BF27" s="228"/>
      <c r="BG27" s="228"/>
      <c r="BH27" s="228"/>
      <c r="BI27" s="228"/>
      <c r="BJ27" s="228"/>
      <c r="BK27" s="228"/>
      <c r="BL27" s="228"/>
      <c r="BM27" s="228"/>
      <c r="BN27" s="228"/>
      <c r="BO27" s="228"/>
      <c r="BP27" s="228"/>
      <c r="BQ27" s="228"/>
      <c r="BR27" s="228"/>
      <c r="BS27" s="228"/>
      <c r="BT27" s="228"/>
      <c r="BU27" s="228"/>
      <c r="BV27" s="228"/>
      <c r="BW27" s="228"/>
      <c r="BX27" s="228"/>
      <c r="BY27" s="228"/>
      <c r="BZ27" s="228"/>
      <c r="CA27" s="228"/>
      <c r="CB27" s="228"/>
      <c r="CC27" s="228"/>
      <c r="CD27" s="228"/>
      <c r="CE27" s="228"/>
      <c r="CF27" s="228"/>
      <c r="CG27" s="228"/>
      <c r="CH27" s="228"/>
      <c r="CI27" s="228"/>
      <c r="CJ27" s="228"/>
      <c r="CK27" s="228"/>
      <c r="CL27" s="228"/>
      <c r="CM27" s="228"/>
      <c r="CN27" s="228"/>
      <c r="CO27" s="228"/>
      <c r="CP27" s="228"/>
      <c r="CQ27" s="228"/>
      <c r="CR27" s="228"/>
      <c r="CS27" s="228"/>
      <c r="CT27" s="228"/>
      <c r="CU27" s="228"/>
      <c r="CV27" s="228"/>
    </row>
    <row r="28" spans="1:100" ht="31.5" customHeight="1" x14ac:dyDescent="0.25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228"/>
      <c r="AS28" s="228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  <c r="BJ28" s="228"/>
      <c r="BK28" s="228"/>
      <c r="BL28" s="228"/>
      <c r="BM28" s="228"/>
      <c r="BN28" s="228"/>
      <c r="BO28" s="228"/>
      <c r="BP28" s="228"/>
      <c r="BQ28" s="228"/>
      <c r="BR28" s="228"/>
      <c r="BS28" s="228"/>
      <c r="BT28" s="228"/>
      <c r="BU28" s="228"/>
      <c r="BV28" s="228"/>
      <c r="BW28" s="228"/>
      <c r="BX28" s="228"/>
      <c r="BY28" s="228"/>
      <c r="BZ28" s="228"/>
      <c r="CA28" s="228"/>
      <c r="CB28" s="228"/>
      <c r="CC28" s="228"/>
      <c r="CD28" s="228"/>
      <c r="CE28" s="228"/>
      <c r="CF28" s="228"/>
      <c r="CG28" s="228"/>
      <c r="CH28" s="228"/>
      <c r="CI28" s="228"/>
      <c r="CJ28" s="228"/>
      <c r="CK28" s="228"/>
      <c r="CL28" s="228"/>
      <c r="CM28" s="228"/>
      <c r="CN28" s="228"/>
      <c r="CO28" s="228"/>
      <c r="CP28" s="228"/>
      <c r="CQ28" s="228"/>
      <c r="CR28" s="228"/>
      <c r="CS28" s="228"/>
      <c r="CT28" s="228"/>
      <c r="CU28" s="228"/>
      <c r="CV28" s="228"/>
    </row>
    <row r="29" spans="1:100" ht="31.5" customHeight="1" x14ac:dyDescent="0.25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8"/>
      <c r="Y29" s="228"/>
      <c r="Z29" s="228"/>
      <c r="AA29" s="228"/>
      <c r="AB29" s="228"/>
      <c r="AC29" s="228"/>
      <c r="AD29" s="228"/>
      <c r="AE29" s="228"/>
      <c r="AF29" s="228"/>
      <c r="AG29" s="228"/>
      <c r="AH29" s="228"/>
      <c r="AI29" s="228"/>
      <c r="AJ29" s="228"/>
      <c r="AK29" s="228"/>
      <c r="AL29" s="228"/>
      <c r="AM29" s="228"/>
      <c r="AN29" s="228"/>
      <c r="AO29" s="228"/>
      <c r="AP29" s="228"/>
      <c r="AQ29" s="228"/>
      <c r="AR29" s="228"/>
      <c r="AS29" s="228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  <c r="BJ29" s="228"/>
      <c r="BK29" s="228"/>
      <c r="BL29" s="228"/>
      <c r="BM29" s="228"/>
      <c r="BN29" s="228"/>
      <c r="BO29" s="228"/>
      <c r="BP29" s="228"/>
      <c r="BQ29" s="228"/>
      <c r="BR29" s="228"/>
      <c r="BS29" s="228"/>
      <c r="BT29" s="228"/>
      <c r="BU29" s="228"/>
      <c r="BV29" s="228"/>
      <c r="BW29" s="228"/>
      <c r="BX29" s="228"/>
      <c r="BY29" s="228"/>
      <c r="BZ29" s="228"/>
      <c r="CA29" s="228"/>
      <c r="CB29" s="228"/>
      <c r="CC29" s="228"/>
      <c r="CD29" s="228"/>
      <c r="CE29" s="228"/>
      <c r="CF29" s="228"/>
      <c r="CG29" s="228"/>
      <c r="CH29" s="228"/>
      <c r="CI29" s="228"/>
      <c r="CJ29" s="228"/>
      <c r="CK29" s="228"/>
      <c r="CL29" s="228"/>
      <c r="CM29" s="228"/>
      <c r="CN29" s="228"/>
      <c r="CO29" s="228"/>
      <c r="CP29" s="228"/>
      <c r="CQ29" s="228"/>
      <c r="CR29" s="228"/>
      <c r="CS29" s="228"/>
      <c r="CT29" s="228"/>
      <c r="CU29" s="228"/>
      <c r="CV29" s="228"/>
    </row>
    <row r="30" spans="1:100" ht="31.5" customHeight="1" x14ac:dyDescent="0.25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</row>
    <row r="31" spans="1:100" ht="31.5" customHeight="1" x14ac:dyDescent="0.25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</row>
    <row r="32" spans="1:100" ht="31.5" customHeight="1" x14ac:dyDescent="0.25">
      <c r="A32" s="228"/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</row>
    <row r="33" spans="1:100" ht="31.5" customHeight="1" x14ac:dyDescent="0.25">
      <c r="A33" s="22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</row>
    <row r="34" spans="1:100" ht="31.5" customHeight="1" x14ac:dyDescent="0.25">
      <c r="A34" s="228"/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</row>
    <row r="35" spans="1:100" ht="31.5" customHeight="1" x14ac:dyDescent="0.25">
      <c r="A35" s="228"/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</row>
    <row r="36" spans="1:100" ht="31.5" customHeight="1" x14ac:dyDescent="0.25">
      <c r="A36" s="228"/>
      <c r="B36" s="228"/>
      <c r="C36" s="228"/>
      <c r="D36" s="228"/>
      <c r="E36" s="228"/>
      <c r="F36" s="228"/>
      <c r="G36" s="228"/>
      <c r="H36" s="228"/>
      <c r="I36" s="228"/>
      <c r="J36" s="228"/>
      <c r="K36" s="228"/>
      <c r="L36" s="228"/>
      <c r="M36" s="228"/>
      <c r="N36" s="228"/>
      <c r="O36" s="228"/>
      <c r="P36" s="228"/>
      <c r="Q36" s="228"/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</row>
    <row r="37" spans="1:100" ht="31.5" customHeight="1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</row>
    <row r="38" spans="1:100" ht="31.5" customHeight="1" x14ac:dyDescent="0.25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</row>
    <row r="39" spans="1:100" ht="31.5" customHeight="1" x14ac:dyDescent="0.25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</row>
    <row r="40" spans="1:100" ht="31.5" customHeight="1" x14ac:dyDescent="0.25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</row>
    <row r="41" spans="1:100" ht="31.5" customHeight="1" x14ac:dyDescent="0.25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</row>
    <row r="42" spans="1:100" ht="31.5" customHeight="1" x14ac:dyDescent="0.25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</row>
    <row r="43" spans="1:100" ht="31.5" customHeight="1" x14ac:dyDescent="0.25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</row>
    <row r="44" spans="1:100" ht="31.5" customHeight="1" x14ac:dyDescent="0.25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</row>
    <row r="45" spans="1:100" ht="31.5" customHeight="1" x14ac:dyDescent="0.25">
      <c r="P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</row>
    <row r="46" spans="1:100" ht="31.5" customHeight="1" x14ac:dyDescent="0.25">
      <c r="P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</row>
    <row r="47" spans="1:100" ht="31.5" customHeight="1" x14ac:dyDescent="0.25">
      <c r="P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</row>
    <row r="48" spans="1:100" ht="31.5" customHeight="1" x14ac:dyDescent="0.25">
      <c r="P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</row>
    <row r="49" customFormat="1" ht="31.5" customHeight="1" x14ac:dyDescent="0.25"/>
    <row r="50" customFormat="1" ht="31.5" customHeight="1" x14ac:dyDescent="0.25"/>
    <row r="51" customFormat="1" ht="31.5" customHeight="1" x14ac:dyDescent="0.25"/>
    <row r="52" customFormat="1" ht="31.5" customHeight="1" x14ac:dyDescent="0.25"/>
    <row r="53" customFormat="1" ht="31.5" customHeight="1" x14ac:dyDescent="0.25"/>
    <row r="54" customFormat="1" ht="31.5" customHeight="1" x14ac:dyDescent="0.25"/>
    <row r="55" customFormat="1" ht="31.5" customHeight="1" x14ac:dyDescent="0.25"/>
    <row r="56" customFormat="1" ht="31.5" customHeight="1" x14ac:dyDescent="0.25"/>
    <row r="57" customFormat="1" ht="31.5" customHeight="1" x14ac:dyDescent="0.25"/>
    <row r="58" customFormat="1" ht="31.5" customHeight="1" x14ac:dyDescent="0.25"/>
    <row r="59" customFormat="1" ht="31.5" customHeight="1" x14ac:dyDescent="0.25"/>
    <row r="60" customFormat="1" ht="31.5" customHeight="1" x14ac:dyDescent="0.25"/>
    <row r="61" customFormat="1" ht="31.5" customHeight="1" x14ac:dyDescent="0.25"/>
    <row r="62" customFormat="1" ht="31.5" customHeight="1" x14ac:dyDescent="0.25"/>
    <row r="63" customFormat="1" ht="31.5" customHeight="1" x14ac:dyDescent="0.25"/>
    <row r="64" customFormat="1" ht="31.5" customHeight="1" x14ac:dyDescent="0.25"/>
    <row r="65" customFormat="1" ht="31.5" customHeight="1" x14ac:dyDescent="0.25"/>
    <row r="66" customFormat="1" ht="31.5" customHeight="1" x14ac:dyDescent="0.25"/>
    <row r="67" customFormat="1" ht="31.5" customHeight="1" x14ac:dyDescent="0.25"/>
    <row r="68" customFormat="1" ht="31.5" customHeight="1" x14ac:dyDescent="0.25"/>
    <row r="69" customFormat="1" ht="31.5" customHeight="1" x14ac:dyDescent="0.25"/>
    <row r="70" customFormat="1" ht="31.5" customHeight="1" x14ac:dyDescent="0.25"/>
    <row r="71" customFormat="1" ht="31.5" customHeight="1" x14ac:dyDescent="0.25"/>
    <row r="72" customFormat="1" ht="31.5" customHeight="1" x14ac:dyDescent="0.25"/>
    <row r="73" customFormat="1" ht="31.5" customHeight="1" x14ac:dyDescent="0.25"/>
    <row r="74" customFormat="1" ht="31.5" customHeight="1" x14ac:dyDescent="0.25"/>
    <row r="75" customFormat="1" ht="31.5" customHeight="1" x14ac:dyDescent="0.25"/>
    <row r="76" customFormat="1" ht="31.5" customHeight="1" x14ac:dyDescent="0.25"/>
    <row r="77" customFormat="1" ht="31.5" customHeight="1" x14ac:dyDescent="0.25"/>
    <row r="78" customFormat="1" ht="31.5" customHeight="1" x14ac:dyDescent="0.25"/>
    <row r="79" customFormat="1" ht="31.5" customHeight="1" x14ac:dyDescent="0.25"/>
    <row r="80" customFormat="1" ht="31.5" customHeight="1" x14ac:dyDescent="0.25"/>
    <row r="81" spans="67:99" ht="31.5" customHeight="1" x14ac:dyDescent="0.3"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</row>
    <row r="82" spans="67:99" ht="31.5" customHeight="1" x14ac:dyDescent="0.3"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</row>
    <row r="83" spans="67:99" ht="31.5" customHeight="1" x14ac:dyDescent="0.3"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</row>
    <row r="84" spans="67:99" ht="31.5" customHeight="1" x14ac:dyDescent="0.3"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</row>
    <row r="85" spans="67:99" ht="31.5" customHeight="1" x14ac:dyDescent="0.3"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</row>
    <row r="86" spans="67:99" ht="31.5" customHeight="1" x14ac:dyDescent="0.3"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</row>
    <row r="87" spans="67:99" ht="31.5" customHeight="1" x14ac:dyDescent="0.3"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</row>
    <row r="88" spans="67:99" ht="31.5" customHeight="1" x14ac:dyDescent="0.3"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</row>
    <row r="89" spans="67:99" ht="31.5" customHeight="1" x14ac:dyDescent="0.3"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</row>
    <row r="90" spans="67:99" ht="31.5" customHeight="1" x14ac:dyDescent="0.3"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</row>
    <row r="91" spans="67:99" ht="31.5" customHeight="1" x14ac:dyDescent="0.3"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</row>
    <row r="92" spans="67:99" ht="31.5" customHeight="1" x14ac:dyDescent="0.3"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</row>
    <row r="93" spans="67:99" ht="31.5" customHeight="1" x14ac:dyDescent="0.3"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</row>
    <row r="94" spans="67:99" ht="31.5" customHeight="1" x14ac:dyDescent="0.3"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</row>
    <row r="95" spans="67:99" ht="31.5" customHeight="1" x14ac:dyDescent="0.3"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</row>
    <row r="96" spans="67:99" ht="31.5" customHeight="1" x14ac:dyDescent="0.3"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</row>
    <row r="97" spans="67:99" ht="31.5" customHeight="1" x14ac:dyDescent="0.3"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</row>
    <row r="98" spans="67:99" ht="31.5" customHeight="1" x14ac:dyDescent="0.3"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</row>
    <row r="99" spans="67:99" ht="31.5" customHeight="1" x14ac:dyDescent="0.3"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</row>
    <row r="100" spans="67:99" ht="31.5" customHeight="1" x14ac:dyDescent="0.3"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</row>
    <row r="101" spans="67:99" ht="31.5" customHeight="1" x14ac:dyDescent="0.3"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</row>
    <row r="102" spans="67:99" ht="31.5" customHeight="1" x14ac:dyDescent="0.3"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</row>
    <row r="103" spans="67:99" ht="31.5" customHeight="1" x14ac:dyDescent="0.3"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</row>
    <row r="104" spans="67:99" ht="31.5" customHeight="1" x14ac:dyDescent="0.3"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</row>
    <row r="105" spans="67:99" ht="31.5" customHeight="1" x14ac:dyDescent="0.3"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</row>
    <row r="106" spans="67:99" ht="31.5" customHeight="1" x14ac:dyDescent="0.3"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</row>
    <row r="107" spans="67:99" ht="31.5" customHeight="1" x14ac:dyDescent="0.3"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</row>
    <row r="108" spans="67:99" ht="31.5" customHeight="1" x14ac:dyDescent="0.3"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</row>
    <row r="109" spans="67:99" ht="31.5" customHeight="1" x14ac:dyDescent="0.3"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</row>
    <row r="110" spans="67:99" ht="31.5" customHeight="1" x14ac:dyDescent="0.3"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</row>
    <row r="111" spans="67:99" ht="31.5" customHeight="1" x14ac:dyDescent="0.3"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</row>
    <row r="112" spans="67:99" ht="31.5" customHeight="1" x14ac:dyDescent="0.3"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</row>
    <row r="113" spans="67:99" ht="31.5" customHeight="1" x14ac:dyDescent="0.3"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</row>
    <row r="114" spans="67:99" ht="31.5" customHeight="1" x14ac:dyDescent="0.3"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</row>
    <row r="115" spans="67:99" ht="31.5" customHeight="1" x14ac:dyDescent="0.3"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</row>
    <row r="116" spans="67:99" ht="31.5" customHeight="1" x14ac:dyDescent="0.3"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</row>
    <row r="117" spans="67:99" ht="31.5" customHeight="1" x14ac:dyDescent="0.3"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</row>
    <row r="118" spans="67:99" ht="31.5" customHeight="1" x14ac:dyDescent="0.3"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</row>
    <row r="119" spans="67:99" ht="31.5" customHeight="1" x14ac:dyDescent="0.3"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</row>
    <row r="120" spans="67:99" ht="31.5" customHeight="1" x14ac:dyDescent="0.3"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</row>
    <row r="121" spans="67:99" ht="31.5" customHeight="1" x14ac:dyDescent="0.3"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</row>
    <row r="122" spans="67:99" ht="31.5" customHeight="1" x14ac:dyDescent="0.3"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</row>
    <row r="123" spans="67:99" ht="31.5" customHeight="1" x14ac:dyDescent="0.3"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</row>
    <row r="124" spans="67:99" ht="31.5" customHeight="1" x14ac:dyDescent="0.3"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</row>
    <row r="125" spans="67:99" ht="31.5" customHeight="1" x14ac:dyDescent="0.3"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</row>
    <row r="126" spans="67:99" ht="31.5" customHeight="1" x14ac:dyDescent="0.3"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</row>
    <row r="127" spans="67:99" ht="31.5" customHeight="1" x14ac:dyDescent="0.3"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</row>
    <row r="128" spans="67:99" ht="31.5" customHeight="1" x14ac:dyDescent="0.3"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</row>
    <row r="129" spans="67:99" ht="31.5" customHeight="1" x14ac:dyDescent="0.3"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</row>
    <row r="130" spans="67:99" ht="31.5" customHeight="1" x14ac:dyDescent="0.3"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</row>
    <row r="131" spans="67:99" ht="31.5" customHeight="1" x14ac:dyDescent="0.3"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</row>
    <row r="132" spans="67:99" ht="31.5" customHeight="1" x14ac:dyDescent="0.3"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</row>
    <row r="133" spans="67:99" ht="31.5" customHeight="1" x14ac:dyDescent="0.3"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</row>
    <row r="134" spans="67:99" ht="31.5" customHeight="1" x14ac:dyDescent="0.3"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</row>
    <row r="135" spans="67:99" ht="31.5" customHeight="1" x14ac:dyDescent="0.3"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</row>
    <row r="136" spans="67:99" ht="31.5" customHeight="1" x14ac:dyDescent="0.3"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</row>
    <row r="137" spans="67:99" ht="31.5" customHeight="1" x14ac:dyDescent="0.3"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</row>
    <row r="138" spans="67:99" ht="31.5" customHeight="1" x14ac:dyDescent="0.3"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</row>
    <row r="139" spans="67:99" ht="31.5" customHeight="1" x14ac:dyDescent="0.3"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</row>
    <row r="140" spans="67:99" ht="31.5" customHeight="1" x14ac:dyDescent="0.3"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</row>
    <row r="141" spans="67:99" ht="31.5" customHeight="1" x14ac:dyDescent="0.3"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</row>
    <row r="142" spans="67:99" ht="31.5" customHeight="1" x14ac:dyDescent="0.3"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</row>
    <row r="143" spans="67:99" ht="31.5" customHeight="1" x14ac:dyDescent="0.3"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</row>
    <row r="144" spans="67:99" ht="31.5" customHeight="1" x14ac:dyDescent="0.3"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</row>
    <row r="145" spans="67:99" ht="31.5" customHeight="1" x14ac:dyDescent="0.3"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</row>
    <row r="146" spans="67:99" ht="31.5" customHeight="1" x14ac:dyDescent="0.3"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</row>
    <row r="147" spans="67:99" ht="31.5" customHeight="1" x14ac:dyDescent="0.3"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</row>
    <row r="148" spans="67:99" ht="31.5" customHeight="1" x14ac:dyDescent="0.3"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</row>
    <row r="149" spans="67:99" ht="31.5" customHeight="1" x14ac:dyDescent="0.3"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</row>
    <row r="150" spans="67:99" ht="31.5" customHeight="1" x14ac:dyDescent="0.3"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</row>
    <row r="151" spans="67:99" ht="31.5" customHeight="1" x14ac:dyDescent="0.3"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</row>
    <row r="152" spans="67:99" ht="31.5" customHeight="1" x14ac:dyDescent="0.3"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</row>
    <row r="153" spans="67:99" ht="31.5" customHeight="1" x14ac:dyDescent="0.3"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</row>
    <row r="154" spans="67:99" ht="31.5" customHeight="1" x14ac:dyDescent="0.3"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</row>
    <row r="155" spans="67:99" ht="31.5" customHeight="1" x14ac:dyDescent="0.3"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</row>
    <row r="156" spans="67:99" ht="31.5" customHeight="1" x14ac:dyDescent="0.3"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</row>
    <row r="157" spans="67:99" ht="31.5" customHeight="1" x14ac:dyDescent="0.3"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</row>
    <row r="158" spans="67:99" ht="31.5" customHeight="1" x14ac:dyDescent="0.3"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</row>
    <row r="159" spans="67:99" ht="31.5" customHeight="1" x14ac:dyDescent="0.3"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</row>
    <row r="160" spans="67:99" ht="31.5" customHeight="1" x14ac:dyDescent="0.3"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</row>
    <row r="161" spans="67:99" ht="31.5" customHeight="1" x14ac:dyDescent="0.3"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</row>
    <row r="162" spans="67:99" ht="31.5" customHeight="1" x14ac:dyDescent="0.3">
      <c r="BQ162" s="1"/>
    </row>
    <row r="163" spans="67:99" ht="31.5" customHeight="1" x14ac:dyDescent="0.3">
      <c r="BQ163" s="1"/>
    </row>
    <row r="164" spans="67:99" ht="31.5" customHeight="1" x14ac:dyDescent="0.3">
      <c r="BQ164" s="1"/>
    </row>
    <row r="165" spans="67:99" ht="31.5" customHeight="1" x14ac:dyDescent="0.3">
      <c r="BQ165" s="1"/>
    </row>
    <row r="166" spans="67:99" ht="31.5" customHeight="1" x14ac:dyDescent="0.3">
      <c r="BQ166" s="1"/>
    </row>
    <row r="167" spans="67:99" ht="31.5" customHeight="1" x14ac:dyDescent="0.3">
      <c r="BQ167" s="1"/>
    </row>
    <row r="168" spans="67:99" ht="31.5" customHeight="1" x14ac:dyDescent="0.3">
      <c r="BQ168" s="1"/>
    </row>
    <row r="169" spans="67:99" ht="31.5" customHeight="1" x14ac:dyDescent="0.3">
      <c r="BQ169" s="1"/>
    </row>
    <row r="170" spans="67:99" ht="31.5" customHeight="1" x14ac:dyDescent="0.3">
      <c r="BQ170" s="1"/>
    </row>
    <row r="171" spans="67:99" ht="31.5" customHeight="1" x14ac:dyDescent="0.3">
      <c r="BQ171" s="1"/>
    </row>
    <row r="172" spans="67:99" ht="31.5" customHeight="1" x14ac:dyDescent="0.3">
      <c r="BQ172" s="1"/>
    </row>
    <row r="173" spans="67:99" ht="31.5" customHeight="1" x14ac:dyDescent="0.3">
      <c r="BQ173" s="1"/>
    </row>
    <row r="174" spans="67:99" ht="31.5" customHeight="1" x14ac:dyDescent="0.3">
      <c r="BQ174" s="1"/>
    </row>
    <row r="175" spans="67:99" ht="31.5" customHeight="1" x14ac:dyDescent="0.3">
      <c r="BQ175" s="1"/>
    </row>
    <row r="176" spans="67:99" ht="31.5" customHeight="1" x14ac:dyDescent="0.3">
      <c r="BQ176" s="1"/>
    </row>
    <row r="177" spans="69:69" ht="31.5" customHeight="1" x14ac:dyDescent="0.3">
      <c r="BQ177" s="1"/>
    </row>
    <row r="178" spans="69:69" ht="31.5" customHeight="1" x14ac:dyDescent="0.3">
      <c r="BQ178" s="1"/>
    </row>
    <row r="179" spans="69:69" ht="31.5" customHeight="1" x14ac:dyDescent="0.3">
      <c r="BQ179" s="1"/>
    </row>
    <row r="180" spans="69:69" ht="31.5" customHeight="1" x14ac:dyDescent="0.3">
      <c r="BQ180" s="1"/>
    </row>
    <row r="181" spans="69:69" ht="31.5" customHeight="1" x14ac:dyDescent="0.3">
      <c r="BQ181" s="1"/>
    </row>
    <row r="182" spans="69:69" ht="31.5" customHeight="1" x14ac:dyDescent="0.3">
      <c r="BQ182" s="1"/>
    </row>
    <row r="183" spans="69:69" ht="31.5" customHeight="1" x14ac:dyDescent="0.3">
      <c r="BQ183" s="1"/>
    </row>
    <row r="184" spans="69:69" ht="31.5" customHeight="1" x14ac:dyDescent="0.3">
      <c r="BQ184" s="1"/>
    </row>
    <row r="185" spans="69:69" ht="31.5" customHeight="1" x14ac:dyDescent="0.3">
      <c r="BQ185" s="1"/>
    </row>
    <row r="186" spans="69:69" ht="31.5" customHeight="1" x14ac:dyDescent="0.3">
      <c r="BQ186" s="1"/>
    </row>
    <row r="187" spans="69:69" ht="31.5" customHeight="1" x14ac:dyDescent="0.3">
      <c r="BQ187" s="1"/>
    </row>
    <row r="188" spans="69:69" ht="31.5" customHeight="1" x14ac:dyDescent="0.3">
      <c r="BQ188" s="1"/>
    </row>
    <row r="189" spans="69:69" ht="31.5" customHeight="1" x14ac:dyDescent="0.3">
      <c r="BQ189" s="1"/>
    </row>
    <row r="190" spans="69:69" ht="31.5" customHeight="1" x14ac:dyDescent="0.3">
      <c r="BQ190" s="1"/>
    </row>
    <row r="191" spans="69:69" ht="31.5" customHeight="1" x14ac:dyDescent="0.3">
      <c r="BQ191" s="1"/>
    </row>
    <row r="192" spans="69:69" ht="31.5" customHeight="1" x14ac:dyDescent="0.3">
      <c r="BQ192" s="1"/>
    </row>
    <row r="193" spans="69:69" ht="31.5" customHeight="1" x14ac:dyDescent="0.3">
      <c r="BQ193" s="1"/>
    </row>
    <row r="194" spans="69:69" ht="31.5" customHeight="1" x14ac:dyDescent="0.3">
      <c r="BQ194" s="1"/>
    </row>
    <row r="195" spans="69:69" ht="31.5" customHeight="1" x14ac:dyDescent="0.3">
      <c r="BQ195" s="1"/>
    </row>
    <row r="196" spans="69:69" ht="31.5" customHeight="1" x14ac:dyDescent="0.3">
      <c r="BQ196" s="1"/>
    </row>
    <row r="197" spans="69:69" ht="31.5" customHeight="1" x14ac:dyDescent="0.3">
      <c r="BQ197" s="1"/>
    </row>
    <row r="198" spans="69:69" ht="31.5" customHeight="1" x14ac:dyDescent="0.3">
      <c r="BQ198" s="1"/>
    </row>
    <row r="199" spans="69:69" ht="31.5" customHeight="1" x14ac:dyDescent="0.3">
      <c r="BQ199" s="1"/>
    </row>
    <row r="200" spans="69:69" ht="31.5" customHeight="1" x14ac:dyDescent="0.3">
      <c r="BQ200" s="1"/>
    </row>
    <row r="201" spans="69:69" ht="31.5" customHeight="1" x14ac:dyDescent="0.3">
      <c r="BQ201" s="1"/>
    </row>
    <row r="202" spans="69:69" ht="31.5" customHeight="1" x14ac:dyDescent="0.3">
      <c r="BQ202" s="1"/>
    </row>
    <row r="203" spans="69:69" ht="31.5" customHeight="1" x14ac:dyDescent="0.3">
      <c r="BQ203" s="1"/>
    </row>
    <row r="204" spans="69:69" ht="31.5" customHeight="1" x14ac:dyDescent="0.3">
      <c r="BQ204" s="1"/>
    </row>
  </sheetData>
  <autoFilter ref="E1:CU28">
    <sortState ref="E2:CU28">
      <sortCondition descending="1" ref="BD1:BD28"/>
    </sortState>
  </autoFilter>
  <mergeCells count="1">
    <mergeCell ref="A14:B14"/>
  </mergeCells>
  <phoneticPr fontId="53" type="noConversion"/>
  <conditionalFormatting sqref="F2:F12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I12 H45:I1048576">
    <cfRule type="colorScale" priority="145">
      <colorScale>
        <cfvo type="min"/>
        <cfvo type="max"/>
        <color rgb="FFFCFCFF"/>
        <color rgb="FFF8696B"/>
      </colorScale>
    </cfRule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:BH12 BH81:BH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min"/>
        <cfvo type="max"/>
        <color rgb="FFFCFCFF"/>
        <color rgb="FF63BE7B"/>
      </colorScale>
    </cfRule>
  </conditionalFormatting>
  <conditionalFormatting sqref="D1:E1 D23:E1048576 D13:E13 D2:D12 E14:E19 E22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3 C18 C23:C1048576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2 BG81:BG1048576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127">
      <colorScale>
        <cfvo type="min"/>
        <cfvo type="max"/>
        <color rgb="FFFFEF9C"/>
        <color rgb="FF63BE7B"/>
      </colorScale>
    </cfRule>
  </conditionalFormatting>
  <conditionalFormatting sqref="C19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colorScale" priority="123">
      <colorScale>
        <cfvo type="min"/>
        <cfvo type="max"/>
        <color rgb="FFFFEF9C"/>
        <color rgb="FF63BE7B"/>
      </colorScale>
    </cfRule>
  </conditionalFormatting>
  <conditionalFormatting sqref="C16">
    <cfRule type="colorScale" priority="122">
      <colorScale>
        <cfvo type="min"/>
        <cfvo type="max"/>
        <color rgb="FFFFEF9C"/>
        <color rgb="FF63BE7B"/>
      </colorScale>
    </cfRule>
  </conditionalFormatting>
  <conditionalFormatting sqref="C1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">
    <cfRule type="colorScale" priority="117">
      <colorScale>
        <cfvo type="num" val="0"/>
        <cfvo type="num" val="28"/>
        <cfvo type="num" val="30.1"/>
        <color theme="9" tint="0.39997558519241921"/>
        <color theme="7" tint="0.39997558519241921"/>
        <color theme="5" tint="0.39997558519241921"/>
      </colorScale>
    </cfRule>
  </conditionalFormatting>
  <conditionalFormatting sqref="C2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">
      <colorScale>
        <cfvo type="min"/>
        <cfvo type="max"/>
        <color rgb="FFFCFCFF"/>
        <color rgb="FF63BE7B"/>
      </colorScale>
    </cfRule>
  </conditionalFormatting>
  <conditionalFormatting sqref="I1:I12 I45:I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2 H45:H1048576">
    <cfRule type="colorScale" priority="112">
      <colorScale>
        <cfvo type="min"/>
        <cfvo type="max"/>
        <color rgb="FFFCFCFF"/>
        <color rgb="FFF8696B"/>
      </colorScale>
    </cfRule>
  </conditionalFormatting>
  <conditionalFormatting sqref="E2:E1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:E1048576 E1:E19">
    <cfRule type="colorScale" priority="108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3 D15:D104857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9 F22:F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3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2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{5993D631-B0C2-483A-9601-6A7EC078B582}</x14:id>
        </ext>
      </extLst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D22">
    <cfRule type="colorScale" priority="100">
      <colorScale>
        <cfvo type="min"/>
        <cfvo type="percentile" val="50"/>
        <cfvo type="max"/>
        <color theme="7" tint="0.79998168889431442"/>
        <color theme="7" tint="0.79998168889431442"/>
        <color theme="7" tint="0.79998168889431442"/>
      </colorScale>
    </cfRule>
  </conditionalFormatting>
  <conditionalFormatting sqref="D22">
    <cfRule type="colorScale" priority="99">
      <colorScale>
        <cfvo type="num" val="1.69"/>
        <cfvo type="num" val="1.75"/>
        <cfvo type="num" val="1.83"/>
        <color rgb="FFF8696B"/>
        <color rgb="FFFFEB84"/>
        <color rgb="FF63BE7B"/>
      </colorScale>
    </cfRule>
  </conditionalFormatting>
  <conditionalFormatting sqref="T1">
    <cfRule type="iconSet" priority="9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EF9C"/>
        <color rgb="FF63BE7B"/>
      </colorScale>
    </cfRule>
  </conditionalFormatting>
  <conditionalFormatting sqref="U1">
    <cfRule type="iconSet" priority="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U1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U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V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2 V81:V1048576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2 U81:U1048576">
    <cfRule type="iconSet" priority="8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2 T81:T1048576">
    <cfRule type="iconSet" priority="8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2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{3A8E6B43-326A-4A74-9DBC-9B58B976B06C}</x14:id>
        </ext>
      </extLst>
    </cfRule>
  </conditionalFormatting>
  <conditionalFormatting sqref="W81:W1048576 W1:W12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{B1BB47D9-1585-44B0-B617-CB2BF4F3077D}</x14:id>
        </ext>
      </extLst>
    </cfRule>
    <cfRule type="colorScale" priority="81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Y81:Y1048576 Y1:Y12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{EACCAA29-2C3D-4B04-9CA6-07B6845EF7A5}</x14:id>
        </ext>
      </extLst>
    </cfRule>
    <cfRule type="colorScale" priority="79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A1:AA12 AA81:AA1048576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{049B647A-BD48-422F-8F11-D187A4A71BDE}</x14:id>
        </ext>
      </extLst>
    </cfRule>
    <cfRule type="colorScale" priority="77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B1:AB12 AB81:AB1048576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{2F9CDC0F-5E3C-42D4-B527-15586E3B9408}</x14:id>
        </ext>
      </extLst>
    </cfRule>
    <cfRule type="colorScale" priority="75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H1:AH12 AH81:AH104857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{41C637A3-D75D-40C0-9BF7-C4CA9DA446D6}</x14:id>
        </ext>
      </extLst>
    </cfRule>
  </conditionalFormatting>
  <conditionalFormatting sqref="AI1:AI12 AI81:AI1048576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{FD059E67-83CF-4801-8180-E12C24D067DA}</x14:id>
        </ext>
      </extLs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2 AJ81:AJ1048576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{0FF92D19-8ECF-476F-BDCC-03FE86D6DBD3}</x14:id>
        </ext>
      </extLst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{7F67BD36-C908-4A40-A4CA-FB41F837A3F2}</x14:id>
        </ext>
      </extLst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81:AK1048576 AK1:AK12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{73D6C16B-075C-4E66-931B-17D197DFF6E4}</x14:id>
        </ext>
      </extLst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2 AN81:AN1048576">
    <cfRule type="colorScale" priority="63">
      <colorScale>
        <cfvo type="min"/>
        <cfvo type="max"/>
        <color rgb="FFFFEF9C"/>
        <color rgb="FF63BE7B"/>
      </colorScale>
    </cfRule>
  </conditionalFormatting>
  <conditionalFormatting sqref="AO1:AO12 AO81:AO1048576">
    <cfRule type="iconSet" priority="61">
      <iconSet iconSet="3Arrows">
        <cfvo type="percent" val="0"/>
        <cfvo type="percent" val="33"/>
        <cfvo type="percent" val="67"/>
      </iconSet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2 AP81:AP1048576">
    <cfRule type="colorScale" priority="60">
      <colorScale>
        <cfvo type="min"/>
        <cfvo type="max"/>
        <color rgb="FFFFEF9C"/>
        <color rgb="FF63BE7B"/>
      </colorScale>
    </cfRule>
  </conditionalFormatting>
  <conditionalFormatting sqref="AQ1:AQ12 AQ81:AQ104857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2 BE81:BE104857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{96513AB5-C18E-4437-B86A-6082F212D36B}</x14:id>
        </ext>
      </extLst>
    </cfRule>
    <cfRule type="colorScale" priority="5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N81:N1048576 N1:N12">
    <cfRule type="colorScale" priority="54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R81:R1048576 R1:R12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2 S81:S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2 BD81:BD1048576">
    <cfRule type="iconSet" priority="48">
      <iconSet iconSet="3Arrows">
        <cfvo type="percent" val="0"/>
        <cfvo type="percent" val="33"/>
        <cfvo type="percent" val="67"/>
      </iconSet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81:BC1048576 BC1:BC1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2 AV81:AV104857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81:AU1048576 AU1:AU1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2 O81:O1048576">
    <cfRule type="colorScale" priority="44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P1:P12 P81:P1048576">
    <cfRule type="iconSet" priority="4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max"/>
        <color rgb="FFFCFCFF"/>
        <color rgb="FFF8696B"/>
      </colorScale>
    </cfRule>
  </conditionalFormatting>
  <conditionalFormatting sqref="Q1:Q12 Q81:Q1048576">
    <cfRule type="iconSet" priority="4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1">
      <colorScale>
        <cfvo type="min"/>
        <cfvo type="max"/>
        <color rgb="FFFCFCFF"/>
        <color rgb="FFF8696B"/>
      </colorScale>
    </cfRule>
  </conditionalFormatting>
  <conditionalFormatting sqref="AC1:AC12 AC81:AC1048576">
    <cfRule type="colorScale" priority="39">
      <colorScale>
        <cfvo type="min"/>
        <cfvo type="max"/>
        <color rgb="FFFFEF9C"/>
        <color rgb="FF63BE7B"/>
      </colorScale>
    </cfRule>
  </conditionalFormatting>
  <conditionalFormatting sqref="AD1:AD12 AD81:AD1048576">
    <cfRule type="colorScale" priority="38">
      <colorScale>
        <cfvo type="min"/>
        <cfvo type="max"/>
        <color rgb="FFFFEF9C"/>
        <color rgb="FF63BE7B"/>
      </colorScale>
    </cfRule>
  </conditionalFormatting>
  <conditionalFormatting sqref="AE1:AE12 AE81:AE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2 AF81:AF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2 AG81:AG1048576">
    <cfRule type="colorScale" priority="35">
      <colorScale>
        <cfvo type="percentile" val="50"/>
        <cfvo type="percentile" val="80"/>
        <cfvo type="max"/>
        <color rgb="FFF8696B"/>
        <color rgb="FFFFEB84"/>
        <color rgb="FF63BE7B"/>
      </colorScale>
    </cfRule>
  </conditionalFormatting>
  <conditionalFormatting sqref="K1:K12 K81:K1048576">
    <cfRule type="colorScale" priority="34">
      <colorScale>
        <cfvo type="min"/>
        <cfvo type="max"/>
        <color rgb="FFFFEF9C"/>
        <color rgb="FF63BE7B"/>
      </colorScale>
    </cfRule>
  </conditionalFormatting>
  <conditionalFormatting sqref="AR1:AR12 AR81:AR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81:AS1048576 AS1:AS1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2 AT81:AT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81:AW1048576 AW1:AW1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2 AM81:AM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2 X81:X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{ADF2FCA0-B478-421D-88E6-5BA4AB0B6AE6}</x14:id>
        </ext>
      </extLst>
    </cfRule>
    <cfRule type="colorScale" priority="25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Z81:Z1048576 Z1:Z12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{DF3C2BE4-A950-493E-AC67-D0C69F3FCAD8}</x14:id>
        </ext>
      </extLst>
    </cfRule>
    <cfRule type="colorScale" priority="22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M1:AM12 AM81:AM104857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{74FF5CFA-B80D-48E8-A45A-CCA7CF544139}</x14:id>
        </ext>
      </extLst>
    </cfRule>
  </conditionalFormatting>
  <conditionalFormatting sqref="M1:M12 M81:M1048576">
    <cfRule type="colorScale" priority="19">
      <colorScale>
        <cfvo type="min"/>
        <cfvo type="max"/>
        <color rgb="FFFCFCFF"/>
        <color rgb="FFF8696B"/>
      </colorScale>
    </cfRule>
  </conditionalFormatting>
  <conditionalFormatting sqref="L1:L12 L81:L1048576">
    <cfRule type="colorScale" priority="18">
      <colorScale>
        <cfvo type="min"/>
        <cfvo type="max"/>
        <color rgb="FFFCFCFF"/>
        <color rgb="FFF8696B"/>
      </colorScale>
    </cfRule>
  </conditionalFormatting>
  <conditionalFormatting sqref="AL1:AL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{31D57B93-6042-44D1-A789-BF0A12BA116A}</x14:id>
        </ext>
      </extLst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2 BI1:BI12 BI84:BJ1048576 K13:AK80 AM13:AW80 BK84:CU204 BC13:BE80 CV84:CV161 BI81:CV83 BG13:CV80">
    <cfRule type="iconSet" priority="2400834">
      <iconSet iconSet="3Arrows">
        <cfvo type="percent" val="0"/>
        <cfvo type="num" val="6.7"/>
        <cfvo type="num" val="7"/>
      </iconSet>
    </cfRule>
    <cfRule type="colorScale" priority="2400835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AZ1:AZ1048576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{B46DC36F-905F-4176-AFED-5DF63D3051EE}</x14:id>
        </ext>
      </extLst>
    </cfRule>
  </conditionalFormatting>
  <conditionalFormatting sqref="BA1:BA1048576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{B2720A35-F288-4806-8E45-E61D4870B388}</x14:id>
        </ext>
      </extLst>
    </cfRule>
  </conditionalFormatting>
  <conditionalFormatting sqref="BB1:BB1048576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{21746399-7EC8-457E-AB5E-EE2AC89F5045}</x14:id>
        </ext>
      </extLst>
    </cfRule>
  </conditionalFormatting>
  <conditionalFormatting sqref="BF1:BF104857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{2204188D-712A-4C89-B029-8726B7A58761}</x14:id>
        </ext>
      </extLst>
    </cfRule>
    <cfRule type="colorScale" priority="5">
      <colorScale>
        <cfvo type="min"/>
        <cfvo type="percentile" val="50"/>
        <cfvo type="max"/>
        <color rgb="FFFAA0A2"/>
        <color theme="4" tint="0.79998168889431442"/>
        <color rgb="FF00B0F0"/>
      </colorScale>
    </cfRule>
  </conditionalFormatting>
  <conditionalFormatting sqref="AX1:AX1048576">
    <cfRule type="dataBar" priority="3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{8E5A1563-43A0-4246-8F34-4DF8A67BA539}</x14:id>
        </ext>
      </extLst>
    </cfRule>
  </conditionalFormatting>
  <conditionalFormatting sqref="AY1:AY1048576">
    <cfRule type="dataBar" priority="2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{FB9C18E4-6E6D-4C83-A5A0-F1F14589D67B}</x14:id>
        </ext>
      </extLst>
    </cfRule>
  </conditionalFormatting>
  <conditionalFormatting sqref="J1:J1048576">
    <cfRule type="dataBar" priority="1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{31F4685D-B9DC-4158-A394-0DD8F26AF569}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93D631-B0C2-483A-9601-6A7EC078B5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D2:D12</xm:sqref>
        </x14:conditionalFormatting>
        <x14:conditionalFormatting xmlns:xm="http://schemas.microsoft.com/office/excel/2006/main">
          <x14:cfRule type="dataBar" id="{3A8E6B43-326A-4A74-9DBC-9B58B976B0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C2:C12</xm:sqref>
        </x14:conditionalFormatting>
        <x14:conditionalFormatting xmlns:xm="http://schemas.microsoft.com/office/excel/2006/main">
          <x14:cfRule type="dataBar" id="{B1BB47D9-1585-44B0-B617-CB2BF4F30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W81:W1048576 W1:W12</xm:sqref>
        </x14:conditionalFormatting>
        <x14:conditionalFormatting xmlns:xm="http://schemas.microsoft.com/office/excel/2006/main">
          <x14:cfRule type="dataBar" id="{EACCAA29-2C3D-4B04-9CA6-07B6845EF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Y81:Y1048576 Y1:Y12</xm:sqref>
        </x14:conditionalFormatting>
        <x14:conditionalFormatting xmlns:xm="http://schemas.microsoft.com/office/excel/2006/main">
          <x14:cfRule type="dataBar" id="{049B647A-BD48-422F-8F11-D187A4A71B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AA1:AA12 AA81:AA1048576</xm:sqref>
        </x14:conditionalFormatting>
        <x14:conditionalFormatting xmlns:xm="http://schemas.microsoft.com/office/excel/2006/main">
          <x14:cfRule type="dataBar" id="{2F9CDC0F-5E3C-42D4-B527-15586E3B94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AB1:AB12 AB81:AB1048576</xm:sqref>
        </x14:conditionalFormatting>
        <x14:conditionalFormatting xmlns:xm="http://schemas.microsoft.com/office/excel/2006/main">
          <x14:cfRule type="dataBar" id="{41C637A3-D75D-40C0-9BF7-C4CA9DA44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AH1:AH12 AH81:AH1048576</xm:sqref>
        </x14:conditionalFormatting>
        <x14:conditionalFormatting xmlns:xm="http://schemas.microsoft.com/office/excel/2006/main">
          <x14:cfRule type="dataBar" id="{FD059E67-83CF-4801-8180-E12C24D06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AI1:AI12 AI81:AI1048576</xm:sqref>
        </x14:conditionalFormatting>
        <x14:conditionalFormatting xmlns:xm="http://schemas.microsoft.com/office/excel/2006/main">
          <x14:cfRule type="dataBar" id="{0FF92D19-8ECF-476F-BDCC-03FE86D6DB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AJ1:AJ12 AJ81:AJ1048576</xm:sqref>
        </x14:conditionalFormatting>
        <x14:conditionalFormatting xmlns:xm="http://schemas.microsoft.com/office/excel/2006/main">
          <x14:cfRule type="dataBar" id="{7F67BD36-C908-4A40-A4CA-FB41F837A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AK1</xm:sqref>
        </x14:conditionalFormatting>
        <x14:conditionalFormatting xmlns:xm="http://schemas.microsoft.com/office/excel/2006/main">
          <x14:cfRule type="dataBar" id="{73D6C16B-075C-4E66-931B-17D197DFF6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AK81:AK1048576 AK1:AK12</xm:sqref>
        </x14:conditionalFormatting>
        <x14:conditionalFormatting xmlns:xm="http://schemas.microsoft.com/office/excel/2006/main">
          <x14:cfRule type="dataBar" id="{96513AB5-C18E-4437-B86A-6082F212D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BE1:BE12 BE81:BE1048576</xm:sqref>
        </x14:conditionalFormatting>
        <x14:conditionalFormatting xmlns:xm="http://schemas.microsoft.com/office/excel/2006/main">
          <x14:cfRule type="dataBar" id="{ADF2FCA0-B478-421D-88E6-5BA4AB0B6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X1:X12 X81:X1048576</xm:sqref>
        </x14:conditionalFormatting>
        <x14:conditionalFormatting xmlns:xm="http://schemas.microsoft.com/office/excel/2006/main">
          <x14:cfRule type="dataBar" id="{DF3C2BE4-A950-493E-AC67-D0C69F3F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Z81:Z1048576 Z1:Z12</xm:sqref>
        </x14:conditionalFormatting>
        <x14:conditionalFormatting xmlns:xm="http://schemas.microsoft.com/office/excel/2006/main">
          <x14:cfRule type="dataBar" id="{74FF5CFA-B80D-48E8-A45A-CCA7CF544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AM1:AM12 AM81:AM1048576</xm:sqref>
        </x14:conditionalFormatting>
        <x14:conditionalFormatting xmlns:xm="http://schemas.microsoft.com/office/excel/2006/main">
          <x14:cfRule type="dataBar" id="{31D57B93-6042-44D1-A789-BF0A12BA1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B46DC36F-905F-4176-AFED-5DF63D3051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B2720A35-F288-4806-8E45-E61D4870B3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BA1:BA1048576</xm:sqref>
        </x14:conditionalFormatting>
        <x14:conditionalFormatting xmlns:xm="http://schemas.microsoft.com/office/excel/2006/main">
          <x14:cfRule type="dataBar" id="{21746399-7EC8-457E-AB5E-EE2AC89F50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2204188D-712A-4C89-B029-8726B7A587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BF1:BF1048576</xm:sqref>
        </x14:conditionalFormatting>
        <x14:conditionalFormatting xmlns:xm="http://schemas.microsoft.com/office/excel/2006/main">
          <x14:cfRule type="dataBar" id="{8E5A1563-43A0-4246-8F34-4DF8A67BA5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FB9C18E4-6E6D-4C83-A5A0-F1F14589D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31F4685D-B9DC-4158-A394-0DD8F26AF5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-0.499984740745262"/>
  </sheetPr>
  <dimension ref="A1:AS1001"/>
  <sheetViews>
    <sheetView topLeftCell="B1" zoomScale="90" zoomScaleNormal="90" workbookViewId="0">
      <pane xSplit="2" ySplit="1" topLeftCell="D2" activePane="bottomRight" state="frozen"/>
      <selection activeCell="B1" sqref="B1"/>
      <selection pane="topRight" activeCell="C1" sqref="C1"/>
      <selection pane="bottomLeft" activeCell="B2" sqref="B2"/>
      <selection pane="bottomRight"/>
    </sheetView>
  </sheetViews>
  <sheetFormatPr defaultRowHeight="15" x14ac:dyDescent="0.25"/>
  <cols>
    <col min="3" max="3" width="30.7109375" customWidth="1"/>
    <col min="4" max="4" width="12.7109375" customWidth="1"/>
    <col min="5" max="5" width="23.28515625" bestFit="1" customWidth="1"/>
    <col min="6" max="24" width="16.7109375" customWidth="1"/>
    <col min="25" max="45" width="9.140625" style="282"/>
  </cols>
  <sheetData>
    <row r="1" spans="1:45" ht="50.1" customHeight="1" thickBot="1" x14ac:dyDescent="0.3">
      <c r="A1" s="272"/>
      <c r="B1" s="112"/>
      <c r="C1" s="4" t="s">
        <v>20</v>
      </c>
      <c r="D1" s="4" t="s">
        <v>214</v>
      </c>
      <c r="E1" s="4" t="s">
        <v>28</v>
      </c>
      <c r="F1" s="4" t="s">
        <v>1</v>
      </c>
      <c r="G1" s="4" t="s">
        <v>231</v>
      </c>
      <c r="H1" s="283" t="s">
        <v>121</v>
      </c>
      <c r="I1" s="40" t="s">
        <v>18</v>
      </c>
      <c r="J1" s="40" t="s">
        <v>81</v>
      </c>
      <c r="K1" s="341" t="s">
        <v>430</v>
      </c>
      <c r="L1" s="4" t="s">
        <v>632</v>
      </c>
      <c r="M1" s="4" t="s">
        <v>634</v>
      </c>
      <c r="N1" s="4" t="s">
        <v>633</v>
      </c>
      <c r="O1" s="4" t="s">
        <v>635</v>
      </c>
      <c r="P1" s="4" t="s">
        <v>377</v>
      </c>
      <c r="Q1" s="39" t="s">
        <v>637</v>
      </c>
      <c r="R1" s="39" t="s">
        <v>638</v>
      </c>
      <c r="S1" s="39" t="s">
        <v>465</v>
      </c>
      <c r="T1" s="39" t="s">
        <v>260</v>
      </c>
      <c r="U1" s="53" t="s">
        <v>304</v>
      </c>
      <c r="V1" s="97" t="s">
        <v>303</v>
      </c>
      <c r="W1" s="291" t="s">
        <v>639</v>
      </c>
      <c r="X1" s="110" t="s">
        <v>25</v>
      </c>
      <c r="Y1" s="293" t="s">
        <v>14</v>
      </c>
      <c r="Z1" s="294" t="s">
        <v>621</v>
      </c>
      <c r="AA1" s="294" t="s">
        <v>0</v>
      </c>
      <c r="AB1" s="294" t="s">
        <v>20</v>
      </c>
      <c r="AC1" s="294" t="s">
        <v>1</v>
      </c>
      <c r="AD1" s="294" t="s">
        <v>622</v>
      </c>
      <c r="AE1" s="294" t="s">
        <v>165</v>
      </c>
      <c r="AF1" s="294" t="s">
        <v>189</v>
      </c>
      <c r="AG1" s="294" t="s">
        <v>190</v>
      </c>
      <c r="AH1" s="294" t="s">
        <v>18</v>
      </c>
      <c r="AI1" s="294" t="s">
        <v>509</v>
      </c>
      <c r="AJ1" s="294" t="s">
        <v>623</v>
      </c>
      <c r="AK1" s="294" t="s">
        <v>636</v>
      </c>
      <c r="AL1" s="294" t="s">
        <v>10</v>
      </c>
      <c r="AM1" s="294" t="s">
        <v>643</v>
      </c>
      <c r="AN1" s="294" t="s">
        <v>624</v>
      </c>
      <c r="AO1" s="294" t="s">
        <v>167</v>
      </c>
      <c r="AP1" s="294" t="s">
        <v>2</v>
      </c>
      <c r="AQ1" s="294" t="s">
        <v>3</v>
      </c>
      <c r="AR1" s="294" t="s">
        <v>625</v>
      </c>
      <c r="AS1" s="295" t="s">
        <v>626</v>
      </c>
    </row>
    <row r="2" spans="1:45" ht="24.95" customHeight="1" thickBot="1" x14ac:dyDescent="0.3">
      <c r="B2" s="29" t="str">
        <f t="shared" ref="B2:B11" si="0">ROW()-1 &amp; "º"</f>
        <v>1º</v>
      </c>
      <c r="C2" s="69" t="str">
        <f t="shared" ref="C2:C11" si="1">AB2</f>
        <v>André</v>
      </c>
      <c r="D2" s="86" t="str">
        <f t="shared" ref="D2:D11" si="2">Z2</f>
        <v>BRA</v>
      </c>
      <c r="E2" s="257" t="str">
        <f t="shared" ref="E2:E11" si="3">AA2</f>
        <v>Corinthians</v>
      </c>
      <c r="F2" s="36">
        <f t="shared" ref="F2:F11" si="4">AC2</f>
        <v>20</v>
      </c>
      <c r="G2" s="96">
        <f t="shared" ref="G2:G11" si="5">IFERROR(AVERAGE(H:H),0)</f>
        <v>34.245555555555555</v>
      </c>
      <c r="H2" s="197">
        <f t="shared" ref="H2:H11" si="6">IFERROR(AD2/90,0)</f>
        <v>35.68888888888889</v>
      </c>
      <c r="I2" s="197">
        <f t="shared" ref="I2:I11" si="7">VALUE(SUBSTITUTE(AH2, " km", ""))</f>
        <v>444.8</v>
      </c>
      <c r="J2" s="284">
        <f t="shared" ref="J2:J11" si="8">I2/H2</f>
        <v>12.463262764632628</v>
      </c>
      <c r="K2" s="210">
        <f t="shared" ref="K2:K11" si="9">IFERROR((((I2*1000)/(AD2*60))*3600)/1000,0)</f>
        <v>8.3088418430884197</v>
      </c>
      <c r="L2" s="286">
        <f t="shared" ref="L2:L11" si="10">AF2</f>
        <v>354</v>
      </c>
      <c r="M2" s="287">
        <f t="shared" ref="M2:M11" si="11">L2/H2</f>
        <v>9.9190535491905347</v>
      </c>
      <c r="N2" s="286">
        <f t="shared" ref="N2:N11" si="12">AG2</f>
        <v>103</v>
      </c>
      <c r="O2" s="287">
        <f t="shared" ref="O2:O11" si="13">N2/H2</f>
        <v>2.8860523038605228</v>
      </c>
      <c r="P2" s="285">
        <f t="shared" ref="P2:P11" si="14">IFERROR(N2/L2,0)</f>
        <v>0.29096045197740111</v>
      </c>
      <c r="Q2" s="58">
        <f t="shared" ref="Q2:Q11" si="15">AK2</f>
        <v>68</v>
      </c>
      <c r="R2" s="76">
        <f t="shared" ref="R2:R11" si="16">AK2/H2</f>
        <v>1.905354919053549</v>
      </c>
      <c r="S2" s="288">
        <f t="shared" ref="S2:S11" si="17">AJ2</f>
        <v>0.1</v>
      </c>
      <c r="T2" s="76">
        <f t="shared" ref="T2:T11" si="18">AO2</f>
        <v>15.2</v>
      </c>
      <c r="U2" s="289">
        <f t="shared" ref="U2:U11" si="19">AN2</f>
        <v>0</v>
      </c>
      <c r="V2" s="290">
        <f t="shared" ref="V2:V11" si="20">U2/H2</f>
        <v>0</v>
      </c>
      <c r="W2" s="292">
        <f t="shared" ref="W2:W11" si="21">(I2/100)*10+(J2/12)*10+(L2/100)*10+(N2/50)*10+(R2*10)+(S2/0.1)*10+(U2*-10)</f>
        <v>139.91960149439603</v>
      </c>
      <c r="X2" s="5">
        <f t="shared" ref="X2:X11" si="22">AM2</f>
        <v>6.87</v>
      </c>
      <c r="Y2" s="300"/>
      <c r="Z2" s="296" t="s">
        <v>13</v>
      </c>
      <c r="AA2" s="296" t="s">
        <v>1017</v>
      </c>
      <c r="AB2" s="296" t="s">
        <v>834</v>
      </c>
      <c r="AC2" s="296">
        <v>20</v>
      </c>
      <c r="AD2" s="296">
        <v>3212</v>
      </c>
      <c r="AE2" s="296">
        <v>9.6</v>
      </c>
      <c r="AF2" s="296">
        <v>354</v>
      </c>
      <c r="AG2" s="296">
        <v>103</v>
      </c>
      <c r="AH2" s="296" t="s">
        <v>1022</v>
      </c>
      <c r="AI2" s="296">
        <v>12.5</v>
      </c>
      <c r="AJ2" s="296">
        <v>0.1</v>
      </c>
      <c r="AK2" s="296">
        <v>68</v>
      </c>
      <c r="AL2" s="296">
        <v>7</v>
      </c>
      <c r="AM2" s="296">
        <v>6.87</v>
      </c>
      <c r="AN2" s="296">
        <v>0</v>
      </c>
      <c r="AO2" s="296">
        <v>15.2</v>
      </c>
      <c r="AP2" s="296" t="s">
        <v>931</v>
      </c>
      <c r="AQ2" s="296" t="s">
        <v>913</v>
      </c>
      <c r="AR2" s="296">
        <v>19</v>
      </c>
      <c r="AS2" s="301" t="s">
        <v>627</v>
      </c>
    </row>
    <row r="3" spans="1:45" ht="24.95" customHeight="1" thickBot="1" x14ac:dyDescent="0.3">
      <c r="B3" s="29" t="str">
        <f t="shared" si="0"/>
        <v>2º</v>
      </c>
      <c r="C3" s="69" t="str">
        <f t="shared" si="1"/>
        <v>Bruno Gomes</v>
      </c>
      <c r="D3" s="86" t="str">
        <f t="shared" si="2"/>
        <v>BRA</v>
      </c>
      <c r="E3" s="257" t="str">
        <f t="shared" si="3"/>
        <v>Internacional</v>
      </c>
      <c r="F3" s="36">
        <f t="shared" si="4"/>
        <v>25</v>
      </c>
      <c r="G3" s="96">
        <f t="shared" si="5"/>
        <v>34.245555555555555</v>
      </c>
      <c r="H3" s="197">
        <f t="shared" si="6"/>
        <v>33.5</v>
      </c>
      <c r="I3" s="197">
        <f t="shared" si="7"/>
        <v>420.3</v>
      </c>
      <c r="J3" s="284">
        <f t="shared" si="8"/>
        <v>12.546268656716418</v>
      </c>
      <c r="K3" s="210">
        <f t="shared" si="9"/>
        <v>8.3641791044776106</v>
      </c>
      <c r="L3" s="286">
        <f t="shared" si="10"/>
        <v>293</v>
      </c>
      <c r="M3" s="287">
        <f t="shared" si="11"/>
        <v>8.7462686567164187</v>
      </c>
      <c r="N3" s="286">
        <f t="shared" si="12"/>
        <v>77</v>
      </c>
      <c r="O3" s="287">
        <f t="shared" si="13"/>
        <v>2.2985074626865671</v>
      </c>
      <c r="P3" s="285">
        <f t="shared" si="14"/>
        <v>0.26279863481228671</v>
      </c>
      <c r="Q3" s="58">
        <f t="shared" si="15"/>
        <v>64</v>
      </c>
      <c r="R3" s="76">
        <f t="shared" si="16"/>
        <v>1.9104477611940298</v>
      </c>
      <c r="S3" s="288">
        <f t="shared" si="17"/>
        <v>0.1</v>
      </c>
      <c r="T3" s="76">
        <f t="shared" si="18"/>
        <v>23</v>
      </c>
      <c r="U3" s="289">
        <f t="shared" si="19"/>
        <v>0</v>
      </c>
      <c r="V3" s="290">
        <f t="shared" si="20"/>
        <v>0</v>
      </c>
      <c r="W3" s="292">
        <f t="shared" si="21"/>
        <v>126.28970149253732</v>
      </c>
      <c r="X3" s="5">
        <f t="shared" si="22"/>
        <v>6.92</v>
      </c>
      <c r="Y3" s="302"/>
      <c r="Z3" s="298" t="s">
        <v>13</v>
      </c>
      <c r="AA3" s="298" t="s">
        <v>584</v>
      </c>
      <c r="AB3" s="298" t="s">
        <v>629</v>
      </c>
      <c r="AC3" s="298">
        <v>25</v>
      </c>
      <c r="AD3" s="298">
        <v>3015</v>
      </c>
      <c r="AE3" s="298">
        <v>10.6</v>
      </c>
      <c r="AF3" s="298">
        <v>293</v>
      </c>
      <c r="AG3" s="298">
        <v>77</v>
      </c>
      <c r="AH3" s="298" t="s">
        <v>1021</v>
      </c>
      <c r="AI3" s="298">
        <v>12.5</v>
      </c>
      <c r="AJ3" s="298">
        <v>0.1</v>
      </c>
      <c r="AK3" s="298">
        <v>64</v>
      </c>
      <c r="AL3" s="298">
        <v>81</v>
      </c>
      <c r="AM3" s="298">
        <v>6.92</v>
      </c>
      <c r="AN3" s="298">
        <v>0</v>
      </c>
      <c r="AO3" s="298">
        <v>23</v>
      </c>
      <c r="AP3" s="298" t="s">
        <v>630</v>
      </c>
      <c r="AQ3" s="298" t="s">
        <v>631</v>
      </c>
      <c r="AR3" s="298">
        <v>19</v>
      </c>
      <c r="AS3" s="303" t="s">
        <v>628</v>
      </c>
    </row>
    <row r="4" spans="1:45" ht="24.95" customHeight="1" thickBot="1" x14ac:dyDescent="0.3">
      <c r="B4" s="29" t="str">
        <f t="shared" si="0"/>
        <v>3º</v>
      </c>
      <c r="C4" s="69" t="str">
        <f t="shared" si="1"/>
        <v>Dudu</v>
      </c>
      <c r="D4" s="86" t="str">
        <f t="shared" si="2"/>
        <v>BRA</v>
      </c>
      <c r="E4" s="257" t="str">
        <f t="shared" si="3"/>
        <v>Vitória</v>
      </c>
      <c r="F4" s="36">
        <f t="shared" si="4"/>
        <v>27</v>
      </c>
      <c r="G4" s="96">
        <f t="shared" si="5"/>
        <v>34.245555555555555</v>
      </c>
      <c r="H4" s="197">
        <f t="shared" si="6"/>
        <v>26.533333333333335</v>
      </c>
      <c r="I4" s="197">
        <f t="shared" si="7"/>
        <v>318</v>
      </c>
      <c r="J4" s="284">
        <f t="shared" si="8"/>
        <v>11.984924623115576</v>
      </c>
      <c r="K4" s="210">
        <f t="shared" si="9"/>
        <v>7.9899497487437179</v>
      </c>
      <c r="L4" s="286">
        <f t="shared" si="10"/>
        <v>241</v>
      </c>
      <c r="M4" s="287">
        <f t="shared" si="11"/>
        <v>9.0829145728643219</v>
      </c>
      <c r="N4" s="286">
        <f t="shared" si="12"/>
        <v>56</v>
      </c>
      <c r="O4" s="287">
        <f t="shared" si="13"/>
        <v>2.1105527638190953</v>
      </c>
      <c r="P4" s="285">
        <f t="shared" si="14"/>
        <v>0.23236514522821577</v>
      </c>
      <c r="Q4" s="58">
        <f t="shared" si="15"/>
        <v>48</v>
      </c>
      <c r="R4" s="76">
        <f t="shared" si="16"/>
        <v>1.8090452261306531</v>
      </c>
      <c r="S4" s="288">
        <f t="shared" si="17"/>
        <v>0.1</v>
      </c>
      <c r="T4" s="76">
        <f t="shared" si="18"/>
        <v>12.9</v>
      </c>
      <c r="U4" s="289">
        <f t="shared" si="19"/>
        <v>0</v>
      </c>
      <c r="V4" s="290">
        <f t="shared" si="20"/>
        <v>0</v>
      </c>
      <c r="W4" s="292">
        <f t="shared" si="21"/>
        <v>105.1778894472362</v>
      </c>
      <c r="X4" s="5">
        <f t="shared" si="22"/>
        <v>7.03</v>
      </c>
      <c r="Y4" s="302"/>
      <c r="Z4" s="298" t="s">
        <v>13</v>
      </c>
      <c r="AA4" s="298" t="s">
        <v>592</v>
      </c>
      <c r="AB4" s="298" t="s">
        <v>990</v>
      </c>
      <c r="AC4" s="298">
        <v>27</v>
      </c>
      <c r="AD4" s="298">
        <v>2388</v>
      </c>
      <c r="AE4" s="298">
        <v>12.4</v>
      </c>
      <c r="AF4" s="298">
        <v>241</v>
      </c>
      <c r="AG4" s="298">
        <v>56</v>
      </c>
      <c r="AH4" s="298" t="s">
        <v>1030</v>
      </c>
      <c r="AI4" s="298">
        <v>12</v>
      </c>
      <c r="AJ4" s="298">
        <v>0.1</v>
      </c>
      <c r="AK4" s="298">
        <v>48</v>
      </c>
      <c r="AL4" s="298">
        <v>12</v>
      </c>
      <c r="AM4" s="298">
        <v>7.03</v>
      </c>
      <c r="AN4" s="298">
        <v>0</v>
      </c>
      <c r="AO4" s="298">
        <v>12.9</v>
      </c>
      <c r="AP4" s="298" t="s">
        <v>662</v>
      </c>
      <c r="AQ4" s="298" t="s">
        <v>962</v>
      </c>
      <c r="AR4" s="298">
        <v>17</v>
      </c>
      <c r="AS4" s="303" t="s">
        <v>628</v>
      </c>
    </row>
    <row r="5" spans="1:45" ht="24.95" customHeight="1" thickBot="1" x14ac:dyDescent="0.3">
      <c r="B5" s="29" t="str">
        <f t="shared" si="0"/>
        <v>4º</v>
      </c>
      <c r="C5" s="69" t="str">
        <f t="shared" si="1"/>
        <v>Everton Ribeiro</v>
      </c>
      <c r="D5" s="86" t="str">
        <f t="shared" si="2"/>
        <v>BRA</v>
      </c>
      <c r="E5" s="257" t="str">
        <f t="shared" si="3"/>
        <v>Bahia</v>
      </c>
      <c r="F5" s="36">
        <f t="shared" si="4"/>
        <v>37</v>
      </c>
      <c r="G5" s="96">
        <f t="shared" si="5"/>
        <v>34.245555555555555</v>
      </c>
      <c r="H5" s="197">
        <f t="shared" si="6"/>
        <v>37.044444444444444</v>
      </c>
      <c r="I5" s="197">
        <f t="shared" si="7"/>
        <v>452.6</v>
      </c>
      <c r="J5" s="284">
        <f t="shared" si="8"/>
        <v>12.217756448710258</v>
      </c>
      <c r="K5" s="210">
        <f t="shared" si="9"/>
        <v>8.1451709658068392</v>
      </c>
      <c r="L5" s="286">
        <f t="shared" si="10"/>
        <v>352</v>
      </c>
      <c r="M5" s="287">
        <f t="shared" si="11"/>
        <v>9.5020995800839838</v>
      </c>
      <c r="N5" s="286">
        <f t="shared" si="12"/>
        <v>66</v>
      </c>
      <c r="O5" s="287">
        <f t="shared" si="13"/>
        <v>1.7816436712657469</v>
      </c>
      <c r="P5" s="285">
        <f t="shared" si="14"/>
        <v>0.1875</v>
      </c>
      <c r="Q5" s="58">
        <f t="shared" si="15"/>
        <v>46</v>
      </c>
      <c r="R5" s="76">
        <f t="shared" si="16"/>
        <v>1.241751649670066</v>
      </c>
      <c r="S5" s="288">
        <f t="shared" si="17"/>
        <v>0</v>
      </c>
      <c r="T5" s="76">
        <f t="shared" si="18"/>
        <v>14.6</v>
      </c>
      <c r="U5" s="289">
        <f t="shared" si="19"/>
        <v>0</v>
      </c>
      <c r="V5" s="290">
        <f t="shared" si="20"/>
        <v>0</v>
      </c>
      <c r="W5" s="292">
        <f t="shared" si="21"/>
        <v>116.25898020395921</v>
      </c>
      <c r="X5" s="5">
        <f t="shared" si="22"/>
        <v>6.84</v>
      </c>
      <c r="Y5" s="300" t="s">
        <v>19</v>
      </c>
      <c r="Z5" s="296" t="s">
        <v>13</v>
      </c>
      <c r="AA5" s="296" t="s">
        <v>580</v>
      </c>
      <c r="AB5" s="296" t="s">
        <v>655</v>
      </c>
      <c r="AC5" s="296">
        <v>37</v>
      </c>
      <c r="AD5" s="296">
        <v>3334</v>
      </c>
      <c r="AE5" s="296">
        <v>6</v>
      </c>
      <c r="AF5" s="296">
        <v>352</v>
      </c>
      <c r="AG5" s="296">
        <v>66</v>
      </c>
      <c r="AH5" s="296" t="s">
        <v>1023</v>
      </c>
      <c r="AI5" s="296">
        <v>12.2</v>
      </c>
      <c r="AJ5" s="296">
        <v>0</v>
      </c>
      <c r="AK5" s="296">
        <v>46</v>
      </c>
      <c r="AL5" s="296">
        <v>104</v>
      </c>
      <c r="AM5" s="296">
        <v>6.84</v>
      </c>
      <c r="AN5" s="296">
        <v>0</v>
      </c>
      <c r="AO5" s="296">
        <v>14.6</v>
      </c>
      <c r="AP5" s="296" t="s">
        <v>1024</v>
      </c>
      <c r="AQ5" s="296" t="s">
        <v>658</v>
      </c>
      <c r="AR5" s="296" t="s">
        <v>548</v>
      </c>
      <c r="AS5" s="301" t="s">
        <v>627</v>
      </c>
    </row>
    <row r="6" spans="1:45" ht="24.95" customHeight="1" thickBot="1" x14ac:dyDescent="0.3">
      <c r="B6" s="29" t="str">
        <f t="shared" si="0"/>
        <v>5º</v>
      </c>
      <c r="C6" s="69" t="str">
        <f t="shared" si="1"/>
        <v>Gabriel Menino</v>
      </c>
      <c r="D6" s="86" t="str">
        <f t="shared" si="2"/>
        <v>BRA</v>
      </c>
      <c r="E6" s="257" t="str">
        <f t="shared" si="3"/>
        <v>Santos</v>
      </c>
      <c r="F6" s="36">
        <f t="shared" si="4"/>
        <v>25</v>
      </c>
      <c r="G6" s="96">
        <f t="shared" si="5"/>
        <v>34.245555555555555</v>
      </c>
      <c r="H6" s="197">
        <f t="shared" si="6"/>
        <v>27.81111111111111</v>
      </c>
      <c r="I6" s="197">
        <f t="shared" si="7"/>
        <v>335.7</v>
      </c>
      <c r="J6" s="284">
        <f t="shared" si="8"/>
        <v>12.070715141829805</v>
      </c>
      <c r="K6" s="210">
        <f t="shared" si="9"/>
        <v>8.047143427886537</v>
      </c>
      <c r="L6" s="286">
        <f t="shared" si="10"/>
        <v>283</v>
      </c>
      <c r="M6" s="287">
        <f t="shared" si="11"/>
        <v>10.175789053136237</v>
      </c>
      <c r="N6" s="286">
        <f t="shared" si="12"/>
        <v>72</v>
      </c>
      <c r="O6" s="287">
        <f t="shared" si="13"/>
        <v>2.5888933280063924</v>
      </c>
      <c r="P6" s="285">
        <f t="shared" si="14"/>
        <v>0.25441696113074203</v>
      </c>
      <c r="Q6" s="58">
        <f t="shared" si="15"/>
        <v>37</v>
      </c>
      <c r="R6" s="76">
        <f t="shared" si="16"/>
        <v>1.3304035157810628</v>
      </c>
      <c r="S6" s="288">
        <f t="shared" si="17"/>
        <v>0.1</v>
      </c>
      <c r="T6" s="76">
        <f t="shared" si="18"/>
        <v>13.7</v>
      </c>
      <c r="U6" s="289">
        <f t="shared" si="19"/>
        <v>0</v>
      </c>
      <c r="V6" s="290">
        <f t="shared" si="20"/>
        <v>0</v>
      </c>
      <c r="W6" s="292">
        <f t="shared" si="21"/>
        <v>109.63296444266879</v>
      </c>
      <c r="X6" s="5">
        <f t="shared" si="22"/>
        <v>6.84</v>
      </c>
      <c r="Y6" s="300"/>
      <c r="Z6" s="296" t="s">
        <v>13</v>
      </c>
      <c r="AA6" s="296" t="s">
        <v>902</v>
      </c>
      <c r="AB6" s="296" t="s">
        <v>1028</v>
      </c>
      <c r="AC6" s="296">
        <v>25</v>
      </c>
      <c r="AD6" s="296">
        <v>2503</v>
      </c>
      <c r="AE6" s="296">
        <v>9.4</v>
      </c>
      <c r="AF6" s="296">
        <v>283</v>
      </c>
      <c r="AG6" s="296">
        <v>72</v>
      </c>
      <c r="AH6" s="296" t="s">
        <v>1029</v>
      </c>
      <c r="AI6" s="296">
        <v>12.1</v>
      </c>
      <c r="AJ6" s="296">
        <v>0.1</v>
      </c>
      <c r="AK6" s="296">
        <v>37</v>
      </c>
      <c r="AL6" s="296">
        <v>15</v>
      </c>
      <c r="AM6" s="296">
        <v>6.84</v>
      </c>
      <c r="AN6" s="296">
        <v>0</v>
      </c>
      <c r="AO6" s="296">
        <v>13.7</v>
      </c>
      <c r="AP6" s="296" t="s">
        <v>953</v>
      </c>
      <c r="AQ6" s="296" t="s">
        <v>1014</v>
      </c>
      <c r="AR6" s="296" t="s">
        <v>548</v>
      </c>
      <c r="AS6" s="301" t="s">
        <v>627</v>
      </c>
    </row>
    <row r="7" spans="1:45" ht="24.95" customHeight="1" thickBot="1" x14ac:dyDescent="0.3">
      <c r="B7" s="29" t="str">
        <f t="shared" si="0"/>
        <v>6º</v>
      </c>
      <c r="C7" s="69" t="str">
        <f t="shared" si="1"/>
        <v>Jean Lucas</v>
      </c>
      <c r="D7" s="86" t="str">
        <f t="shared" si="2"/>
        <v>BRA</v>
      </c>
      <c r="E7" s="257" t="str">
        <f t="shared" si="3"/>
        <v>Bahia</v>
      </c>
      <c r="F7" s="36">
        <f t="shared" si="4"/>
        <v>28</v>
      </c>
      <c r="G7" s="96">
        <f t="shared" si="5"/>
        <v>34.245555555555555</v>
      </c>
      <c r="H7" s="197">
        <f t="shared" si="6"/>
        <v>38.611111111111114</v>
      </c>
      <c r="I7" s="197">
        <f t="shared" si="7"/>
        <v>469.6</v>
      </c>
      <c r="J7" s="284">
        <f t="shared" si="8"/>
        <v>12.162302158273381</v>
      </c>
      <c r="K7" s="210">
        <f t="shared" si="9"/>
        <v>8.108201438848921</v>
      </c>
      <c r="L7" s="286">
        <f t="shared" si="10"/>
        <v>288</v>
      </c>
      <c r="M7" s="287">
        <f t="shared" si="11"/>
        <v>7.4589928057553951</v>
      </c>
      <c r="N7" s="286">
        <f t="shared" si="12"/>
        <v>62</v>
      </c>
      <c r="O7" s="287">
        <f t="shared" si="13"/>
        <v>1.6057553956834532</v>
      </c>
      <c r="P7" s="285">
        <f t="shared" si="14"/>
        <v>0.21527777777777779</v>
      </c>
      <c r="Q7" s="58">
        <f t="shared" si="15"/>
        <v>48</v>
      </c>
      <c r="R7" s="76">
        <f t="shared" si="16"/>
        <v>1.2431654676258992</v>
      </c>
      <c r="S7" s="288">
        <f t="shared" si="17"/>
        <v>0.1</v>
      </c>
      <c r="T7" s="76">
        <f t="shared" si="18"/>
        <v>11.9</v>
      </c>
      <c r="U7" s="289">
        <f t="shared" si="19"/>
        <v>1</v>
      </c>
      <c r="V7" s="290">
        <f t="shared" si="20"/>
        <v>2.5899280575539568E-2</v>
      </c>
      <c r="W7" s="292">
        <f t="shared" si="21"/>
        <v>110.72690647482015</v>
      </c>
      <c r="X7" s="5">
        <f t="shared" si="22"/>
        <v>7</v>
      </c>
      <c r="Y7" s="300" t="s">
        <v>928</v>
      </c>
      <c r="Z7" s="296" t="s">
        <v>13</v>
      </c>
      <c r="AA7" s="296" t="s">
        <v>580</v>
      </c>
      <c r="AB7" s="296" t="s">
        <v>1025</v>
      </c>
      <c r="AC7" s="296">
        <v>28</v>
      </c>
      <c r="AD7" s="296">
        <v>3475</v>
      </c>
      <c r="AE7" s="296">
        <v>8.6999999999999993</v>
      </c>
      <c r="AF7" s="296">
        <v>288</v>
      </c>
      <c r="AG7" s="296">
        <v>62</v>
      </c>
      <c r="AH7" s="296" t="s">
        <v>1026</v>
      </c>
      <c r="AI7" s="296">
        <v>12.2</v>
      </c>
      <c r="AJ7" s="296">
        <v>0.1</v>
      </c>
      <c r="AK7" s="296">
        <v>48</v>
      </c>
      <c r="AL7" s="296">
        <v>12</v>
      </c>
      <c r="AM7" s="296">
        <v>7</v>
      </c>
      <c r="AN7" s="296">
        <v>1</v>
      </c>
      <c r="AO7" s="296">
        <v>11.9</v>
      </c>
      <c r="AP7" s="296" t="s">
        <v>942</v>
      </c>
      <c r="AQ7" s="296" t="s">
        <v>927</v>
      </c>
      <c r="AR7" s="296" t="s">
        <v>548</v>
      </c>
      <c r="AS7" s="301" t="s">
        <v>627</v>
      </c>
    </row>
    <row r="8" spans="1:45" ht="24.95" customHeight="1" thickBot="1" x14ac:dyDescent="0.3">
      <c r="B8" s="29" t="str">
        <f t="shared" si="0"/>
        <v>7º</v>
      </c>
      <c r="C8" s="69" t="str">
        <f t="shared" si="1"/>
        <v>Juan Camilo Portilla</v>
      </c>
      <c r="D8" s="86" t="str">
        <f t="shared" si="2"/>
        <v>COL</v>
      </c>
      <c r="E8" s="257" t="str">
        <f t="shared" si="3"/>
        <v>Athletico Paranaense</v>
      </c>
      <c r="F8" s="36">
        <f t="shared" si="4"/>
        <v>27</v>
      </c>
      <c r="G8" s="96">
        <f t="shared" si="5"/>
        <v>34.245555555555555</v>
      </c>
      <c r="H8" s="197">
        <f t="shared" si="6"/>
        <v>35.866666666666667</v>
      </c>
      <c r="I8" s="197">
        <f t="shared" si="7"/>
        <v>429.8</v>
      </c>
      <c r="J8" s="284">
        <f t="shared" si="8"/>
        <v>11.983271375464684</v>
      </c>
      <c r="K8" s="210">
        <f t="shared" si="9"/>
        <v>7.988847583643123</v>
      </c>
      <c r="L8" s="286">
        <f t="shared" si="10"/>
        <v>285</v>
      </c>
      <c r="M8" s="287">
        <f t="shared" si="11"/>
        <v>7.9460966542750926</v>
      </c>
      <c r="N8" s="286">
        <f t="shared" si="12"/>
        <v>71</v>
      </c>
      <c r="O8" s="287">
        <f t="shared" si="13"/>
        <v>1.9795539033457248</v>
      </c>
      <c r="P8" s="285">
        <f t="shared" si="14"/>
        <v>0.24912280701754386</v>
      </c>
      <c r="Q8" s="58">
        <f t="shared" si="15"/>
        <v>45</v>
      </c>
      <c r="R8" s="76">
        <f t="shared" si="16"/>
        <v>1.2546468401486988</v>
      </c>
      <c r="S8" s="288">
        <f t="shared" si="17"/>
        <v>0</v>
      </c>
      <c r="T8" s="76">
        <f t="shared" si="18"/>
        <v>14.5</v>
      </c>
      <c r="U8" s="289">
        <f t="shared" si="19"/>
        <v>1</v>
      </c>
      <c r="V8" s="290">
        <f t="shared" si="20"/>
        <v>2.7881040892193308E-2</v>
      </c>
      <c r="W8" s="292">
        <f t="shared" si="21"/>
        <v>98.212527881040899</v>
      </c>
      <c r="X8" s="5">
        <f t="shared" si="22"/>
        <v>6.88</v>
      </c>
      <c r="Y8" s="300"/>
      <c r="Z8" s="296" t="s">
        <v>553</v>
      </c>
      <c r="AA8" s="296" t="s">
        <v>615</v>
      </c>
      <c r="AB8" s="296" t="s">
        <v>985</v>
      </c>
      <c r="AC8" s="296">
        <v>27</v>
      </c>
      <c r="AD8" s="296">
        <v>3228</v>
      </c>
      <c r="AE8" s="296">
        <v>9.6999999999999993</v>
      </c>
      <c r="AF8" s="296">
        <v>285</v>
      </c>
      <c r="AG8" s="296">
        <v>71</v>
      </c>
      <c r="AH8" s="296" t="s">
        <v>1031</v>
      </c>
      <c r="AI8" s="296">
        <v>12</v>
      </c>
      <c r="AJ8" s="296">
        <v>0</v>
      </c>
      <c r="AK8" s="296">
        <v>45</v>
      </c>
      <c r="AL8" s="296">
        <v>5</v>
      </c>
      <c r="AM8" s="296">
        <v>6.88</v>
      </c>
      <c r="AN8" s="296">
        <v>1</v>
      </c>
      <c r="AO8" s="296">
        <v>14.5</v>
      </c>
      <c r="AP8" s="296" t="s">
        <v>952</v>
      </c>
      <c r="AQ8" s="296" t="s">
        <v>675</v>
      </c>
      <c r="AR8" s="296" t="s">
        <v>548</v>
      </c>
      <c r="AS8" s="301" t="s">
        <v>627</v>
      </c>
    </row>
    <row r="9" spans="1:45" ht="24.95" customHeight="1" thickBot="1" x14ac:dyDescent="0.3">
      <c r="B9" s="29" t="str">
        <f t="shared" si="0"/>
        <v>8º</v>
      </c>
      <c r="C9" s="69" t="str">
        <f t="shared" si="1"/>
        <v>Neto Moura</v>
      </c>
      <c r="D9" s="86" t="str">
        <f t="shared" si="2"/>
        <v>BRA</v>
      </c>
      <c r="E9" s="257" t="str">
        <f t="shared" si="3"/>
        <v>Mirassol</v>
      </c>
      <c r="F9" s="36">
        <f t="shared" si="4"/>
        <v>30</v>
      </c>
      <c r="G9" s="96">
        <f t="shared" si="5"/>
        <v>34.245555555555555</v>
      </c>
      <c r="H9" s="197">
        <f t="shared" si="6"/>
        <v>32.966666666666669</v>
      </c>
      <c r="I9" s="197">
        <f t="shared" si="7"/>
        <v>395.2</v>
      </c>
      <c r="J9" s="284">
        <f t="shared" si="8"/>
        <v>11.987866531850353</v>
      </c>
      <c r="K9" s="210">
        <f t="shared" si="9"/>
        <v>7.9919110212335687</v>
      </c>
      <c r="L9" s="286">
        <f t="shared" si="10"/>
        <v>278</v>
      </c>
      <c r="M9" s="287">
        <f t="shared" si="11"/>
        <v>8.4327603640040447</v>
      </c>
      <c r="N9" s="286">
        <f t="shared" si="12"/>
        <v>72</v>
      </c>
      <c r="O9" s="287">
        <f t="shared" si="13"/>
        <v>2.1840242669362993</v>
      </c>
      <c r="P9" s="285">
        <f t="shared" si="14"/>
        <v>0.25899280575539568</v>
      </c>
      <c r="Q9" s="58">
        <f t="shared" si="15"/>
        <v>44</v>
      </c>
      <c r="R9" s="76">
        <f t="shared" si="16"/>
        <v>1.3346814964610718</v>
      </c>
      <c r="S9" s="288">
        <f t="shared" si="17"/>
        <v>0.1</v>
      </c>
      <c r="T9" s="76">
        <f t="shared" si="18"/>
        <v>11.4</v>
      </c>
      <c r="U9" s="289">
        <f t="shared" si="19"/>
        <v>0</v>
      </c>
      <c r="V9" s="290">
        <f t="shared" si="20"/>
        <v>0</v>
      </c>
      <c r="W9" s="292">
        <f t="shared" si="21"/>
        <v>115.05670374115267</v>
      </c>
      <c r="X9" s="5">
        <f t="shared" si="22"/>
        <v>6.84</v>
      </c>
      <c r="Y9" s="300"/>
      <c r="Z9" s="296" t="s">
        <v>13</v>
      </c>
      <c r="AA9" s="296" t="s">
        <v>661</v>
      </c>
      <c r="AB9" s="296" t="s">
        <v>676</v>
      </c>
      <c r="AC9" s="296">
        <v>30</v>
      </c>
      <c r="AD9" s="296">
        <v>2967</v>
      </c>
      <c r="AE9" s="296">
        <v>8.6999999999999993</v>
      </c>
      <c r="AF9" s="296">
        <v>278</v>
      </c>
      <c r="AG9" s="296">
        <v>72</v>
      </c>
      <c r="AH9" s="296" t="s">
        <v>964</v>
      </c>
      <c r="AI9" s="296">
        <v>12</v>
      </c>
      <c r="AJ9" s="296">
        <v>0.1</v>
      </c>
      <c r="AK9" s="296">
        <v>44</v>
      </c>
      <c r="AL9" s="296">
        <v>5</v>
      </c>
      <c r="AM9" s="296">
        <v>6.84</v>
      </c>
      <c r="AN9" s="296">
        <v>0</v>
      </c>
      <c r="AO9" s="296">
        <v>11.4</v>
      </c>
      <c r="AP9" s="296" t="s">
        <v>956</v>
      </c>
      <c r="AQ9" s="296" t="s">
        <v>678</v>
      </c>
      <c r="AR9" s="296" t="s">
        <v>548</v>
      </c>
      <c r="AS9" s="301" t="s">
        <v>627</v>
      </c>
    </row>
    <row r="10" spans="1:45" ht="24.95" customHeight="1" thickBot="1" x14ac:dyDescent="0.3">
      <c r="B10" s="29" t="str">
        <f t="shared" si="0"/>
        <v>9º</v>
      </c>
      <c r="C10" s="69" t="str">
        <f t="shared" si="1"/>
        <v>Rodrigo Garro</v>
      </c>
      <c r="D10" s="86" t="str">
        <f t="shared" si="2"/>
        <v>ARG</v>
      </c>
      <c r="E10" s="257" t="str">
        <f t="shared" si="3"/>
        <v>Corinthians</v>
      </c>
      <c r="F10" s="36">
        <f t="shared" si="4"/>
        <v>28</v>
      </c>
      <c r="G10" s="96">
        <f t="shared" si="5"/>
        <v>34.245555555555555</v>
      </c>
      <c r="H10" s="197">
        <f t="shared" si="6"/>
        <v>39.711111111111109</v>
      </c>
      <c r="I10" s="197">
        <f t="shared" si="7"/>
        <v>501.3</v>
      </c>
      <c r="J10" s="284">
        <f t="shared" si="8"/>
        <v>12.623670956911026</v>
      </c>
      <c r="K10" s="210">
        <f t="shared" si="9"/>
        <v>8.4157806379406832</v>
      </c>
      <c r="L10" s="286">
        <f t="shared" si="10"/>
        <v>318</v>
      </c>
      <c r="M10" s="287">
        <f t="shared" si="11"/>
        <v>8.0078343592613326</v>
      </c>
      <c r="N10" s="286">
        <f t="shared" si="12"/>
        <v>69</v>
      </c>
      <c r="O10" s="287">
        <f t="shared" si="13"/>
        <v>1.7375489647453835</v>
      </c>
      <c r="P10" s="285">
        <f t="shared" si="14"/>
        <v>0.21698113207547171</v>
      </c>
      <c r="Q10" s="58">
        <f t="shared" si="15"/>
        <v>59</v>
      </c>
      <c r="R10" s="76">
        <f t="shared" si="16"/>
        <v>1.4857302742025742</v>
      </c>
      <c r="S10" s="288">
        <f t="shared" si="17"/>
        <v>0</v>
      </c>
      <c r="T10" s="76">
        <f t="shared" si="18"/>
        <v>15.3</v>
      </c>
      <c r="U10" s="289">
        <f t="shared" si="19"/>
        <v>0</v>
      </c>
      <c r="V10" s="290">
        <f t="shared" si="20"/>
        <v>0</v>
      </c>
      <c r="W10" s="292">
        <f t="shared" si="21"/>
        <v>121.10702853945159</v>
      </c>
      <c r="X10" s="5">
        <f t="shared" si="22"/>
        <v>7.01</v>
      </c>
      <c r="Y10" s="300"/>
      <c r="Z10" s="296" t="s">
        <v>478</v>
      </c>
      <c r="AA10" s="296" t="s">
        <v>1017</v>
      </c>
      <c r="AB10" s="296" t="s">
        <v>835</v>
      </c>
      <c r="AC10" s="296">
        <v>28</v>
      </c>
      <c r="AD10" s="296">
        <v>3574</v>
      </c>
      <c r="AE10" s="296">
        <v>5.8</v>
      </c>
      <c r="AF10" s="296">
        <v>318</v>
      </c>
      <c r="AG10" s="296">
        <v>69</v>
      </c>
      <c r="AH10" s="296" t="s">
        <v>1018</v>
      </c>
      <c r="AI10" s="296">
        <v>12.6</v>
      </c>
      <c r="AJ10" s="296">
        <v>0</v>
      </c>
      <c r="AK10" s="296">
        <v>59</v>
      </c>
      <c r="AL10" s="296">
        <v>55</v>
      </c>
      <c r="AM10" s="296">
        <v>7.01</v>
      </c>
      <c r="AN10" s="296">
        <v>0</v>
      </c>
      <c r="AO10" s="296">
        <v>15.3</v>
      </c>
      <c r="AP10" s="296" t="s">
        <v>1019</v>
      </c>
      <c r="AQ10" s="296" t="s">
        <v>1020</v>
      </c>
      <c r="AR10" s="296">
        <v>20</v>
      </c>
      <c r="AS10" s="301" t="s">
        <v>627</v>
      </c>
    </row>
    <row r="11" spans="1:45" ht="24.95" customHeight="1" thickBot="1" x14ac:dyDescent="0.3">
      <c r="B11" s="29" t="str">
        <f t="shared" si="0"/>
        <v>10º</v>
      </c>
      <c r="C11" s="69" t="str">
        <f t="shared" si="1"/>
        <v>Sebastián Gómez</v>
      </c>
      <c r="D11" s="86" t="str">
        <f t="shared" si="2"/>
        <v>COL</v>
      </c>
      <c r="E11" s="257" t="str">
        <f t="shared" si="3"/>
        <v>Coritiba</v>
      </c>
      <c r="F11" s="36">
        <f t="shared" si="4"/>
        <v>30</v>
      </c>
      <c r="G11" s="96">
        <f t="shared" si="5"/>
        <v>34.245555555555555</v>
      </c>
      <c r="H11" s="197">
        <f t="shared" si="6"/>
        <v>34.722222222222221</v>
      </c>
      <c r="I11" s="197">
        <f t="shared" si="7"/>
        <v>422.2</v>
      </c>
      <c r="J11" s="284">
        <f t="shared" si="8"/>
        <v>12.15936</v>
      </c>
      <c r="K11" s="210">
        <f t="shared" si="9"/>
        <v>8.1062399999999997</v>
      </c>
      <c r="L11" s="286">
        <f t="shared" si="10"/>
        <v>249</v>
      </c>
      <c r="M11" s="287">
        <f t="shared" si="11"/>
        <v>7.1711999999999998</v>
      </c>
      <c r="N11" s="286">
        <f t="shared" si="12"/>
        <v>65</v>
      </c>
      <c r="O11" s="287">
        <f t="shared" si="13"/>
        <v>1.8720000000000001</v>
      </c>
      <c r="P11" s="285">
        <f t="shared" si="14"/>
        <v>0.26104417670682734</v>
      </c>
      <c r="Q11" s="58">
        <f t="shared" si="15"/>
        <v>61</v>
      </c>
      <c r="R11" s="76">
        <f t="shared" si="16"/>
        <v>1.7568000000000001</v>
      </c>
      <c r="S11" s="288">
        <f t="shared" si="17"/>
        <v>0.2</v>
      </c>
      <c r="T11" s="76">
        <f t="shared" si="18"/>
        <v>15.5</v>
      </c>
      <c r="U11" s="289">
        <f t="shared" si="19"/>
        <v>1</v>
      </c>
      <c r="V11" s="290">
        <f t="shared" si="20"/>
        <v>2.8799999999999999E-2</v>
      </c>
      <c r="W11" s="292">
        <f t="shared" si="21"/>
        <v>117.82080000000001</v>
      </c>
      <c r="X11" s="5">
        <f t="shared" si="22"/>
        <v>6.87</v>
      </c>
      <c r="Y11" s="302" t="s">
        <v>640</v>
      </c>
      <c r="Z11" s="298" t="s">
        <v>553</v>
      </c>
      <c r="AA11" s="298" t="s">
        <v>659</v>
      </c>
      <c r="AB11" s="298" t="s">
        <v>668</v>
      </c>
      <c r="AC11" s="298">
        <v>30</v>
      </c>
      <c r="AD11" s="298">
        <v>3125</v>
      </c>
      <c r="AE11" s="298">
        <v>8.4</v>
      </c>
      <c r="AF11" s="298">
        <v>249</v>
      </c>
      <c r="AG11" s="298">
        <v>65</v>
      </c>
      <c r="AH11" s="298" t="s">
        <v>1027</v>
      </c>
      <c r="AI11" s="298">
        <v>12.2</v>
      </c>
      <c r="AJ11" s="298">
        <v>0.2</v>
      </c>
      <c r="AK11" s="298">
        <v>61</v>
      </c>
      <c r="AL11" s="298">
        <v>4</v>
      </c>
      <c r="AM11" s="298">
        <v>6.87</v>
      </c>
      <c r="AN11" s="298">
        <v>1</v>
      </c>
      <c r="AO11" s="298">
        <v>15.5</v>
      </c>
      <c r="AP11" s="298" t="s">
        <v>937</v>
      </c>
      <c r="AQ11" s="298" t="s">
        <v>669</v>
      </c>
      <c r="AR11" s="298" t="s">
        <v>548</v>
      </c>
      <c r="AS11" s="303" t="s">
        <v>627</v>
      </c>
    </row>
    <row r="12" spans="1:45" ht="24.95" customHeight="1" x14ac:dyDescent="0.25"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ht="24.95" customHeight="1" x14ac:dyDescent="0.25"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ht="24.95" customHeight="1" x14ac:dyDescent="0.25"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ht="24.95" customHeight="1" x14ac:dyDescent="0.25"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ht="24.95" customHeight="1" x14ac:dyDescent="0.25"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customFormat="1" ht="24.95" customHeight="1" x14ac:dyDescent="0.25"/>
    <row r="18" customFormat="1" ht="24.95" customHeight="1" x14ac:dyDescent="0.25"/>
    <row r="19" customFormat="1" ht="24.95" customHeight="1" x14ac:dyDescent="0.25"/>
    <row r="20" customFormat="1" ht="24.95" customHeight="1" x14ac:dyDescent="0.25"/>
    <row r="21" customFormat="1" ht="24.95" customHeight="1" x14ac:dyDescent="0.25"/>
    <row r="22" customFormat="1" ht="24.95" customHeight="1" x14ac:dyDescent="0.25"/>
    <row r="23" customFormat="1" ht="24.95" customHeight="1" x14ac:dyDescent="0.25"/>
    <row r="24" customFormat="1" ht="24.95" customHeight="1" x14ac:dyDescent="0.25"/>
    <row r="25" customFormat="1" ht="24.95" customHeight="1" x14ac:dyDescent="0.25"/>
    <row r="26" customFormat="1" ht="24.95" customHeight="1" x14ac:dyDescent="0.25"/>
    <row r="27" customFormat="1" ht="24.95" customHeight="1" x14ac:dyDescent="0.25"/>
    <row r="28" customFormat="1" ht="24.95" customHeight="1" x14ac:dyDescent="0.25"/>
    <row r="29" customFormat="1" ht="24.95" customHeight="1" x14ac:dyDescent="0.25"/>
    <row r="30" customFormat="1" ht="24.95" customHeight="1" x14ac:dyDescent="0.25"/>
    <row r="31" customFormat="1" ht="24.95" customHeight="1" x14ac:dyDescent="0.25"/>
    <row r="32" customFormat="1" ht="24.95" customHeight="1" x14ac:dyDescent="0.25"/>
    <row r="33" customFormat="1" ht="24.95" customHeight="1" x14ac:dyDescent="0.25"/>
    <row r="34" customFormat="1" ht="24.95" customHeight="1" x14ac:dyDescent="0.25"/>
    <row r="35" customFormat="1" ht="24.95" customHeight="1" x14ac:dyDescent="0.25"/>
    <row r="36" customFormat="1" ht="24.95" customHeight="1" x14ac:dyDescent="0.25"/>
    <row r="37" customFormat="1" ht="24.95" customHeight="1" x14ac:dyDescent="0.25"/>
    <row r="38" customFormat="1" ht="24.95" customHeight="1" x14ac:dyDescent="0.25"/>
    <row r="39" customFormat="1" ht="24.95" customHeight="1" x14ac:dyDescent="0.25"/>
    <row r="40" customFormat="1" ht="24.95" customHeight="1" x14ac:dyDescent="0.25"/>
    <row r="41" customFormat="1" ht="24.95" customHeight="1" x14ac:dyDescent="0.25"/>
    <row r="42" customFormat="1" ht="24.95" customHeight="1" x14ac:dyDescent="0.25"/>
    <row r="43" customFormat="1" ht="24.95" customHeight="1" x14ac:dyDescent="0.25"/>
    <row r="44" customFormat="1" ht="24.95" customHeight="1" x14ac:dyDescent="0.25"/>
    <row r="45" customFormat="1" ht="24.95" customHeight="1" x14ac:dyDescent="0.25"/>
    <row r="46" customFormat="1" ht="24.95" customHeight="1" x14ac:dyDescent="0.25"/>
    <row r="47" customFormat="1" ht="24.95" customHeight="1" x14ac:dyDescent="0.25"/>
    <row r="48" customFormat="1" ht="24.95" customHeight="1" x14ac:dyDescent="0.25"/>
    <row r="49" customFormat="1" ht="24.95" customHeight="1" x14ac:dyDescent="0.25"/>
    <row r="50" customFormat="1" ht="24.95" customHeight="1" x14ac:dyDescent="0.25"/>
    <row r="51" customFormat="1" ht="24.95" customHeight="1" x14ac:dyDescent="0.25"/>
    <row r="52" customFormat="1" ht="24.95" customHeight="1" x14ac:dyDescent="0.25"/>
    <row r="53" customFormat="1" ht="24.95" customHeight="1" x14ac:dyDescent="0.25"/>
    <row r="54" customFormat="1" ht="24.95" customHeight="1" x14ac:dyDescent="0.25"/>
    <row r="55" customFormat="1" ht="24.95" customHeight="1" x14ac:dyDescent="0.25"/>
    <row r="56" customFormat="1" ht="24.95" customHeight="1" x14ac:dyDescent="0.25"/>
    <row r="57" customFormat="1" ht="24.95" customHeight="1" x14ac:dyDescent="0.25"/>
    <row r="58" customFormat="1" ht="24.95" customHeight="1" x14ac:dyDescent="0.25"/>
    <row r="59" customFormat="1" ht="24.95" customHeight="1" x14ac:dyDescent="0.25"/>
    <row r="60" customFormat="1" ht="24.95" customHeight="1" x14ac:dyDescent="0.25"/>
    <row r="61" customFormat="1" ht="24.95" customHeight="1" x14ac:dyDescent="0.25"/>
    <row r="62" customFormat="1" ht="24.95" customHeight="1" x14ac:dyDescent="0.25"/>
    <row r="63" customFormat="1" ht="24.95" customHeight="1" x14ac:dyDescent="0.25"/>
    <row r="64" customFormat="1" ht="24.95" customHeight="1" x14ac:dyDescent="0.25"/>
    <row r="65" customFormat="1" ht="24.95" customHeight="1" x14ac:dyDescent="0.25"/>
    <row r="66" customFormat="1" ht="24.95" customHeight="1" x14ac:dyDescent="0.25"/>
    <row r="67" customFormat="1" ht="24.95" customHeight="1" x14ac:dyDescent="0.25"/>
    <row r="68" customFormat="1" ht="24.95" customHeight="1" x14ac:dyDescent="0.25"/>
    <row r="69" customFormat="1" ht="24.95" customHeight="1" x14ac:dyDescent="0.25"/>
    <row r="70" customFormat="1" ht="24.95" customHeight="1" x14ac:dyDescent="0.25"/>
    <row r="71" customFormat="1" ht="24.95" customHeight="1" x14ac:dyDescent="0.25"/>
    <row r="72" customFormat="1" ht="24.95" customHeight="1" x14ac:dyDescent="0.25"/>
    <row r="73" customFormat="1" ht="24.95" customHeight="1" x14ac:dyDescent="0.25"/>
    <row r="74" customFormat="1" ht="24.95" customHeight="1" x14ac:dyDescent="0.25"/>
    <row r="75" customFormat="1" ht="24.95" customHeight="1" x14ac:dyDescent="0.25"/>
    <row r="76" customFormat="1" ht="24.95" customHeight="1" x14ac:dyDescent="0.25"/>
    <row r="77" customFormat="1" ht="24.95" customHeight="1" x14ac:dyDescent="0.25"/>
    <row r="78" customFormat="1" ht="24.95" customHeight="1" x14ac:dyDescent="0.25"/>
    <row r="79" customFormat="1" ht="24.95" customHeight="1" x14ac:dyDescent="0.25"/>
    <row r="80" customFormat="1" ht="24.95" customHeight="1" x14ac:dyDescent="0.25"/>
    <row r="81" customFormat="1" ht="24.95" customHeight="1" x14ac:dyDescent="0.25"/>
    <row r="82" customFormat="1" ht="24.95" customHeight="1" x14ac:dyDescent="0.25"/>
    <row r="83" customFormat="1" ht="24.95" customHeight="1" x14ac:dyDescent="0.25"/>
    <row r="84" customFormat="1" ht="24.95" customHeight="1" x14ac:dyDescent="0.25"/>
    <row r="85" customFormat="1" ht="24.95" customHeight="1" x14ac:dyDescent="0.25"/>
    <row r="86" customFormat="1" ht="24.95" customHeight="1" x14ac:dyDescent="0.25"/>
    <row r="87" customFormat="1" ht="24.95" customHeight="1" x14ac:dyDescent="0.25"/>
    <row r="88" customFormat="1" ht="24.95" customHeight="1" x14ac:dyDescent="0.25"/>
    <row r="89" customFormat="1" ht="24.95" customHeight="1" x14ac:dyDescent="0.25"/>
    <row r="90" customFormat="1" ht="24.95" customHeight="1" x14ac:dyDescent="0.25"/>
    <row r="91" customFormat="1" ht="24.95" customHeight="1" x14ac:dyDescent="0.25"/>
    <row r="92" customFormat="1" ht="24.95" customHeight="1" x14ac:dyDescent="0.25"/>
    <row r="93" customFormat="1" ht="24.95" customHeight="1" x14ac:dyDescent="0.25"/>
    <row r="94" customFormat="1" ht="24.95" customHeight="1" x14ac:dyDescent="0.25"/>
    <row r="95" customFormat="1" ht="24.95" customHeight="1" x14ac:dyDescent="0.25"/>
    <row r="96" customFormat="1" ht="24.95" customHeight="1" x14ac:dyDescent="0.25"/>
    <row r="97" customFormat="1" ht="24.95" customHeight="1" x14ac:dyDescent="0.25"/>
    <row r="98" customFormat="1" ht="24.95" customHeight="1" x14ac:dyDescent="0.25"/>
    <row r="99" customFormat="1" ht="24.95" customHeight="1" x14ac:dyDescent="0.25"/>
    <row r="100" customFormat="1" ht="24.95" customHeight="1" x14ac:dyDescent="0.25"/>
    <row r="101" customFormat="1" ht="24.95" customHeight="1" x14ac:dyDescent="0.25"/>
    <row r="102" customFormat="1" ht="24.95" customHeight="1" x14ac:dyDescent="0.25"/>
    <row r="103" customFormat="1" ht="24.95" customHeight="1" x14ac:dyDescent="0.25"/>
    <row r="104" customFormat="1" ht="24.95" customHeight="1" x14ac:dyDescent="0.25"/>
    <row r="105" customFormat="1" ht="24.95" customHeight="1" x14ac:dyDescent="0.25"/>
    <row r="106" customFormat="1" ht="24.95" customHeight="1" x14ac:dyDescent="0.25"/>
    <row r="107" customFormat="1" ht="24.95" customHeight="1" x14ac:dyDescent="0.25"/>
    <row r="108" customFormat="1" ht="24.95" customHeight="1" x14ac:dyDescent="0.25"/>
    <row r="109" customFormat="1" ht="24.95" customHeight="1" x14ac:dyDescent="0.25"/>
    <row r="110" customFormat="1" ht="24.95" customHeight="1" x14ac:dyDescent="0.25"/>
    <row r="111" customFormat="1" ht="24.95" customHeight="1" x14ac:dyDescent="0.25"/>
    <row r="112" customFormat="1" ht="24.95" customHeight="1" x14ac:dyDescent="0.25"/>
    <row r="113" customFormat="1" ht="24.95" customHeight="1" x14ac:dyDescent="0.25"/>
    <row r="114" customFormat="1" ht="24.95" customHeight="1" x14ac:dyDescent="0.25"/>
    <row r="115" customFormat="1" ht="24.95" customHeight="1" x14ac:dyDescent="0.25"/>
    <row r="116" customFormat="1" ht="24.95" customHeight="1" x14ac:dyDescent="0.25"/>
    <row r="117" customFormat="1" ht="24.95" customHeight="1" x14ac:dyDescent="0.25"/>
    <row r="118" customFormat="1" ht="24.95" customHeight="1" x14ac:dyDescent="0.25"/>
    <row r="119" customFormat="1" ht="24.95" customHeight="1" x14ac:dyDescent="0.25"/>
    <row r="120" customFormat="1" ht="24.95" customHeight="1" x14ac:dyDescent="0.25"/>
    <row r="121" customFormat="1" ht="24.95" customHeight="1" x14ac:dyDescent="0.25"/>
    <row r="122" customFormat="1" ht="24.95" customHeight="1" x14ac:dyDescent="0.25"/>
    <row r="123" customFormat="1" ht="24.95" customHeight="1" x14ac:dyDescent="0.25"/>
    <row r="124" customFormat="1" ht="24.95" customHeight="1" x14ac:dyDescent="0.25"/>
    <row r="125" customFormat="1" ht="24.95" customHeight="1" x14ac:dyDescent="0.25"/>
    <row r="126" customFormat="1" ht="24.95" customHeight="1" x14ac:dyDescent="0.25"/>
    <row r="127" customFormat="1" ht="24.95" customHeight="1" x14ac:dyDescent="0.25"/>
    <row r="128" customFormat="1" ht="24.95" customHeight="1" x14ac:dyDescent="0.25"/>
    <row r="129" customFormat="1" ht="24.95" customHeight="1" x14ac:dyDescent="0.25"/>
    <row r="130" customFormat="1" ht="24.95" customHeight="1" x14ac:dyDescent="0.25"/>
    <row r="131" customFormat="1" ht="24.95" customHeight="1" x14ac:dyDescent="0.25"/>
    <row r="132" customFormat="1" ht="24.95" customHeight="1" x14ac:dyDescent="0.25"/>
    <row r="133" customFormat="1" ht="24.95" customHeight="1" x14ac:dyDescent="0.25"/>
    <row r="134" customFormat="1" ht="24.95" customHeight="1" x14ac:dyDescent="0.25"/>
    <row r="135" customFormat="1" ht="24.95" customHeight="1" x14ac:dyDescent="0.25"/>
    <row r="136" customFormat="1" ht="24.95" customHeight="1" x14ac:dyDescent="0.25"/>
    <row r="137" customFormat="1" ht="24.95" customHeight="1" x14ac:dyDescent="0.25"/>
    <row r="138" customFormat="1" ht="24.95" customHeight="1" x14ac:dyDescent="0.25"/>
    <row r="139" customFormat="1" ht="24.95" customHeight="1" x14ac:dyDescent="0.25"/>
    <row r="140" customFormat="1" ht="24.95" customHeight="1" x14ac:dyDescent="0.25"/>
    <row r="141" customFormat="1" ht="24.95" customHeight="1" x14ac:dyDescent="0.25"/>
    <row r="142" customFormat="1" ht="24.95" customHeight="1" x14ac:dyDescent="0.25"/>
    <row r="143" customFormat="1" ht="24.95" customHeight="1" x14ac:dyDescent="0.25"/>
    <row r="144" customFormat="1" ht="24.95" customHeight="1" x14ac:dyDescent="0.25"/>
    <row r="145" customFormat="1" ht="24.95" customHeight="1" x14ac:dyDescent="0.25"/>
    <row r="146" customFormat="1" ht="24.95" customHeight="1" x14ac:dyDescent="0.25"/>
    <row r="147" customFormat="1" ht="24.95" customHeight="1" x14ac:dyDescent="0.25"/>
    <row r="148" customFormat="1" ht="24.95" customHeight="1" x14ac:dyDescent="0.25"/>
    <row r="149" customFormat="1" ht="24.95" customHeight="1" x14ac:dyDescent="0.25"/>
    <row r="150" customFormat="1" ht="24.95" customHeight="1" x14ac:dyDescent="0.25"/>
    <row r="151" customFormat="1" ht="24.95" customHeight="1" x14ac:dyDescent="0.25"/>
    <row r="152" customFormat="1" ht="24.95" customHeight="1" x14ac:dyDescent="0.25"/>
    <row r="153" customFormat="1" ht="24.95" customHeight="1" x14ac:dyDescent="0.25"/>
    <row r="154" customFormat="1" ht="24.95" customHeight="1" x14ac:dyDescent="0.25"/>
    <row r="155" customFormat="1" ht="24.95" customHeight="1" x14ac:dyDescent="0.25"/>
    <row r="156" customFormat="1" ht="24.95" customHeight="1" x14ac:dyDescent="0.25"/>
    <row r="157" customFormat="1" ht="24.95" customHeight="1" x14ac:dyDescent="0.25"/>
    <row r="158" customFormat="1" ht="24.95" customHeight="1" x14ac:dyDescent="0.25"/>
    <row r="159" customFormat="1" ht="24.95" customHeight="1" x14ac:dyDescent="0.25"/>
    <row r="160" customFormat="1" ht="24.95" customHeight="1" x14ac:dyDescent="0.25"/>
    <row r="161" customFormat="1" ht="24.95" customHeight="1" x14ac:dyDescent="0.25"/>
    <row r="162" customFormat="1" ht="24.95" customHeight="1" x14ac:dyDescent="0.25"/>
    <row r="163" customFormat="1" ht="24.95" customHeight="1" x14ac:dyDescent="0.25"/>
    <row r="164" customFormat="1" ht="24.95" customHeight="1" x14ac:dyDescent="0.25"/>
    <row r="165" customFormat="1" ht="24.95" customHeight="1" x14ac:dyDescent="0.25"/>
    <row r="166" customFormat="1" ht="24.95" customHeight="1" x14ac:dyDescent="0.25"/>
    <row r="167" customFormat="1" ht="24.95" customHeight="1" x14ac:dyDescent="0.25"/>
    <row r="168" customFormat="1" ht="24.95" customHeight="1" x14ac:dyDescent="0.25"/>
    <row r="169" customFormat="1" ht="24.95" customHeight="1" x14ac:dyDescent="0.25"/>
    <row r="170" customFormat="1" ht="24.95" customHeight="1" x14ac:dyDescent="0.25"/>
    <row r="171" customFormat="1" ht="24.95" customHeight="1" x14ac:dyDescent="0.25"/>
    <row r="172" customFormat="1" ht="24.95" customHeight="1" x14ac:dyDescent="0.25"/>
    <row r="173" customFormat="1" ht="24.95" customHeight="1" x14ac:dyDescent="0.25"/>
    <row r="174" customFormat="1" ht="24.95" customHeight="1" x14ac:dyDescent="0.25"/>
    <row r="175" customFormat="1" ht="24.95" customHeight="1" x14ac:dyDescent="0.25"/>
    <row r="176" customFormat="1" ht="24.95" customHeight="1" x14ac:dyDescent="0.25"/>
    <row r="177" customFormat="1" ht="24.95" customHeight="1" x14ac:dyDescent="0.25"/>
    <row r="178" customFormat="1" ht="24.95" customHeight="1" x14ac:dyDescent="0.25"/>
    <row r="179" customFormat="1" ht="24.95" customHeight="1" x14ac:dyDescent="0.25"/>
    <row r="180" customFormat="1" ht="24.95" customHeight="1" x14ac:dyDescent="0.25"/>
    <row r="181" customFormat="1" ht="24.95" customHeight="1" x14ac:dyDescent="0.25"/>
    <row r="182" customFormat="1" ht="24.95" customHeight="1" x14ac:dyDescent="0.25"/>
    <row r="183" customFormat="1" ht="24.95" customHeight="1" x14ac:dyDescent="0.25"/>
    <row r="184" customFormat="1" ht="24.95" customHeight="1" x14ac:dyDescent="0.25"/>
    <row r="185" customFormat="1" ht="24.95" customHeight="1" x14ac:dyDescent="0.25"/>
    <row r="186" customFormat="1" ht="24.95" customHeight="1" x14ac:dyDescent="0.25"/>
    <row r="187" customFormat="1" ht="24.95" customHeight="1" x14ac:dyDescent="0.25"/>
    <row r="188" customFormat="1" ht="24.95" customHeight="1" x14ac:dyDescent="0.25"/>
    <row r="189" customFormat="1" ht="24.95" customHeight="1" x14ac:dyDescent="0.25"/>
    <row r="190" customFormat="1" ht="24.95" customHeight="1" x14ac:dyDescent="0.25"/>
    <row r="191" customFormat="1" ht="24.95" customHeight="1" x14ac:dyDescent="0.25"/>
    <row r="192" customFormat="1" ht="24.95" customHeight="1" x14ac:dyDescent="0.25"/>
    <row r="193" customFormat="1" ht="24.95" customHeight="1" x14ac:dyDescent="0.25"/>
    <row r="194" customFormat="1" ht="24.95" customHeight="1" x14ac:dyDescent="0.25"/>
    <row r="195" customFormat="1" ht="24.95" customHeight="1" x14ac:dyDescent="0.25"/>
    <row r="196" customFormat="1" ht="24.95" customHeight="1" x14ac:dyDescent="0.25"/>
    <row r="197" customFormat="1" ht="24.95" customHeight="1" x14ac:dyDescent="0.25"/>
    <row r="198" customFormat="1" ht="24.95" customHeight="1" x14ac:dyDescent="0.25"/>
    <row r="199" customFormat="1" ht="24.95" customHeight="1" x14ac:dyDescent="0.25"/>
    <row r="200" customFormat="1" ht="24.95" customHeight="1" x14ac:dyDescent="0.25"/>
    <row r="201" customFormat="1" ht="24.95" customHeight="1" x14ac:dyDescent="0.25"/>
    <row r="202" customFormat="1" ht="24.95" customHeight="1" x14ac:dyDescent="0.25"/>
    <row r="203" customFormat="1" ht="24.95" customHeight="1" x14ac:dyDescent="0.25"/>
    <row r="204" customFormat="1" ht="24.95" customHeight="1" x14ac:dyDescent="0.25"/>
    <row r="205" customFormat="1" ht="24.95" customHeight="1" x14ac:dyDescent="0.25"/>
    <row r="206" customFormat="1" ht="24.95" customHeight="1" x14ac:dyDescent="0.25"/>
    <row r="207" customFormat="1" ht="24.95" customHeight="1" x14ac:dyDescent="0.25"/>
    <row r="208" customFormat="1" ht="24.95" customHeight="1" x14ac:dyDescent="0.25"/>
    <row r="209" customFormat="1" ht="24.95" customHeight="1" x14ac:dyDescent="0.25"/>
    <row r="210" customFormat="1" ht="24.95" customHeight="1" x14ac:dyDescent="0.25"/>
    <row r="211" customFormat="1" ht="24.95" customHeight="1" x14ac:dyDescent="0.25"/>
    <row r="212" customFormat="1" ht="24.95" customHeight="1" x14ac:dyDescent="0.25"/>
    <row r="213" customFormat="1" ht="24.95" customHeight="1" x14ac:dyDescent="0.25"/>
    <row r="214" customFormat="1" ht="24.95" customHeight="1" x14ac:dyDescent="0.25"/>
    <row r="215" customFormat="1" ht="24.95" customHeight="1" x14ac:dyDescent="0.25"/>
    <row r="216" customFormat="1" ht="24.95" customHeight="1" x14ac:dyDescent="0.25"/>
    <row r="217" customFormat="1" ht="24.95" customHeight="1" x14ac:dyDescent="0.25"/>
    <row r="218" customFormat="1" ht="24.95" customHeight="1" x14ac:dyDescent="0.25"/>
    <row r="219" customFormat="1" ht="24.95" customHeight="1" x14ac:dyDescent="0.25"/>
    <row r="220" customFormat="1" ht="24.95" customHeight="1" x14ac:dyDescent="0.25"/>
    <row r="221" customFormat="1" ht="24.95" customHeight="1" x14ac:dyDescent="0.25"/>
    <row r="222" customFormat="1" ht="24.95" customHeight="1" x14ac:dyDescent="0.25"/>
    <row r="223" customFormat="1" ht="24.95" customHeight="1" x14ac:dyDescent="0.25"/>
    <row r="224" customFormat="1" ht="24.95" customHeight="1" x14ac:dyDescent="0.25"/>
    <row r="225" customFormat="1" ht="24.95" customHeight="1" x14ac:dyDescent="0.25"/>
    <row r="226" customFormat="1" ht="24.95" customHeight="1" x14ac:dyDescent="0.25"/>
    <row r="227" customFormat="1" ht="24.95" customHeight="1" x14ac:dyDescent="0.25"/>
    <row r="228" customFormat="1" ht="24.95" customHeight="1" x14ac:dyDescent="0.25"/>
    <row r="229" customFormat="1" ht="24.95" customHeight="1" x14ac:dyDescent="0.25"/>
    <row r="230" customFormat="1" ht="24.95" customHeight="1" x14ac:dyDescent="0.25"/>
    <row r="231" customFormat="1" ht="24.95" customHeight="1" x14ac:dyDescent="0.25"/>
    <row r="232" customFormat="1" ht="24.95" customHeight="1" x14ac:dyDescent="0.25"/>
    <row r="233" customFormat="1" ht="24.95" customHeight="1" x14ac:dyDescent="0.25"/>
    <row r="234" customFormat="1" ht="24.95" customHeight="1" x14ac:dyDescent="0.25"/>
    <row r="235" customFormat="1" ht="24.95" customHeight="1" x14ac:dyDescent="0.25"/>
    <row r="236" customFormat="1" ht="24.95" customHeight="1" x14ac:dyDescent="0.25"/>
    <row r="237" customFormat="1" ht="24.95" customHeight="1" x14ac:dyDescent="0.25"/>
    <row r="238" customFormat="1" ht="24.95" customHeight="1" x14ac:dyDescent="0.25"/>
    <row r="239" customFormat="1" ht="24.95" customHeight="1" x14ac:dyDescent="0.25"/>
    <row r="240" customFormat="1" ht="24.95" customHeight="1" x14ac:dyDescent="0.25"/>
    <row r="241" customFormat="1" ht="24.95" customHeight="1" x14ac:dyDescent="0.25"/>
    <row r="242" customFormat="1" ht="24.95" customHeight="1" x14ac:dyDescent="0.25"/>
    <row r="243" customFormat="1" ht="24.95" customHeight="1" x14ac:dyDescent="0.25"/>
    <row r="244" customFormat="1" ht="24.95" customHeight="1" x14ac:dyDescent="0.25"/>
    <row r="245" customFormat="1" ht="24.95" customHeight="1" x14ac:dyDescent="0.25"/>
    <row r="246" customFormat="1" ht="24.95" customHeight="1" x14ac:dyDescent="0.25"/>
    <row r="247" customFormat="1" ht="24.95" customHeight="1" x14ac:dyDescent="0.25"/>
    <row r="248" customFormat="1" ht="24.95" customHeight="1" x14ac:dyDescent="0.25"/>
    <row r="249" customFormat="1" ht="24.95" customHeight="1" x14ac:dyDescent="0.25"/>
    <row r="250" customFormat="1" ht="24.95" customHeight="1" x14ac:dyDescent="0.25"/>
    <row r="251" customFormat="1" ht="24.95" customHeight="1" x14ac:dyDescent="0.25"/>
    <row r="252" customFormat="1" ht="24.95" customHeight="1" x14ac:dyDescent="0.25"/>
    <row r="253" customFormat="1" ht="24.95" customHeight="1" x14ac:dyDescent="0.25"/>
    <row r="254" customFormat="1" ht="24.95" customHeight="1" x14ac:dyDescent="0.25"/>
    <row r="255" customFormat="1" ht="24.95" customHeight="1" x14ac:dyDescent="0.25"/>
    <row r="256" customFormat="1" ht="24.95" customHeight="1" x14ac:dyDescent="0.25"/>
    <row r="257" customFormat="1" ht="24.95" customHeight="1" x14ac:dyDescent="0.25"/>
    <row r="258" customFormat="1" ht="24.95" customHeight="1" x14ac:dyDescent="0.25"/>
    <row r="259" customFormat="1" ht="24.95" customHeight="1" x14ac:dyDescent="0.25"/>
    <row r="260" customFormat="1" ht="24.95" customHeight="1" x14ac:dyDescent="0.25"/>
    <row r="261" customFormat="1" ht="24.95" customHeight="1" x14ac:dyDescent="0.25"/>
    <row r="262" customFormat="1" ht="24.95" customHeight="1" x14ac:dyDescent="0.25"/>
    <row r="263" customFormat="1" ht="24.95" customHeight="1" x14ac:dyDescent="0.25"/>
    <row r="264" customFormat="1" ht="24.95" customHeight="1" x14ac:dyDescent="0.25"/>
    <row r="265" customFormat="1" ht="24.95" customHeight="1" x14ac:dyDescent="0.25"/>
    <row r="266" customFormat="1" ht="24.95" customHeight="1" x14ac:dyDescent="0.25"/>
    <row r="267" customFormat="1" ht="24.95" customHeight="1" x14ac:dyDescent="0.25"/>
    <row r="268" customFormat="1" ht="24.95" customHeight="1" x14ac:dyDescent="0.25"/>
    <row r="269" customFormat="1" ht="24.95" customHeight="1" x14ac:dyDescent="0.25"/>
    <row r="270" customFormat="1" ht="24.95" customHeight="1" x14ac:dyDescent="0.25"/>
    <row r="271" customFormat="1" ht="24.95" customHeight="1" x14ac:dyDescent="0.25"/>
    <row r="272" customFormat="1" ht="24.95" customHeight="1" x14ac:dyDescent="0.25"/>
    <row r="273" customFormat="1" ht="24.95" customHeight="1" x14ac:dyDescent="0.25"/>
    <row r="274" customFormat="1" ht="24.95" customHeight="1" x14ac:dyDescent="0.25"/>
    <row r="275" customFormat="1" ht="24.95" customHeight="1" x14ac:dyDescent="0.25"/>
    <row r="276" customFormat="1" ht="24.95" customHeight="1" x14ac:dyDescent="0.25"/>
    <row r="277" customFormat="1" ht="24.95" customHeight="1" x14ac:dyDescent="0.25"/>
    <row r="278" customFormat="1" ht="24.95" customHeight="1" x14ac:dyDescent="0.25"/>
    <row r="279" customFormat="1" ht="24.95" customHeight="1" x14ac:dyDescent="0.25"/>
    <row r="280" customFormat="1" ht="24.95" customHeight="1" x14ac:dyDescent="0.25"/>
    <row r="281" customFormat="1" ht="24.95" customHeight="1" x14ac:dyDescent="0.25"/>
    <row r="282" customFormat="1" ht="24.95" customHeight="1" x14ac:dyDescent="0.25"/>
    <row r="283" customFormat="1" ht="24.95" customHeight="1" x14ac:dyDescent="0.25"/>
    <row r="284" customFormat="1" ht="24.95" customHeight="1" x14ac:dyDescent="0.25"/>
    <row r="285" customFormat="1" ht="24.95" customHeight="1" x14ac:dyDescent="0.25"/>
    <row r="286" customFormat="1" ht="24.95" customHeight="1" x14ac:dyDescent="0.25"/>
    <row r="287" customFormat="1" ht="24.95" customHeight="1" x14ac:dyDescent="0.25"/>
    <row r="288" customFormat="1" ht="24.95" customHeight="1" x14ac:dyDescent="0.25"/>
    <row r="289" customFormat="1" ht="24.95" customHeight="1" x14ac:dyDescent="0.25"/>
    <row r="290" customFormat="1" ht="24.95" customHeight="1" x14ac:dyDescent="0.25"/>
    <row r="291" customFormat="1" ht="24.95" customHeight="1" x14ac:dyDescent="0.25"/>
    <row r="292" customFormat="1" ht="24.95" customHeight="1" x14ac:dyDescent="0.25"/>
    <row r="293" customFormat="1" ht="24.95" customHeight="1" x14ac:dyDescent="0.25"/>
    <row r="294" customFormat="1" ht="24.95" customHeight="1" x14ac:dyDescent="0.25"/>
    <row r="295" customFormat="1" ht="24.95" customHeight="1" x14ac:dyDescent="0.25"/>
    <row r="296" customFormat="1" ht="24.95" customHeight="1" x14ac:dyDescent="0.25"/>
    <row r="297" customFormat="1" ht="24.95" customHeight="1" x14ac:dyDescent="0.25"/>
    <row r="298" customFormat="1" ht="24.95" customHeight="1" x14ac:dyDescent="0.25"/>
    <row r="299" customFormat="1" ht="24.95" customHeight="1" x14ac:dyDescent="0.25"/>
    <row r="300" customFormat="1" ht="24.95" customHeight="1" x14ac:dyDescent="0.25"/>
    <row r="301" customFormat="1" ht="24.95" customHeight="1" x14ac:dyDescent="0.25"/>
    <row r="302" customFormat="1" ht="24.95" customHeight="1" x14ac:dyDescent="0.25"/>
    <row r="303" customFormat="1" ht="24.95" customHeight="1" x14ac:dyDescent="0.25"/>
    <row r="304" customFormat="1" ht="24.95" customHeight="1" x14ac:dyDescent="0.25"/>
    <row r="305" customFormat="1" ht="24.95" customHeight="1" x14ac:dyDescent="0.25"/>
    <row r="306" customFormat="1" ht="24.95" customHeight="1" x14ac:dyDescent="0.25"/>
    <row r="307" customFormat="1" ht="24.95" customHeight="1" x14ac:dyDescent="0.25"/>
    <row r="308" customFormat="1" ht="24.95" customHeight="1" x14ac:dyDescent="0.25"/>
    <row r="309" customFormat="1" ht="24.95" customHeight="1" x14ac:dyDescent="0.25"/>
    <row r="310" customFormat="1" ht="24.95" customHeight="1" x14ac:dyDescent="0.25"/>
    <row r="311" customFormat="1" ht="24.95" customHeight="1" x14ac:dyDescent="0.25"/>
    <row r="312" customFormat="1" ht="24.95" customHeight="1" x14ac:dyDescent="0.25"/>
    <row r="313" customFormat="1" ht="24.95" customHeight="1" x14ac:dyDescent="0.25"/>
    <row r="314" customFormat="1" ht="24.95" customHeight="1" x14ac:dyDescent="0.25"/>
    <row r="315" customFormat="1" ht="24.95" customHeight="1" x14ac:dyDescent="0.25"/>
    <row r="316" customFormat="1" ht="24.95" customHeight="1" x14ac:dyDescent="0.25"/>
    <row r="317" customFormat="1" ht="24.95" customHeight="1" x14ac:dyDescent="0.25"/>
    <row r="318" customFormat="1" ht="24.95" customHeight="1" x14ac:dyDescent="0.25"/>
    <row r="319" customFormat="1" ht="24.95" customHeight="1" x14ac:dyDescent="0.25"/>
    <row r="320" customFormat="1" ht="24.95" customHeight="1" x14ac:dyDescent="0.25"/>
    <row r="321" customFormat="1" ht="24.95" customHeight="1" x14ac:dyDescent="0.25"/>
    <row r="322" customFormat="1" ht="24.95" customHeight="1" x14ac:dyDescent="0.25"/>
    <row r="323" customFormat="1" ht="24.95" customHeight="1" x14ac:dyDescent="0.25"/>
    <row r="324" customFormat="1" ht="24.95" customHeight="1" x14ac:dyDescent="0.25"/>
    <row r="325" customFormat="1" ht="24.95" customHeight="1" x14ac:dyDescent="0.25"/>
    <row r="326" customFormat="1" ht="24.95" customHeight="1" x14ac:dyDescent="0.25"/>
    <row r="327" customFormat="1" ht="24.95" customHeight="1" x14ac:dyDescent="0.25"/>
    <row r="328" customFormat="1" ht="24.95" customHeight="1" x14ac:dyDescent="0.25"/>
    <row r="329" customFormat="1" ht="24.95" customHeight="1" x14ac:dyDescent="0.25"/>
    <row r="330" customFormat="1" ht="24.95" customHeight="1" x14ac:dyDescent="0.25"/>
    <row r="331" customFormat="1" ht="24.95" customHeight="1" x14ac:dyDescent="0.25"/>
    <row r="332" customFormat="1" ht="24.95" customHeight="1" x14ac:dyDescent="0.25"/>
    <row r="333" customFormat="1" ht="24.95" customHeight="1" x14ac:dyDescent="0.25"/>
    <row r="334" customFormat="1" ht="24.95" customHeight="1" x14ac:dyDescent="0.25"/>
    <row r="335" customFormat="1" ht="24.95" customHeight="1" x14ac:dyDescent="0.25"/>
    <row r="336" customFormat="1" ht="24.95" customHeight="1" x14ac:dyDescent="0.25"/>
    <row r="337" customFormat="1" ht="24.95" customHeight="1" x14ac:dyDescent="0.25"/>
    <row r="338" customFormat="1" ht="24.95" customHeight="1" x14ac:dyDescent="0.25"/>
    <row r="339" customFormat="1" ht="24.95" customHeight="1" x14ac:dyDescent="0.25"/>
    <row r="340" customFormat="1" ht="24.95" customHeight="1" x14ac:dyDescent="0.25"/>
    <row r="341" customFormat="1" ht="24.95" customHeight="1" x14ac:dyDescent="0.25"/>
    <row r="342" customFormat="1" ht="24.95" customHeight="1" x14ac:dyDescent="0.25"/>
    <row r="343" customFormat="1" ht="24.95" customHeight="1" x14ac:dyDescent="0.25"/>
    <row r="344" customFormat="1" ht="24.95" customHeight="1" x14ac:dyDescent="0.25"/>
    <row r="345" customFormat="1" ht="24.95" customHeight="1" x14ac:dyDescent="0.25"/>
    <row r="346" customFormat="1" ht="24.95" customHeight="1" x14ac:dyDescent="0.25"/>
    <row r="347" customFormat="1" ht="24.95" customHeight="1" x14ac:dyDescent="0.25"/>
    <row r="348" customFormat="1" ht="24.95" customHeight="1" x14ac:dyDescent="0.25"/>
    <row r="349" customFormat="1" ht="24.95" customHeight="1" x14ac:dyDescent="0.25"/>
    <row r="350" customFormat="1" ht="24.95" customHeight="1" x14ac:dyDescent="0.25"/>
    <row r="351" customFormat="1" ht="24.95" customHeight="1" x14ac:dyDescent="0.25"/>
    <row r="352" customFormat="1" ht="24.95" customHeight="1" x14ac:dyDescent="0.25"/>
    <row r="353" customFormat="1" ht="24.95" customHeight="1" x14ac:dyDescent="0.25"/>
    <row r="354" customFormat="1" ht="24.95" customHeight="1" x14ac:dyDescent="0.25"/>
    <row r="355" customFormat="1" ht="24.95" customHeight="1" x14ac:dyDescent="0.25"/>
    <row r="356" customFormat="1" ht="24.95" customHeight="1" x14ac:dyDescent="0.25"/>
    <row r="357" customFormat="1" ht="24.95" customHeight="1" x14ac:dyDescent="0.25"/>
    <row r="358" customFormat="1" ht="24.95" customHeight="1" x14ac:dyDescent="0.25"/>
    <row r="359" customFormat="1" ht="24.95" customHeight="1" x14ac:dyDescent="0.25"/>
    <row r="360" customFormat="1" ht="24.95" customHeight="1" x14ac:dyDescent="0.25"/>
    <row r="361" customFormat="1" ht="24.95" customHeight="1" x14ac:dyDescent="0.25"/>
    <row r="362" customFormat="1" ht="24.95" customHeight="1" x14ac:dyDescent="0.25"/>
    <row r="363" customFormat="1" ht="24.95" customHeight="1" x14ac:dyDescent="0.25"/>
    <row r="364" customFormat="1" ht="24.95" customHeight="1" x14ac:dyDescent="0.25"/>
    <row r="365" customFormat="1" ht="24.95" customHeight="1" x14ac:dyDescent="0.25"/>
    <row r="366" customFormat="1" ht="24.95" customHeight="1" x14ac:dyDescent="0.25"/>
    <row r="367" customFormat="1" ht="24.95" customHeight="1" x14ac:dyDescent="0.25"/>
    <row r="368" customFormat="1" ht="24.95" customHeight="1" x14ac:dyDescent="0.25"/>
    <row r="369" customFormat="1" ht="24.95" customHeight="1" x14ac:dyDescent="0.25"/>
    <row r="370" customFormat="1" ht="24.95" customHeight="1" x14ac:dyDescent="0.25"/>
    <row r="371" customFormat="1" ht="24.95" customHeight="1" x14ac:dyDescent="0.25"/>
    <row r="372" customFormat="1" ht="24.95" customHeight="1" x14ac:dyDescent="0.25"/>
    <row r="373" customFormat="1" ht="24.95" customHeight="1" x14ac:dyDescent="0.25"/>
    <row r="374" customFormat="1" ht="24.95" customHeight="1" x14ac:dyDescent="0.25"/>
    <row r="375" customFormat="1" ht="24.95" customHeight="1" x14ac:dyDescent="0.25"/>
    <row r="376" customFormat="1" ht="24.95" customHeight="1" x14ac:dyDescent="0.25"/>
    <row r="377" customFormat="1" ht="24.95" customHeight="1" x14ac:dyDescent="0.25"/>
    <row r="378" customFormat="1" ht="24.95" customHeight="1" x14ac:dyDescent="0.25"/>
    <row r="379" customFormat="1" ht="24.95" customHeight="1" x14ac:dyDescent="0.25"/>
    <row r="380" customFormat="1" ht="24.95" customHeight="1" x14ac:dyDescent="0.25"/>
    <row r="381" customFormat="1" ht="24.95" customHeight="1" x14ac:dyDescent="0.25"/>
    <row r="382" customFormat="1" ht="24.95" customHeight="1" x14ac:dyDescent="0.25"/>
    <row r="383" customFormat="1" ht="24.95" customHeight="1" x14ac:dyDescent="0.25"/>
    <row r="384" customFormat="1" ht="24.95" customHeight="1" x14ac:dyDescent="0.25"/>
    <row r="385" customFormat="1" ht="24.95" customHeight="1" x14ac:dyDescent="0.25"/>
    <row r="386" customFormat="1" ht="24.95" customHeight="1" x14ac:dyDescent="0.25"/>
    <row r="387" customFormat="1" ht="24.95" customHeight="1" x14ac:dyDescent="0.25"/>
    <row r="388" customFormat="1" ht="24.95" customHeight="1" x14ac:dyDescent="0.25"/>
    <row r="389" customFormat="1" ht="24.95" customHeight="1" x14ac:dyDescent="0.25"/>
    <row r="390" customFormat="1" ht="24.95" customHeight="1" x14ac:dyDescent="0.25"/>
    <row r="391" customFormat="1" ht="24.95" customHeight="1" x14ac:dyDescent="0.25"/>
    <row r="392" customFormat="1" ht="24.95" customHeight="1" x14ac:dyDescent="0.25"/>
    <row r="393" customFormat="1" ht="24.95" customHeight="1" x14ac:dyDescent="0.25"/>
    <row r="394" customFormat="1" ht="24.95" customHeight="1" x14ac:dyDescent="0.25"/>
    <row r="395" customFormat="1" ht="24.95" customHeight="1" x14ac:dyDescent="0.25"/>
    <row r="396" customFormat="1" ht="24.95" customHeight="1" x14ac:dyDescent="0.25"/>
    <row r="397" customFormat="1" ht="24.95" customHeight="1" x14ac:dyDescent="0.25"/>
    <row r="398" customFormat="1" ht="24.95" customHeight="1" x14ac:dyDescent="0.25"/>
    <row r="399" customFormat="1" ht="24.95" customHeight="1" x14ac:dyDescent="0.25"/>
    <row r="400" customFormat="1" ht="24.95" customHeight="1" x14ac:dyDescent="0.25"/>
    <row r="401" customFormat="1" ht="24.95" customHeight="1" x14ac:dyDescent="0.25"/>
    <row r="402" customFormat="1" ht="24.95" customHeight="1" x14ac:dyDescent="0.25"/>
    <row r="403" customFormat="1" ht="24.95" customHeight="1" x14ac:dyDescent="0.25"/>
    <row r="404" customFormat="1" ht="24.95" customHeight="1" x14ac:dyDescent="0.25"/>
    <row r="405" customFormat="1" ht="24.95" customHeight="1" x14ac:dyDescent="0.25"/>
    <row r="406" customFormat="1" ht="24.95" customHeight="1" x14ac:dyDescent="0.25"/>
    <row r="407" customFormat="1" ht="24.95" customHeight="1" x14ac:dyDescent="0.25"/>
    <row r="408" customFormat="1" ht="24.95" customHeight="1" x14ac:dyDescent="0.25"/>
    <row r="409" customFormat="1" ht="24.95" customHeight="1" x14ac:dyDescent="0.25"/>
    <row r="410" customFormat="1" ht="24.95" customHeight="1" x14ac:dyDescent="0.25"/>
    <row r="411" customFormat="1" ht="24.95" customHeight="1" x14ac:dyDescent="0.25"/>
    <row r="412" customFormat="1" ht="24.95" customHeight="1" x14ac:dyDescent="0.25"/>
    <row r="413" customFormat="1" ht="24.95" customHeight="1" x14ac:dyDescent="0.25"/>
    <row r="414" customFormat="1" ht="24.95" customHeight="1" x14ac:dyDescent="0.25"/>
    <row r="415" customFormat="1" ht="24.95" customHeight="1" x14ac:dyDescent="0.25"/>
    <row r="416" customFormat="1" ht="24.95" customHeight="1" x14ac:dyDescent="0.25"/>
    <row r="417" customFormat="1" ht="24.95" customHeight="1" x14ac:dyDescent="0.25"/>
    <row r="418" customFormat="1" ht="24.95" customHeight="1" x14ac:dyDescent="0.25"/>
    <row r="419" customFormat="1" ht="24.95" customHeight="1" x14ac:dyDescent="0.25"/>
    <row r="420" customFormat="1" ht="24.95" customHeight="1" x14ac:dyDescent="0.25"/>
    <row r="421" customFormat="1" ht="24.95" customHeight="1" x14ac:dyDescent="0.25"/>
    <row r="422" customFormat="1" ht="24.95" customHeight="1" x14ac:dyDescent="0.25"/>
    <row r="423" customFormat="1" ht="24.95" customHeight="1" x14ac:dyDescent="0.25"/>
    <row r="424" customFormat="1" ht="24.95" customHeight="1" x14ac:dyDescent="0.25"/>
    <row r="425" customFormat="1" ht="24.95" customHeight="1" x14ac:dyDescent="0.25"/>
    <row r="426" customFormat="1" ht="24.95" customHeight="1" x14ac:dyDescent="0.25"/>
    <row r="427" customFormat="1" ht="24.95" customHeight="1" x14ac:dyDescent="0.25"/>
    <row r="428" customFormat="1" ht="24.95" customHeight="1" x14ac:dyDescent="0.25"/>
    <row r="429" customFormat="1" ht="24.95" customHeight="1" x14ac:dyDescent="0.25"/>
    <row r="430" customFormat="1" ht="24.95" customHeight="1" x14ac:dyDescent="0.25"/>
    <row r="431" customFormat="1" ht="24.95" customHeight="1" x14ac:dyDescent="0.25"/>
    <row r="432" customFormat="1" ht="24.95" customHeight="1" x14ac:dyDescent="0.25"/>
    <row r="433" customFormat="1" ht="24.95" customHeight="1" x14ac:dyDescent="0.25"/>
    <row r="434" customFormat="1" ht="24.95" customHeight="1" x14ac:dyDescent="0.25"/>
    <row r="435" customFormat="1" ht="24.95" customHeight="1" x14ac:dyDescent="0.25"/>
    <row r="436" customFormat="1" ht="24.95" customHeight="1" x14ac:dyDescent="0.25"/>
    <row r="437" customFormat="1" ht="24.95" customHeight="1" x14ac:dyDescent="0.25"/>
    <row r="438" customFormat="1" ht="24.95" customHeight="1" x14ac:dyDescent="0.25"/>
    <row r="439" customFormat="1" ht="24.95" customHeight="1" x14ac:dyDescent="0.25"/>
    <row r="440" customFormat="1" ht="24.95" customHeight="1" x14ac:dyDescent="0.25"/>
    <row r="441" customFormat="1" ht="24.95" customHeight="1" x14ac:dyDescent="0.25"/>
    <row r="442" customFormat="1" ht="24.95" customHeight="1" x14ac:dyDescent="0.25"/>
    <row r="443" customFormat="1" ht="24.95" customHeight="1" x14ac:dyDescent="0.25"/>
    <row r="444" customFormat="1" ht="24.95" customHeight="1" x14ac:dyDescent="0.25"/>
    <row r="445" customFormat="1" ht="24.95" customHeight="1" x14ac:dyDescent="0.25"/>
    <row r="446" customFormat="1" ht="24.95" customHeight="1" x14ac:dyDescent="0.25"/>
    <row r="447" customFormat="1" ht="24.95" customHeight="1" x14ac:dyDescent="0.25"/>
    <row r="448" customFormat="1" ht="24.95" customHeight="1" x14ac:dyDescent="0.25"/>
    <row r="449" customFormat="1" ht="24.95" customHeight="1" x14ac:dyDescent="0.25"/>
    <row r="450" customFormat="1" ht="24.95" customHeight="1" x14ac:dyDescent="0.25"/>
    <row r="451" customFormat="1" ht="24.95" customHeight="1" x14ac:dyDescent="0.25"/>
    <row r="452" customFormat="1" ht="24.95" customHeight="1" x14ac:dyDescent="0.25"/>
    <row r="453" customFormat="1" ht="24.95" customHeight="1" x14ac:dyDescent="0.25"/>
    <row r="454" customFormat="1" ht="24.95" customHeight="1" x14ac:dyDescent="0.25"/>
    <row r="455" customFormat="1" ht="24.95" customHeight="1" x14ac:dyDescent="0.25"/>
    <row r="456" customFormat="1" ht="24.95" customHeight="1" x14ac:dyDescent="0.25"/>
    <row r="457" customFormat="1" ht="24.95" customHeight="1" x14ac:dyDescent="0.25"/>
    <row r="458" customFormat="1" ht="24.95" customHeight="1" x14ac:dyDescent="0.25"/>
    <row r="459" customFormat="1" ht="24.95" customHeight="1" x14ac:dyDescent="0.25"/>
    <row r="460" customFormat="1" ht="24.95" customHeight="1" x14ac:dyDescent="0.25"/>
    <row r="461" customFormat="1" ht="24.95" customHeight="1" x14ac:dyDescent="0.25"/>
    <row r="462" customFormat="1" ht="24.95" customHeight="1" x14ac:dyDescent="0.25"/>
    <row r="463" customFormat="1" ht="24.95" customHeight="1" x14ac:dyDescent="0.25"/>
    <row r="464" customFormat="1" ht="24.95" customHeight="1" x14ac:dyDescent="0.25"/>
    <row r="465" customFormat="1" ht="24.95" customHeight="1" x14ac:dyDescent="0.25"/>
    <row r="466" customFormat="1" ht="24.95" customHeight="1" x14ac:dyDescent="0.25"/>
    <row r="467" customFormat="1" ht="24.95" customHeight="1" x14ac:dyDescent="0.25"/>
    <row r="468" customFormat="1" ht="24.95" customHeight="1" x14ac:dyDescent="0.25"/>
    <row r="469" customFormat="1" ht="24.95" customHeight="1" x14ac:dyDescent="0.25"/>
    <row r="470" customFormat="1" ht="24.95" customHeight="1" x14ac:dyDescent="0.25"/>
    <row r="471" customFormat="1" ht="24.95" customHeight="1" x14ac:dyDescent="0.25"/>
    <row r="472" customFormat="1" ht="24.95" customHeight="1" x14ac:dyDescent="0.25"/>
    <row r="473" customFormat="1" ht="24.95" customHeight="1" x14ac:dyDescent="0.25"/>
    <row r="474" customFormat="1" ht="24.95" customHeight="1" x14ac:dyDescent="0.25"/>
    <row r="475" customFormat="1" ht="24.95" customHeight="1" x14ac:dyDescent="0.25"/>
    <row r="476" customFormat="1" ht="24.95" customHeight="1" x14ac:dyDescent="0.25"/>
    <row r="477" customFormat="1" ht="24.95" customHeight="1" x14ac:dyDescent="0.25"/>
    <row r="478" customFormat="1" ht="24.95" customHeight="1" x14ac:dyDescent="0.25"/>
    <row r="479" customFormat="1" ht="24.95" customHeight="1" x14ac:dyDescent="0.25"/>
    <row r="480" customFormat="1" ht="24.95" customHeight="1" x14ac:dyDescent="0.25"/>
    <row r="481" customFormat="1" ht="24.95" customHeight="1" x14ac:dyDescent="0.25"/>
    <row r="482" customFormat="1" ht="24.95" customHeight="1" x14ac:dyDescent="0.25"/>
    <row r="483" customFormat="1" ht="24.95" customHeight="1" x14ac:dyDescent="0.25"/>
    <row r="484" customFormat="1" ht="24.95" customHeight="1" x14ac:dyDescent="0.25"/>
    <row r="485" customFormat="1" ht="24.95" customHeight="1" x14ac:dyDescent="0.25"/>
    <row r="486" customFormat="1" ht="24.95" customHeight="1" x14ac:dyDescent="0.25"/>
    <row r="487" customFormat="1" ht="24.95" customHeight="1" x14ac:dyDescent="0.25"/>
    <row r="488" customFormat="1" ht="24.95" customHeight="1" x14ac:dyDescent="0.25"/>
    <row r="489" customFormat="1" ht="24.95" customHeight="1" x14ac:dyDescent="0.25"/>
    <row r="490" customFormat="1" ht="24.95" customHeight="1" x14ac:dyDescent="0.25"/>
    <row r="491" customFormat="1" ht="24.95" customHeight="1" x14ac:dyDescent="0.25"/>
    <row r="492" customFormat="1" ht="24.95" customHeight="1" x14ac:dyDescent="0.25"/>
    <row r="493" customFormat="1" ht="24.95" customHeight="1" x14ac:dyDescent="0.25"/>
    <row r="494" customFormat="1" ht="24.95" customHeight="1" x14ac:dyDescent="0.25"/>
    <row r="495" customFormat="1" ht="24.95" customHeight="1" x14ac:dyDescent="0.25"/>
    <row r="496" customFormat="1" ht="24.95" customHeight="1" x14ac:dyDescent="0.25"/>
    <row r="497" customFormat="1" ht="24.95" customHeight="1" x14ac:dyDescent="0.25"/>
    <row r="498" customFormat="1" ht="24.95" customHeight="1" x14ac:dyDescent="0.25"/>
    <row r="499" customFormat="1" ht="24.95" customHeight="1" x14ac:dyDescent="0.25"/>
    <row r="500" customFormat="1" ht="24.95" customHeight="1" x14ac:dyDescent="0.25"/>
    <row r="501" customFormat="1" ht="24.95" customHeight="1" x14ac:dyDescent="0.25"/>
    <row r="502" customFormat="1" ht="24.95" customHeight="1" x14ac:dyDescent="0.25"/>
    <row r="503" customFormat="1" ht="24.95" customHeight="1" x14ac:dyDescent="0.25"/>
    <row r="504" customFormat="1" ht="24.95" customHeight="1" x14ac:dyDescent="0.25"/>
    <row r="505" customFormat="1" ht="24.95" customHeight="1" x14ac:dyDescent="0.25"/>
    <row r="506" customFormat="1" ht="24.95" customHeight="1" x14ac:dyDescent="0.25"/>
    <row r="507" customFormat="1" ht="24.95" customHeight="1" x14ac:dyDescent="0.25"/>
    <row r="508" customFormat="1" ht="24.95" customHeight="1" x14ac:dyDescent="0.25"/>
    <row r="509" customFormat="1" ht="24.95" customHeight="1" x14ac:dyDescent="0.25"/>
    <row r="510" customFormat="1" ht="24.95" customHeight="1" x14ac:dyDescent="0.25"/>
    <row r="511" customFormat="1" ht="24.95" customHeight="1" x14ac:dyDescent="0.25"/>
    <row r="512" customFormat="1" ht="24.95" customHeight="1" x14ac:dyDescent="0.25"/>
    <row r="513" customFormat="1" ht="24.95" customHeight="1" x14ac:dyDescent="0.25"/>
    <row r="514" customFormat="1" ht="24.95" customHeight="1" x14ac:dyDescent="0.25"/>
    <row r="515" customFormat="1" ht="24.95" customHeight="1" x14ac:dyDescent="0.25"/>
    <row r="516" customFormat="1" ht="24.95" customHeight="1" x14ac:dyDescent="0.25"/>
    <row r="517" customFormat="1" ht="24.95" customHeight="1" x14ac:dyDescent="0.25"/>
    <row r="518" customFormat="1" ht="24.95" customHeight="1" x14ac:dyDescent="0.25"/>
    <row r="519" customFormat="1" ht="24.95" customHeight="1" x14ac:dyDescent="0.25"/>
    <row r="520" customFormat="1" ht="24.95" customHeight="1" x14ac:dyDescent="0.25"/>
    <row r="521" customFormat="1" ht="24.95" customHeight="1" x14ac:dyDescent="0.25"/>
    <row r="522" customFormat="1" ht="24.95" customHeight="1" x14ac:dyDescent="0.25"/>
    <row r="523" customFormat="1" ht="24.95" customHeight="1" x14ac:dyDescent="0.25"/>
    <row r="524" customFormat="1" ht="24.95" customHeight="1" x14ac:dyDescent="0.25"/>
    <row r="525" customFormat="1" ht="24.95" customHeight="1" x14ac:dyDescent="0.25"/>
    <row r="526" customFormat="1" ht="24.95" customHeight="1" x14ac:dyDescent="0.25"/>
    <row r="527" customFormat="1" ht="24.95" customHeight="1" x14ac:dyDescent="0.25"/>
    <row r="528" customFormat="1" ht="24.95" customHeight="1" x14ac:dyDescent="0.25"/>
    <row r="529" customFormat="1" ht="24.95" customHeight="1" x14ac:dyDescent="0.25"/>
    <row r="530" customFormat="1" ht="24.95" customHeight="1" x14ac:dyDescent="0.25"/>
    <row r="531" customFormat="1" ht="24.95" customHeight="1" x14ac:dyDescent="0.25"/>
    <row r="532" customFormat="1" ht="24.95" customHeight="1" x14ac:dyDescent="0.25"/>
    <row r="533" customFormat="1" ht="24.95" customHeight="1" x14ac:dyDescent="0.25"/>
    <row r="534" customFormat="1" ht="24.95" customHeight="1" x14ac:dyDescent="0.25"/>
    <row r="535" customFormat="1" ht="24.95" customHeight="1" x14ac:dyDescent="0.25"/>
    <row r="536" customFormat="1" ht="24.95" customHeight="1" x14ac:dyDescent="0.25"/>
    <row r="537" customFormat="1" ht="24.95" customHeight="1" x14ac:dyDescent="0.25"/>
    <row r="538" customFormat="1" ht="24.95" customHeight="1" x14ac:dyDescent="0.25"/>
    <row r="539" customFormat="1" ht="24.95" customHeight="1" x14ac:dyDescent="0.25"/>
    <row r="540" customFormat="1" ht="24.95" customHeight="1" x14ac:dyDescent="0.25"/>
    <row r="541" customFormat="1" ht="24.95" customHeight="1" x14ac:dyDescent="0.25"/>
    <row r="542" customFormat="1" ht="24.95" customHeight="1" x14ac:dyDescent="0.25"/>
    <row r="543" customFormat="1" ht="24.95" customHeight="1" x14ac:dyDescent="0.25"/>
    <row r="544" customFormat="1" ht="24.95" customHeight="1" x14ac:dyDescent="0.25"/>
    <row r="545" customFormat="1" ht="24.95" customHeight="1" x14ac:dyDescent="0.25"/>
    <row r="546" customFormat="1" ht="24.95" customHeight="1" x14ac:dyDescent="0.25"/>
    <row r="547" customFormat="1" ht="24.95" customHeight="1" x14ac:dyDescent="0.25"/>
    <row r="548" customFormat="1" ht="24.95" customHeight="1" x14ac:dyDescent="0.25"/>
    <row r="549" customFormat="1" ht="24.95" customHeight="1" x14ac:dyDescent="0.25"/>
    <row r="550" customFormat="1" ht="24.95" customHeight="1" x14ac:dyDescent="0.25"/>
    <row r="551" customFormat="1" ht="24.95" customHeight="1" x14ac:dyDescent="0.25"/>
    <row r="552" customFormat="1" ht="24.95" customHeight="1" x14ac:dyDescent="0.25"/>
    <row r="553" customFormat="1" ht="24.95" customHeight="1" x14ac:dyDescent="0.25"/>
    <row r="554" customFormat="1" ht="24.95" customHeight="1" x14ac:dyDescent="0.25"/>
    <row r="555" customFormat="1" ht="24.95" customHeight="1" x14ac:dyDescent="0.25"/>
    <row r="556" customFormat="1" ht="24.95" customHeight="1" x14ac:dyDescent="0.25"/>
    <row r="557" customFormat="1" ht="24.95" customHeight="1" x14ac:dyDescent="0.25"/>
    <row r="558" customFormat="1" ht="24.95" customHeight="1" x14ac:dyDescent="0.25"/>
    <row r="559" customFormat="1" ht="24.95" customHeight="1" x14ac:dyDescent="0.25"/>
    <row r="560" customFormat="1" ht="24.95" customHeight="1" x14ac:dyDescent="0.25"/>
    <row r="561" customFormat="1" ht="24.95" customHeight="1" x14ac:dyDescent="0.25"/>
    <row r="562" customFormat="1" ht="24.95" customHeight="1" x14ac:dyDescent="0.25"/>
    <row r="563" customFormat="1" ht="24.95" customHeight="1" x14ac:dyDescent="0.25"/>
    <row r="564" customFormat="1" ht="24.95" customHeight="1" x14ac:dyDescent="0.25"/>
    <row r="565" customFormat="1" ht="24.95" customHeight="1" x14ac:dyDescent="0.25"/>
    <row r="566" customFormat="1" ht="24.95" customHeight="1" x14ac:dyDescent="0.25"/>
    <row r="567" customFormat="1" ht="24.95" customHeight="1" x14ac:dyDescent="0.25"/>
    <row r="568" customFormat="1" ht="24.95" customHeight="1" x14ac:dyDescent="0.25"/>
    <row r="569" customFormat="1" ht="24.95" customHeight="1" x14ac:dyDescent="0.25"/>
    <row r="570" customFormat="1" ht="24.95" customHeight="1" x14ac:dyDescent="0.25"/>
    <row r="571" customFormat="1" ht="24.95" customHeight="1" x14ac:dyDescent="0.25"/>
    <row r="572" customFormat="1" ht="24.95" customHeight="1" x14ac:dyDescent="0.25"/>
    <row r="573" customFormat="1" ht="24.95" customHeight="1" x14ac:dyDescent="0.25"/>
    <row r="574" customFormat="1" ht="24.95" customHeight="1" x14ac:dyDescent="0.25"/>
    <row r="575" customFormat="1" ht="24.95" customHeight="1" x14ac:dyDescent="0.25"/>
    <row r="576" customFormat="1" ht="24.95" customHeight="1" x14ac:dyDescent="0.25"/>
    <row r="577" customFormat="1" ht="24.95" customHeight="1" x14ac:dyDescent="0.25"/>
    <row r="578" customFormat="1" ht="24.95" customHeight="1" x14ac:dyDescent="0.25"/>
    <row r="579" customFormat="1" ht="24.95" customHeight="1" x14ac:dyDescent="0.25"/>
    <row r="580" customFormat="1" ht="24.95" customHeight="1" x14ac:dyDescent="0.25"/>
    <row r="581" customFormat="1" ht="24.95" customHeight="1" x14ac:dyDescent="0.25"/>
    <row r="582" customFormat="1" ht="24.95" customHeight="1" x14ac:dyDescent="0.25"/>
    <row r="583" customFormat="1" ht="24.95" customHeight="1" x14ac:dyDescent="0.25"/>
    <row r="584" customFormat="1" ht="24.95" customHeight="1" x14ac:dyDescent="0.25"/>
    <row r="585" customFormat="1" ht="24.95" customHeight="1" x14ac:dyDescent="0.25"/>
    <row r="586" customFormat="1" ht="24.95" customHeight="1" x14ac:dyDescent="0.25"/>
    <row r="587" customFormat="1" ht="24.95" customHeight="1" x14ac:dyDescent="0.25"/>
    <row r="588" customFormat="1" ht="24.95" customHeight="1" x14ac:dyDescent="0.25"/>
    <row r="589" customFormat="1" ht="24.95" customHeight="1" x14ac:dyDescent="0.25"/>
    <row r="590" customFormat="1" ht="24.95" customHeight="1" x14ac:dyDescent="0.25"/>
    <row r="591" customFormat="1" ht="24.95" customHeight="1" x14ac:dyDescent="0.25"/>
    <row r="592" customFormat="1" ht="24.95" customHeight="1" x14ac:dyDescent="0.25"/>
    <row r="593" customFormat="1" ht="24.95" customHeight="1" x14ac:dyDescent="0.25"/>
    <row r="594" customFormat="1" ht="24.95" customHeight="1" x14ac:dyDescent="0.25"/>
    <row r="595" customFormat="1" ht="24.95" customHeight="1" x14ac:dyDescent="0.25"/>
    <row r="596" customFormat="1" ht="24.95" customHeight="1" x14ac:dyDescent="0.25"/>
    <row r="597" customFormat="1" ht="24.95" customHeight="1" x14ac:dyDescent="0.25"/>
    <row r="598" customFormat="1" ht="24.95" customHeight="1" x14ac:dyDescent="0.25"/>
    <row r="599" customFormat="1" ht="24.95" customHeight="1" x14ac:dyDescent="0.25"/>
    <row r="600" customFormat="1" ht="24.95" customHeight="1" x14ac:dyDescent="0.25"/>
    <row r="601" customFormat="1" ht="24.95" customHeight="1" x14ac:dyDescent="0.25"/>
    <row r="602" customFormat="1" ht="24.95" customHeight="1" x14ac:dyDescent="0.25"/>
    <row r="603" customFormat="1" ht="24.95" customHeight="1" x14ac:dyDescent="0.25"/>
    <row r="604" customFormat="1" ht="24.95" customHeight="1" x14ac:dyDescent="0.25"/>
    <row r="605" customFormat="1" ht="24.95" customHeight="1" x14ac:dyDescent="0.25"/>
    <row r="606" customFormat="1" ht="24.95" customHeight="1" x14ac:dyDescent="0.25"/>
    <row r="607" customFormat="1" ht="24.95" customHeight="1" x14ac:dyDescent="0.25"/>
    <row r="608" customFormat="1" ht="24.95" customHeight="1" x14ac:dyDescent="0.25"/>
    <row r="609" customFormat="1" ht="24.95" customHeight="1" x14ac:dyDescent="0.25"/>
    <row r="610" customFormat="1" ht="24.95" customHeight="1" x14ac:dyDescent="0.25"/>
    <row r="611" customFormat="1" ht="24.95" customHeight="1" x14ac:dyDescent="0.25"/>
    <row r="612" customFormat="1" ht="24.95" customHeight="1" x14ac:dyDescent="0.25"/>
    <row r="613" customFormat="1" ht="24.95" customHeight="1" x14ac:dyDescent="0.25"/>
    <row r="614" customFormat="1" ht="24.95" customHeight="1" x14ac:dyDescent="0.25"/>
    <row r="615" customFormat="1" ht="24.95" customHeight="1" x14ac:dyDescent="0.25"/>
    <row r="616" customFormat="1" ht="24.95" customHeight="1" x14ac:dyDescent="0.25"/>
    <row r="617" customFormat="1" ht="24.95" customHeight="1" x14ac:dyDescent="0.25"/>
    <row r="618" customFormat="1" ht="24.95" customHeight="1" x14ac:dyDescent="0.25"/>
    <row r="619" customFormat="1" ht="24.95" customHeight="1" x14ac:dyDescent="0.25"/>
    <row r="620" customFormat="1" ht="24.95" customHeight="1" x14ac:dyDescent="0.25"/>
    <row r="621" customFormat="1" ht="24.95" customHeight="1" x14ac:dyDescent="0.25"/>
    <row r="622" customFormat="1" ht="24.95" customHeight="1" x14ac:dyDescent="0.25"/>
    <row r="623" customFormat="1" ht="24.95" customHeight="1" x14ac:dyDescent="0.25"/>
    <row r="624" customFormat="1" ht="24.95" customHeight="1" x14ac:dyDescent="0.25"/>
    <row r="625" customFormat="1" ht="24.95" customHeight="1" x14ac:dyDescent="0.25"/>
    <row r="626" customFormat="1" ht="24.95" customHeight="1" x14ac:dyDescent="0.25"/>
    <row r="627" customFormat="1" ht="24.95" customHeight="1" x14ac:dyDescent="0.25"/>
    <row r="628" customFormat="1" ht="24.95" customHeight="1" x14ac:dyDescent="0.25"/>
    <row r="629" customFormat="1" ht="24.95" customHeight="1" x14ac:dyDescent="0.25"/>
    <row r="630" customFormat="1" ht="24.95" customHeight="1" x14ac:dyDescent="0.25"/>
    <row r="631" customFormat="1" ht="24.95" customHeight="1" x14ac:dyDescent="0.25"/>
    <row r="632" customFormat="1" ht="24.95" customHeight="1" x14ac:dyDescent="0.25"/>
    <row r="633" customFormat="1" ht="24.95" customHeight="1" x14ac:dyDescent="0.25"/>
    <row r="634" customFormat="1" ht="24.95" customHeight="1" x14ac:dyDescent="0.25"/>
    <row r="635" customFormat="1" ht="24.95" customHeight="1" x14ac:dyDescent="0.25"/>
    <row r="636" customFormat="1" ht="24.95" customHeight="1" x14ac:dyDescent="0.25"/>
    <row r="637" customFormat="1" ht="24.95" customHeight="1" x14ac:dyDescent="0.25"/>
    <row r="638" customFormat="1" ht="24.95" customHeight="1" x14ac:dyDescent="0.25"/>
    <row r="639" customFormat="1" ht="24.95" customHeight="1" x14ac:dyDescent="0.25"/>
    <row r="640" customFormat="1" ht="24.95" customHeight="1" x14ac:dyDescent="0.25"/>
    <row r="641" customFormat="1" ht="24.95" customHeight="1" x14ac:dyDescent="0.25"/>
    <row r="642" customFormat="1" ht="24.95" customHeight="1" x14ac:dyDescent="0.25"/>
    <row r="643" customFormat="1" ht="24.95" customHeight="1" x14ac:dyDescent="0.25"/>
    <row r="644" customFormat="1" ht="24.95" customHeight="1" x14ac:dyDescent="0.25"/>
    <row r="645" customFormat="1" ht="24.95" customHeight="1" x14ac:dyDescent="0.25"/>
    <row r="646" customFormat="1" ht="24.95" customHeight="1" x14ac:dyDescent="0.25"/>
    <row r="647" customFormat="1" ht="24.95" customHeight="1" x14ac:dyDescent="0.25"/>
    <row r="648" customFormat="1" ht="24.95" customHeight="1" x14ac:dyDescent="0.25"/>
    <row r="649" customFormat="1" ht="24.95" customHeight="1" x14ac:dyDescent="0.25"/>
    <row r="650" customFormat="1" ht="24.95" customHeight="1" x14ac:dyDescent="0.25"/>
    <row r="651" customFormat="1" ht="24.95" customHeight="1" x14ac:dyDescent="0.25"/>
    <row r="652" customFormat="1" ht="24.95" customHeight="1" x14ac:dyDescent="0.25"/>
    <row r="653" customFormat="1" ht="24.95" customHeight="1" x14ac:dyDescent="0.25"/>
    <row r="654" customFormat="1" ht="24.95" customHeight="1" x14ac:dyDescent="0.25"/>
    <row r="655" customFormat="1" ht="24.95" customHeight="1" x14ac:dyDescent="0.25"/>
    <row r="656" customFormat="1" ht="24.95" customHeight="1" x14ac:dyDescent="0.25"/>
    <row r="657" customFormat="1" ht="24.95" customHeight="1" x14ac:dyDescent="0.25"/>
    <row r="658" customFormat="1" ht="24.95" customHeight="1" x14ac:dyDescent="0.25"/>
    <row r="659" customFormat="1" ht="24.95" customHeight="1" x14ac:dyDescent="0.25"/>
    <row r="660" customFormat="1" ht="24.95" customHeight="1" x14ac:dyDescent="0.25"/>
    <row r="661" customFormat="1" ht="24.95" customHeight="1" x14ac:dyDescent="0.25"/>
    <row r="662" customFormat="1" ht="24.95" customHeight="1" x14ac:dyDescent="0.25"/>
    <row r="663" customFormat="1" ht="24.95" customHeight="1" x14ac:dyDescent="0.25"/>
    <row r="664" customFormat="1" ht="24.95" customHeight="1" x14ac:dyDescent="0.25"/>
    <row r="665" customFormat="1" ht="24.95" customHeight="1" x14ac:dyDescent="0.25"/>
    <row r="666" customFormat="1" ht="24.95" customHeight="1" x14ac:dyDescent="0.25"/>
    <row r="667" customFormat="1" ht="24.95" customHeight="1" x14ac:dyDescent="0.25"/>
    <row r="668" customFormat="1" ht="24.95" customHeight="1" x14ac:dyDescent="0.25"/>
    <row r="669" customFormat="1" ht="24.95" customHeight="1" x14ac:dyDescent="0.25"/>
    <row r="670" customFormat="1" ht="24.95" customHeight="1" x14ac:dyDescent="0.25"/>
    <row r="671" customFormat="1" ht="24.95" customHeight="1" x14ac:dyDescent="0.25"/>
    <row r="672" customFormat="1" ht="24.95" customHeight="1" x14ac:dyDescent="0.25"/>
    <row r="673" customFormat="1" ht="24.95" customHeight="1" x14ac:dyDescent="0.25"/>
    <row r="674" customFormat="1" ht="24.95" customHeight="1" x14ac:dyDescent="0.25"/>
    <row r="675" customFormat="1" ht="24.95" customHeight="1" x14ac:dyDescent="0.25"/>
    <row r="676" customFormat="1" ht="24.95" customHeight="1" x14ac:dyDescent="0.25"/>
    <row r="677" customFormat="1" ht="24.95" customHeight="1" x14ac:dyDescent="0.25"/>
    <row r="678" customFormat="1" ht="24.95" customHeight="1" x14ac:dyDescent="0.25"/>
    <row r="679" customFormat="1" ht="24.95" customHeight="1" x14ac:dyDescent="0.25"/>
    <row r="680" customFormat="1" ht="24.95" customHeight="1" x14ac:dyDescent="0.25"/>
    <row r="681" customFormat="1" ht="24.95" customHeight="1" x14ac:dyDescent="0.25"/>
    <row r="682" customFormat="1" ht="24.95" customHeight="1" x14ac:dyDescent="0.25"/>
    <row r="683" customFormat="1" ht="24.95" customHeight="1" x14ac:dyDescent="0.25"/>
    <row r="684" customFormat="1" ht="24.95" customHeight="1" x14ac:dyDescent="0.25"/>
    <row r="685" customFormat="1" ht="24.95" customHeight="1" x14ac:dyDescent="0.25"/>
    <row r="686" customFormat="1" ht="24.95" customHeight="1" x14ac:dyDescent="0.25"/>
    <row r="687" customFormat="1" ht="24.95" customHeight="1" x14ac:dyDescent="0.25"/>
    <row r="688" customFormat="1" ht="24.95" customHeight="1" x14ac:dyDescent="0.25"/>
    <row r="689" customFormat="1" ht="24.95" customHeight="1" x14ac:dyDescent="0.25"/>
    <row r="690" customFormat="1" ht="24.95" customHeight="1" x14ac:dyDescent="0.25"/>
    <row r="691" customFormat="1" ht="24.95" customHeight="1" x14ac:dyDescent="0.25"/>
    <row r="692" customFormat="1" ht="24.95" customHeight="1" x14ac:dyDescent="0.25"/>
    <row r="693" customFormat="1" ht="24.95" customHeight="1" x14ac:dyDescent="0.25"/>
    <row r="694" customFormat="1" ht="24.95" customHeight="1" x14ac:dyDescent="0.25"/>
    <row r="695" customFormat="1" ht="24.95" customHeight="1" x14ac:dyDescent="0.25"/>
    <row r="696" customFormat="1" ht="24.95" customHeight="1" x14ac:dyDescent="0.25"/>
    <row r="697" customFormat="1" ht="24.95" customHeight="1" x14ac:dyDescent="0.25"/>
    <row r="698" customFormat="1" ht="24.95" customHeight="1" x14ac:dyDescent="0.25"/>
    <row r="699" customFormat="1" ht="24.95" customHeight="1" x14ac:dyDescent="0.25"/>
    <row r="700" customFormat="1" ht="24.95" customHeight="1" x14ac:dyDescent="0.25"/>
    <row r="701" customFormat="1" ht="24.95" customHeight="1" x14ac:dyDescent="0.25"/>
    <row r="702" customFormat="1" ht="24.95" customHeight="1" x14ac:dyDescent="0.25"/>
    <row r="703" customFormat="1" ht="24.95" customHeight="1" x14ac:dyDescent="0.25"/>
    <row r="704" customFormat="1" ht="24.95" customHeight="1" x14ac:dyDescent="0.25"/>
    <row r="705" customFormat="1" ht="24.95" customHeight="1" x14ac:dyDescent="0.25"/>
    <row r="706" customFormat="1" ht="24.95" customHeight="1" x14ac:dyDescent="0.25"/>
    <row r="707" customFormat="1" ht="24.95" customHeight="1" x14ac:dyDescent="0.25"/>
    <row r="708" customFormat="1" ht="24.95" customHeight="1" x14ac:dyDescent="0.25"/>
    <row r="709" customFormat="1" ht="24.95" customHeight="1" x14ac:dyDescent="0.25"/>
    <row r="710" customFormat="1" ht="24.95" customHeight="1" x14ac:dyDescent="0.25"/>
    <row r="711" customFormat="1" ht="24.95" customHeight="1" x14ac:dyDescent="0.25"/>
    <row r="712" customFormat="1" ht="24.95" customHeight="1" x14ac:dyDescent="0.25"/>
    <row r="713" customFormat="1" ht="24.95" customHeight="1" x14ac:dyDescent="0.25"/>
    <row r="714" customFormat="1" ht="24.95" customHeight="1" x14ac:dyDescent="0.25"/>
    <row r="715" customFormat="1" ht="24.95" customHeight="1" x14ac:dyDescent="0.25"/>
    <row r="716" customFormat="1" ht="24.95" customHeight="1" x14ac:dyDescent="0.25"/>
    <row r="717" customFormat="1" ht="24.95" customHeight="1" x14ac:dyDescent="0.25"/>
    <row r="718" customFormat="1" ht="24.95" customHeight="1" x14ac:dyDescent="0.25"/>
    <row r="719" customFormat="1" ht="24.95" customHeight="1" x14ac:dyDescent="0.25"/>
    <row r="720" customFormat="1" ht="24.95" customHeight="1" x14ac:dyDescent="0.25"/>
    <row r="721" customFormat="1" ht="24.95" customHeight="1" x14ac:dyDescent="0.25"/>
    <row r="722" customFormat="1" ht="24.95" customHeight="1" x14ac:dyDescent="0.25"/>
    <row r="723" customFormat="1" ht="24.95" customHeight="1" x14ac:dyDescent="0.25"/>
    <row r="724" customFormat="1" ht="24.95" customHeight="1" x14ac:dyDescent="0.25"/>
    <row r="725" customFormat="1" ht="24.95" customHeight="1" x14ac:dyDescent="0.25"/>
    <row r="726" customFormat="1" ht="24.95" customHeight="1" x14ac:dyDescent="0.25"/>
    <row r="727" customFormat="1" ht="24.95" customHeight="1" x14ac:dyDescent="0.25"/>
    <row r="728" customFormat="1" ht="24.95" customHeight="1" x14ac:dyDescent="0.25"/>
    <row r="729" customFormat="1" ht="24.95" customHeight="1" x14ac:dyDescent="0.25"/>
    <row r="730" customFormat="1" ht="24.95" customHeight="1" x14ac:dyDescent="0.25"/>
    <row r="731" customFormat="1" ht="24.95" customHeight="1" x14ac:dyDescent="0.25"/>
    <row r="732" customFormat="1" ht="24.95" customHeight="1" x14ac:dyDescent="0.25"/>
    <row r="733" customFormat="1" ht="24.95" customHeight="1" x14ac:dyDescent="0.25"/>
    <row r="734" customFormat="1" ht="24.95" customHeight="1" x14ac:dyDescent="0.25"/>
    <row r="735" customFormat="1" ht="24.95" customHeight="1" x14ac:dyDescent="0.25"/>
    <row r="736" customFormat="1" ht="24.95" customHeight="1" x14ac:dyDescent="0.25"/>
    <row r="737" customFormat="1" ht="24.95" customHeight="1" x14ac:dyDescent="0.25"/>
    <row r="738" customFormat="1" ht="24.95" customHeight="1" x14ac:dyDescent="0.25"/>
    <row r="739" customFormat="1" ht="24.95" customHeight="1" x14ac:dyDescent="0.25"/>
    <row r="740" customFormat="1" ht="24.95" customHeight="1" x14ac:dyDescent="0.25"/>
    <row r="741" customFormat="1" ht="24.95" customHeight="1" x14ac:dyDescent="0.25"/>
    <row r="742" customFormat="1" ht="24.95" customHeight="1" x14ac:dyDescent="0.25"/>
    <row r="743" customFormat="1" ht="24.95" customHeight="1" x14ac:dyDescent="0.25"/>
    <row r="744" customFormat="1" ht="24.95" customHeight="1" x14ac:dyDescent="0.25"/>
    <row r="745" customFormat="1" ht="24.95" customHeight="1" x14ac:dyDescent="0.25"/>
    <row r="746" customFormat="1" ht="24.95" customHeight="1" x14ac:dyDescent="0.25"/>
    <row r="747" customFormat="1" ht="24.95" customHeight="1" x14ac:dyDescent="0.25"/>
    <row r="748" customFormat="1" ht="24.95" customHeight="1" x14ac:dyDescent="0.25"/>
    <row r="749" customFormat="1" ht="24.95" customHeight="1" x14ac:dyDescent="0.25"/>
    <row r="750" customFormat="1" ht="24.95" customHeight="1" x14ac:dyDescent="0.25"/>
    <row r="751" customFormat="1" ht="24.95" customHeight="1" x14ac:dyDescent="0.25"/>
    <row r="752" customFormat="1" ht="24.95" customHeight="1" x14ac:dyDescent="0.25"/>
    <row r="753" customFormat="1" ht="24.95" customHeight="1" x14ac:dyDescent="0.25"/>
    <row r="754" customFormat="1" ht="24.95" customHeight="1" x14ac:dyDescent="0.25"/>
    <row r="755" customFormat="1" ht="24.95" customHeight="1" x14ac:dyDescent="0.25"/>
    <row r="756" customFormat="1" ht="24.95" customHeight="1" x14ac:dyDescent="0.25"/>
    <row r="757" customFormat="1" ht="24.95" customHeight="1" x14ac:dyDescent="0.25"/>
    <row r="758" customFormat="1" ht="24.95" customHeight="1" x14ac:dyDescent="0.25"/>
    <row r="759" customFormat="1" ht="24.95" customHeight="1" x14ac:dyDescent="0.25"/>
    <row r="760" customFormat="1" ht="24.95" customHeight="1" x14ac:dyDescent="0.25"/>
    <row r="761" customFormat="1" ht="24.95" customHeight="1" x14ac:dyDescent="0.25"/>
    <row r="762" customFormat="1" ht="24.95" customHeight="1" x14ac:dyDescent="0.25"/>
    <row r="763" customFormat="1" ht="24.95" customHeight="1" x14ac:dyDescent="0.25"/>
    <row r="764" customFormat="1" ht="24.95" customHeight="1" x14ac:dyDescent="0.25"/>
    <row r="765" customFormat="1" ht="24.95" customHeight="1" x14ac:dyDescent="0.25"/>
    <row r="766" customFormat="1" ht="24.95" customHeight="1" x14ac:dyDescent="0.25"/>
    <row r="767" customFormat="1" ht="24.95" customHeight="1" x14ac:dyDescent="0.25"/>
    <row r="768" customFormat="1" ht="24.95" customHeight="1" x14ac:dyDescent="0.25"/>
    <row r="769" customFormat="1" ht="24.95" customHeight="1" x14ac:dyDescent="0.25"/>
    <row r="770" customFormat="1" ht="24.95" customHeight="1" x14ac:dyDescent="0.25"/>
    <row r="771" customFormat="1" ht="24.95" customHeight="1" x14ac:dyDescent="0.25"/>
    <row r="772" customFormat="1" ht="24.95" customHeight="1" x14ac:dyDescent="0.25"/>
    <row r="773" customFormat="1" ht="24.95" customHeight="1" x14ac:dyDescent="0.25"/>
    <row r="774" customFormat="1" ht="24.95" customHeight="1" x14ac:dyDescent="0.25"/>
    <row r="775" customFormat="1" ht="24.95" customHeight="1" x14ac:dyDescent="0.25"/>
    <row r="776" customFormat="1" ht="24.95" customHeight="1" x14ac:dyDescent="0.25"/>
    <row r="777" customFormat="1" ht="24.95" customHeight="1" x14ac:dyDescent="0.25"/>
    <row r="778" customFormat="1" ht="24.95" customHeight="1" x14ac:dyDescent="0.25"/>
    <row r="779" customFormat="1" ht="24.95" customHeight="1" x14ac:dyDescent="0.25"/>
    <row r="780" customFormat="1" ht="24.95" customHeight="1" x14ac:dyDescent="0.25"/>
    <row r="781" customFormat="1" ht="24.95" customHeight="1" x14ac:dyDescent="0.25"/>
    <row r="782" customFormat="1" ht="24.95" customHeight="1" x14ac:dyDescent="0.25"/>
    <row r="783" customFormat="1" ht="24.95" customHeight="1" x14ac:dyDescent="0.25"/>
    <row r="784" customFormat="1" ht="24.95" customHeight="1" x14ac:dyDescent="0.25"/>
    <row r="785" customFormat="1" ht="24.95" customHeight="1" x14ac:dyDescent="0.25"/>
    <row r="786" customFormat="1" ht="24.95" customHeight="1" x14ac:dyDescent="0.25"/>
    <row r="787" customFormat="1" ht="24.95" customHeight="1" x14ac:dyDescent="0.25"/>
    <row r="788" customFormat="1" ht="24.95" customHeight="1" x14ac:dyDescent="0.25"/>
    <row r="789" customFormat="1" ht="24.95" customHeight="1" x14ac:dyDescent="0.25"/>
    <row r="790" customFormat="1" ht="24.95" customHeight="1" x14ac:dyDescent="0.25"/>
    <row r="791" customFormat="1" ht="24.95" customHeight="1" x14ac:dyDescent="0.25"/>
    <row r="792" customFormat="1" ht="24.95" customHeight="1" x14ac:dyDescent="0.25"/>
    <row r="793" customFormat="1" ht="24.95" customHeight="1" x14ac:dyDescent="0.25"/>
    <row r="794" customFormat="1" ht="24.95" customHeight="1" x14ac:dyDescent="0.25"/>
    <row r="795" customFormat="1" ht="24.95" customHeight="1" x14ac:dyDescent="0.25"/>
    <row r="796" customFormat="1" ht="24.95" customHeight="1" x14ac:dyDescent="0.25"/>
    <row r="797" customFormat="1" ht="24.95" customHeight="1" x14ac:dyDescent="0.25"/>
    <row r="798" customFormat="1" ht="24.95" customHeight="1" x14ac:dyDescent="0.25"/>
    <row r="799" customFormat="1" ht="24.95" customHeight="1" x14ac:dyDescent="0.25"/>
    <row r="800" customFormat="1" ht="24.95" customHeight="1" x14ac:dyDescent="0.25"/>
    <row r="801" customFormat="1" ht="24.95" customHeight="1" x14ac:dyDescent="0.25"/>
    <row r="802" customFormat="1" ht="24.95" customHeight="1" x14ac:dyDescent="0.25"/>
    <row r="803" customFormat="1" ht="24.95" customHeight="1" x14ac:dyDescent="0.25"/>
    <row r="804" customFormat="1" ht="24.95" customHeight="1" x14ac:dyDescent="0.25"/>
    <row r="805" customFormat="1" ht="24.95" customHeight="1" x14ac:dyDescent="0.25"/>
    <row r="806" customFormat="1" ht="24.95" customHeight="1" x14ac:dyDescent="0.25"/>
    <row r="807" customFormat="1" ht="24.95" customHeight="1" x14ac:dyDescent="0.25"/>
    <row r="808" customFormat="1" ht="24.95" customHeight="1" x14ac:dyDescent="0.25"/>
    <row r="809" customFormat="1" ht="24.95" customHeight="1" x14ac:dyDescent="0.25"/>
    <row r="810" customFormat="1" ht="24.95" customHeight="1" x14ac:dyDescent="0.25"/>
    <row r="811" customFormat="1" ht="24.95" customHeight="1" x14ac:dyDescent="0.25"/>
    <row r="812" customFormat="1" ht="24.95" customHeight="1" x14ac:dyDescent="0.25"/>
    <row r="813" customFormat="1" ht="24.95" customHeight="1" x14ac:dyDescent="0.25"/>
    <row r="814" customFormat="1" ht="24.95" customHeight="1" x14ac:dyDescent="0.25"/>
    <row r="815" customFormat="1" ht="24.95" customHeight="1" x14ac:dyDescent="0.25"/>
    <row r="816" customFormat="1" ht="24.95" customHeight="1" x14ac:dyDescent="0.25"/>
    <row r="817" customFormat="1" ht="24.95" customHeight="1" x14ac:dyDescent="0.25"/>
    <row r="818" customFormat="1" ht="24.95" customHeight="1" x14ac:dyDescent="0.25"/>
    <row r="819" customFormat="1" ht="24.95" customHeight="1" x14ac:dyDescent="0.25"/>
    <row r="820" customFormat="1" ht="24.95" customHeight="1" x14ac:dyDescent="0.25"/>
    <row r="821" customFormat="1" ht="24.95" customHeight="1" x14ac:dyDescent="0.25"/>
    <row r="822" customFormat="1" ht="24.95" customHeight="1" x14ac:dyDescent="0.25"/>
    <row r="823" customFormat="1" ht="24.95" customHeight="1" x14ac:dyDescent="0.25"/>
    <row r="824" customFormat="1" ht="24.95" customHeight="1" x14ac:dyDescent="0.25"/>
    <row r="825" customFormat="1" ht="24.95" customHeight="1" x14ac:dyDescent="0.25"/>
    <row r="826" customFormat="1" ht="24.95" customHeight="1" x14ac:dyDescent="0.25"/>
    <row r="827" customFormat="1" ht="24.95" customHeight="1" x14ac:dyDescent="0.25"/>
    <row r="828" customFormat="1" ht="24.95" customHeight="1" x14ac:dyDescent="0.25"/>
    <row r="829" customFormat="1" ht="24.95" customHeight="1" x14ac:dyDescent="0.25"/>
    <row r="830" customFormat="1" ht="24.95" customHeight="1" x14ac:dyDescent="0.25"/>
    <row r="831" customFormat="1" ht="24.95" customHeight="1" x14ac:dyDescent="0.25"/>
    <row r="832" customFormat="1" ht="24.95" customHeight="1" x14ac:dyDescent="0.25"/>
    <row r="833" customFormat="1" ht="24.95" customHeight="1" x14ac:dyDescent="0.25"/>
    <row r="834" customFormat="1" ht="24.95" customHeight="1" x14ac:dyDescent="0.25"/>
    <row r="835" customFormat="1" ht="24.95" customHeight="1" x14ac:dyDescent="0.25"/>
    <row r="836" customFormat="1" ht="24.95" customHeight="1" x14ac:dyDescent="0.25"/>
    <row r="837" customFormat="1" ht="24.95" customHeight="1" x14ac:dyDescent="0.25"/>
    <row r="838" customFormat="1" ht="24.95" customHeight="1" x14ac:dyDescent="0.25"/>
    <row r="839" customFormat="1" ht="24.95" customHeight="1" x14ac:dyDescent="0.25"/>
    <row r="840" customFormat="1" ht="24.95" customHeight="1" x14ac:dyDescent="0.25"/>
    <row r="841" customFormat="1" ht="24.95" customHeight="1" x14ac:dyDescent="0.25"/>
    <row r="842" customFormat="1" ht="24.95" customHeight="1" x14ac:dyDescent="0.25"/>
    <row r="843" customFormat="1" ht="24.95" customHeight="1" x14ac:dyDescent="0.25"/>
    <row r="844" customFormat="1" ht="24.95" customHeight="1" x14ac:dyDescent="0.25"/>
    <row r="845" customFormat="1" ht="24.95" customHeight="1" x14ac:dyDescent="0.25"/>
    <row r="846" customFormat="1" ht="24.95" customHeight="1" x14ac:dyDescent="0.25"/>
    <row r="847" customFormat="1" ht="24.95" customHeight="1" x14ac:dyDescent="0.25"/>
    <row r="848" customFormat="1" ht="24.95" customHeight="1" x14ac:dyDescent="0.25"/>
    <row r="849" customFormat="1" ht="24.95" customHeight="1" x14ac:dyDescent="0.25"/>
    <row r="850" customFormat="1" ht="24.95" customHeight="1" x14ac:dyDescent="0.25"/>
    <row r="851" customFormat="1" ht="24.95" customHeight="1" x14ac:dyDescent="0.25"/>
    <row r="852" customFormat="1" ht="24.95" customHeight="1" x14ac:dyDescent="0.25"/>
    <row r="853" customFormat="1" ht="24.95" customHeight="1" x14ac:dyDescent="0.25"/>
    <row r="854" customFormat="1" ht="24.95" customHeight="1" x14ac:dyDescent="0.25"/>
    <row r="855" customFormat="1" ht="24.95" customHeight="1" x14ac:dyDescent="0.25"/>
    <row r="856" customFormat="1" ht="24.95" customHeight="1" x14ac:dyDescent="0.25"/>
    <row r="857" customFormat="1" ht="24.95" customHeight="1" x14ac:dyDescent="0.25"/>
    <row r="858" customFormat="1" ht="24.95" customHeight="1" x14ac:dyDescent="0.25"/>
    <row r="859" customFormat="1" ht="24.95" customHeight="1" x14ac:dyDescent="0.25"/>
    <row r="860" customFormat="1" ht="24.95" customHeight="1" x14ac:dyDescent="0.25"/>
    <row r="861" customFormat="1" ht="24.95" customHeight="1" x14ac:dyDescent="0.25"/>
    <row r="862" customFormat="1" ht="24.95" customHeight="1" x14ac:dyDescent="0.25"/>
    <row r="863" customFormat="1" ht="24.95" customHeight="1" x14ac:dyDescent="0.25"/>
    <row r="864" customFormat="1" ht="24.95" customHeight="1" x14ac:dyDescent="0.25"/>
    <row r="865" spans="25:45" ht="24.95" customHeight="1" x14ac:dyDescent="0.25"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</row>
    <row r="866" spans="25:45" ht="24.95" customHeight="1" x14ac:dyDescent="0.25"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</row>
    <row r="867" spans="25:45" ht="24.95" customHeight="1" x14ac:dyDescent="0.25"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</row>
    <row r="868" spans="25:45" ht="24.95" customHeight="1" x14ac:dyDescent="0.25"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</row>
    <row r="869" spans="25:45" ht="24.95" customHeight="1" x14ac:dyDescent="0.25"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</row>
    <row r="870" spans="25:45" ht="24.95" customHeight="1" x14ac:dyDescent="0.25"/>
    <row r="871" spans="25:45" ht="24.95" customHeight="1" x14ac:dyDescent="0.25"/>
    <row r="872" spans="25:45" ht="24.95" customHeight="1" x14ac:dyDescent="0.25"/>
    <row r="873" spans="25:45" ht="24.95" customHeight="1" x14ac:dyDescent="0.25"/>
    <row r="874" spans="25:45" ht="24.95" customHeight="1" x14ac:dyDescent="0.25"/>
    <row r="875" spans="25:45" ht="24.95" customHeight="1" x14ac:dyDescent="0.25"/>
    <row r="876" spans="25:45" ht="24.95" customHeight="1" x14ac:dyDescent="0.25"/>
    <row r="877" spans="25:45" ht="24.95" customHeight="1" x14ac:dyDescent="0.25"/>
    <row r="878" spans="25:45" ht="24.95" customHeight="1" x14ac:dyDescent="0.25"/>
    <row r="879" spans="25:45" ht="24.95" customHeight="1" x14ac:dyDescent="0.25"/>
    <row r="880" spans="25:45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C1:AS1">
    <sortState ref="C2:AS11">
      <sortCondition ref="C1"/>
    </sortState>
  </autoFilter>
  <phoneticPr fontId="53" type="noConversion"/>
  <conditionalFormatting sqref="F1:F11">
    <cfRule type="colorScale" priority="79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H1:H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7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J1:J1048576">
    <cfRule type="colorScale" priority="6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K1:K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{D15E8FDA-D0B8-46CA-B999-66B48B73CCF2}</x14:id>
        </ext>
      </extLst>
    </cfRule>
  </conditionalFormatting>
  <conditionalFormatting sqref="P1:P10485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{C0F4401D-09EC-49FA-9D9F-1AC315512980}</x14:id>
        </ext>
      </extLst>
    </cfRule>
    <cfRule type="iconSet" priority="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iconSet" priority="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{A92B0633-041B-4D9B-9386-45D85FFCC56A}</x14:id>
        </ext>
      </extLst>
    </cfRule>
  </conditionalFormatting>
  <conditionalFormatting sqref="M1:M1048576">
    <cfRule type="iconSet" priority="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{E52F7FF7-E876-4B0B-A8FD-464358BABF1D}</x14:id>
        </ext>
      </extLst>
    </cfRule>
  </conditionalFormatting>
  <conditionalFormatting sqref="N1:N1048576">
    <cfRule type="iconSet" priority="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{7ACF3AC7-8957-4A74-8587-39FE5FBD4900}</x14:id>
        </ext>
      </extLst>
    </cfRule>
  </conditionalFormatting>
  <conditionalFormatting sqref="O1:O1048576">
    <cfRule type="iconSet" priority="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{37ACA1D4-4FF3-4351-805D-ECCB82064D64}</x14:id>
        </ext>
      </extLst>
    </cfRule>
  </conditionalFormatting>
  <conditionalFormatting sqref="U1:U1048576">
    <cfRule type="iconSet" priority="1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{8BC5F3CC-3DA9-49AF-AE48-0E177661C5E4}</x14:id>
        </ext>
      </extLst>
    </cfRule>
  </conditionalFormatting>
  <conditionalFormatting sqref="Q1:Q1048576"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iconSet" priority="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iconSet" priority="237159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71600">
      <dataBar>
        <cfvo type="min"/>
        <cfvo type="max"/>
        <color rgb="FF920003"/>
      </dataBar>
      <extLst>
        <ext xmlns:x14="http://schemas.microsoft.com/office/spreadsheetml/2009/9/main" uri="{B025F937-C7B1-47D3-B67F-A62EFF666E3E}">
          <x14:id>{B2261D2F-2D6F-47AD-8594-ADA1B2EF375F}</x14:id>
        </ext>
      </extLst>
    </cfRule>
  </conditionalFormatting>
  <conditionalFormatting sqref="X1:X1048576">
    <cfRule type="iconSet" priority="2">
      <iconSet iconSet="3Arrows">
        <cfvo type="percent" val="0"/>
        <cfvo type="num" val="6.7"/>
        <cfvo type="num" val="7"/>
      </iconSet>
    </cfRule>
    <cfRule type="colorScale" priority="4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W2:W11">
    <cfRule type="colorScale" priority="2440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5E8FDA-D0B8-46CA-B999-66B48B73CC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C0F4401D-09EC-49FA-9D9F-1AC315512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A92B0633-041B-4D9B-9386-45D85FFCC5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E52F7FF7-E876-4B0B-A8FD-464358BABF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ACF3AC7-8957-4A74-8587-39FE5FBD49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7ACA1D4-4FF3-4351-805D-ECCB82064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8BC5F3CC-3DA9-49AF-AE48-0E177661C5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B2261D2F-2D6F-47AD-8594-ADA1B2EF375F}">
            <x14:dataBar minLength="0" maxLength="100" border="1" gradient="0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>
    <tabColor rgb="FF19C3FF"/>
  </sheetPr>
  <dimension ref="A1:GH1001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5.85546875" bestFit="1" customWidth="1"/>
    <col min="5" max="5" width="15.7109375" customWidth="1"/>
    <col min="6" max="6" width="18.28515625" customWidth="1"/>
    <col min="7" max="7" width="11.140625" customWidth="1"/>
    <col min="8" max="11" width="15.7109375" customWidth="1"/>
    <col min="12" max="14" width="15.7109375" style="13" customWidth="1"/>
    <col min="15" max="41" width="18.7109375" customWidth="1"/>
    <col min="42" max="43" width="20.7109375" customWidth="1"/>
    <col min="44" max="47" width="20.7109375" style="13" customWidth="1"/>
    <col min="48" max="124" width="20.7109375" customWidth="1"/>
    <col min="125" max="125" width="20.7109375" style="190" customWidth="1"/>
    <col min="126" max="127" width="20.7109375" customWidth="1"/>
    <col min="128" max="130" width="20.7109375" style="13" customWidth="1"/>
    <col min="131" max="131" width="20.7109375" customWidth="1"/>
    <col min="132" max="133" width="20.7109375" style="13" customWidth="1"/>
    <col min="134" max="134" width="8.7109375" style="1" customWidth="1"/>
    <col min="135" max="141" width="11.7109375" style="1" customWidth="1"/>
    <col min="142" max="142" width="11.7109375" style="152" customWidth="1"/>
    <col min="143" max="143" width="11.5703125" style="1" bestFit="1" customWidth="1"/>
    <col min="144" max="190" width="11.7109375" style="1" customWidth="1"/>
    <col min="197" max="197" width="14.5703125" bestFit="1" customWidth="1"/>
  </cols>
  <sheetData>
    <row r="1" spans="1:190" ht="50.1" customHeight="1" thickBot="1" x14ac:dyDescent="0.3">
      <c r="A1" s="272"/>
      <c r="B1" s="4" t="s">
        <v>20</v>
      </c>
      <c r="C1" s="4" t="s">
        <v>214</v>
      </c>
      <c r="D1" s="4" t="s">
        <v>28</v>
      </c>
      <c r="E1" s="4" t="s">
        <v>1</v>
      </c>
      <c r="F1" s="85" t="s">
        <v>3</v>
      </c>
      <c r="G1" s="4" t="s">
        <v>231</v>
      </c>
      <c r="H1" s="30" t="s">
        <v>121</v>
      </c>
      <c r="I1" s="30" t="s">
        <v>420</v>
      </c>
      <c r="J1" s="30" t="s">
        <v>421</v>
      </c>
      <c r="K1" s="30" t="s">
        <v>424</v>
      </c>
      <c r="L1" s="98" t="s">
        <v>38</v>
      </c>
      <c r="M1" s="98" t="s">
        <v>417</v>
      </c>
      <c r="N1" s="98" t="s">
        <v>416</v>
      </c>
      <c r="O1" s="224" t="s">
        <v>22</v>
      </c>
      <c r="P1" s="224" t="s">
        <v>65</v>
      </c>
      <c r="Q1" s="224" t="s">
        <v>215</v>
      </c>
      <c r="R1" s="224" t="s">
        <v>150</v>
      </c>
      <c r="S1" s="224" t="s">
        <v>192</v>
      </c>
      <c r="T1" s="224" t="s">
        <v>191</v>
      </c>
      <c r="U1" s="46" t="s">
        <v>7</v>
      </c>
      <c r="V1" s="46" t="s">
        <v>473</v>
      </c>
      <c r="W1" s="46" t="s">
        <v>474</v>
      </c>
      <c r="X1" s="46" t="s">
        <v>169</v>
      </c>
      <c r="Y1" s="46" t="s">
        <v>337</v>
      </c>
      <c r="Z1" s="46" t="s">
        <v>345</v>
      </c>
      <c r="AA1" s="46" t="s">
        <v>346</v>
      </c>
      <c r="AB1" s="41" t="s">
        <v>251</v>
      </c>
      <c r="AC1" s="41" t="s">
        <v>330</v>
      </c>
      <c r="AD1" s="41" t="s">
        <v>250</v>
      </c>
      <c r="AE1" s="41" t="s">
        <v>597</v>
      </c>
      <c r="AF1" s="89" t="s">
        <v>561</v>
      </c>
      <c r="AG1" s="19" t="s">
        <v>230</v>
      </c>
      <c r="AH1" s="19" t="s">
        <v>596</v>
      </c>
      <c r="AI1" s="89" t="s">
        <v>405</v>
      </c>
      <c r="AJ1" s="52" t="s">
        <v>371</v>
      </c>
      <c r="AK1" s="52" t="s">
        <v>372</v>
      </c>
      <c r="AL1" s="52" t="s">
        <v>484</v>
      </c>
      <c r="AM1" s="52" t="s">
        <v>483</v>
      </c>
      <c r="AN1" s="153" t="s">
        <v>62</v>
      </c>
      <c r="AO1" s="153" t="s">
        <v>477</v>
      </c>
      <c r="AP1" s="37" t="s">
        <v>176</v>
      </c>
      <c r="AQ1" s="37" t="s">
        <v>216</v>
      </c>
      <c r="AR1" s="26" t="s">
        <v>340</v>
      </c>
      <c r="AS1" s="26" t="s">
        <v>341</v>
      </c>
      <c r="AT1" s="26" t="s">
        <v>297</v>
      </c>
      <c r="AU1" s="26" t="s">
        <v>380</v>
      </c>
      <c r="AV1" s="26" t="s">
        <v>105</v>
      </c>
      <c r="AW1" s="93" t="s">
        <v>182</v>
      </c>
      <c r="AX1" s="93" t="s">
        <v>111</v>
      </c>
      <c r="AY1" s="159" t="s">
        <v>247</v>
      </c>
      <c r="AZ1" s="93" t="s">
        <v>381</v>
      </c>
      <c r="BA1" s="159" t="s">
        <v>382</v>
      </c>
      <c r="BB1" s="93" t="s">
        <v>212</v>
      </c>
      <c r="BC1" s="158" t="s">
        <v>69</v>
      </c>
      <c r="BD1" s="158" t="s">
        <v>494</v>
      </c>
      <c r="BE1" s="275" t="s">
        <v>360</v>
      </c>
      <c r="BF1" s="275" t="s">
        <v>562</v>
      </c>
      <c r="BG1" s="276" t="s">
        <v>563</v>
      </c>
      <c r="BH1" s="276" t="s">
        <v>564</v>
      </c>
      <c r="BI1" s="276" t="s">
        <v>566</v>
      </c>
      <c r="BJ1" s="277" t="s">
        <v>565</v>
      </c>
      <c r="BK1" s="26" t="s">
        <v>209</v>
      </c>
      <c r="BL1" s="4" t="s">
        <v>383</v>
      </c>
      <c r="BM1" s="4" t="s">
        <v>384</v>
      </c>
      <c r="BN1" s="4" t="s">
        <v>210</v>
      </c>
      <c r="BO1" s="4" t="s">
        <v>99</v>
      </c>
      <c r="BP1" s="4" t="s">
        <v>385</v>
      </c>
      <c r="BQ1" s="4" t="s">
        <v>211</v>
      </c>
      <c r="BR1" s="4" t="s">
        <v>386</v>
      </c>
      <c r="BS1" s="4" t="s">
        <v>100</v>
      </c>
      <c r="BT1" s="18" t="s">
        <v>387</v>
      </c>
      <c r="BU1" s="18" t="s">
        <v>388</v>
      </c>
      <c r="BV1" s="18" t="s">
        <v>309</v>
      </c>
      <c r="BW1" s="18" t="s">
        <v>141</v>
      </c>
      <c r="BX1" s="100" t="s">
        <v>823</v>
      </c>
      <c r="BY1" s="100" t="s">
        <v>826</v>
      </c>
      <c r="BZ1" s="100" t="s">
        <v>446</v>
      </c>
      <c r="CA1" s="100" t="s">
        <v>827</v>
      </c>
      <c r="CB1" s="100" t="s">
        <v>824</v>
      </c>
      <c r="CC1" s="104" t="s">
        <v>241</v>
      </c>
      <c r="CD1" s="104" t="s">
        <v>238</v>
      </c>
      <c r="CE1" s="105" t="s">
        <v>239</v>
      </c>
      <c r="CF1" s="104" t="s">
        <v>240</v>
      </c>
      <c r="CG1" s="77" t="s">
        <v>193</v>
      </c>
      <c r="CH1" s="77" t="s">
        <v>194</v>
      </c>
      <c r="CI1" s="78" t="s">
        <v>195</v>
      </c>
      <c r="CJ1" s="78" t="s">
        <v>196</v>
      </c>
      <c r="CK1" s="78" t="s">
        <v>197</v>
      </c>
      <c r="CL1" s="80" t="s">
        <v>198</v>
      </c>
      <c r="CM1" s="80" t="s">
        <v>199</v>
      </c>
      <c r="CN1" s="81" t="s">
        <v>200</v>
      </c>
      <c r="CO1" s="81" t="s">
        <v>201</v>
      </c>
      <c r="CP1" s="82" t="s">
        <v>202</v>
      </c>
      <c r="CQ1" s="26" t="s">
        <v>203</v>
      </c>
      <c r="CR1" s="26" t="s">
        <v>204</v>
      </c>
      <c r="CS1" s="26" t="s">
        <v>205</v>
      </c>
      <c r="CT1" s="151" t="s">
        <v>92</v>
      </c>
      <c r="CU1" s="151" t="s">
        <v>171</v>
      </c>
      <c r="CV1" s="19" t="s">
        <v>422</v>
      </c>
      <c r="CW1" s="19" t="s">
        <v>206</v>
      </c>
      <c r="CX1" s="19" t="s">
        <v>207</v>
      </c>
      <c r="CY1" s="19" t="s">
        <v>423</v>
      </c>
      <c r="CZ1" s="88" t="s">
        <v>398</v>
      </c>
      <c r="DA1" s="88" t="s">
        <v>243</v>
      </c>
      <c r="DB1" s="19" t="s">
        <v>244</v>
      </c>
      <c r="DC1" s="19" t="s">
        <v>425</v>
      </c>
      <c r="DD1" s="19" t="s">
        <v>481</v>
      </c>
      <c r="DE1" s="22" t="s">
        <v>248</v>
      </c>
      <c r="DF1" s="22" t="s">
        <v>249</v>
      </c>
      <c r="DG1" s="40" t="s">
        <v>433</v>
      </c>
      <c r="DH1" s="40" t="s">
        <v>107</v>
      </c>
      <c r="DI1" s="40" t="s">
        <v>444</v>
      </c>
      <c r="DJ1" s="174" t="s">
        <v>445</v>
      </c>
      <c r="DK1" s="17" t="s">
        <v>443</v>
      </c>
      <c r="DL1" s="19" t="s">
        <v>450</v>
      </c>
      <c r="DM1" s="200" t="s">
        <v>428</v>
      </c>
      <c r="DN1" s="200" t="s">
        <v>429</v>
      </c>
      <c r="DO1" s="161" t="s">
        <v>350</v>
      </c>
      <c r="DP1" s="161" t="s">
        <v>351</v>
      </c>
      <c r="DQ1" s="91" t="s">
        <v>170</v>
      </c>
      <c r="DR1" s="91" t="s">
        <v>222</v>
      </c>
      <c r="DS1" s="91" t="s">
        <v>223</v>
      </c>
      <c r="DT1" s="85" t="s">
        <v>348</v>
      </c>
      <c r="DU1" s="85" t="s">
        <v>213</v>
      </c>
      <c r="DV1" s="341" t="s">
        <v>430</v>
      </c>
      <c r="DW1" s="40" t="s">
        <v>431</v>
      </c>
      <c r="DX1" s="40" t="s">
        <v>167</v>
      </c>
      <c r="DY1" s="43" t="s">
        <v>414</v>
      </c>
      <c r="DZ1" s="43" t="s">
        <v>415</v>
      </c>
      <c r="EA1" s="37" t="s">
        <v>218</v>
      </c>
      <c r="EB1" s="110" t="s">
        <v>418</v>
      </c>
      <c r="EC1" s="110" t="s">
        <v>25</v>
      </c>
      <c r="ED1" s="293" t="s">
        <v>14</v>
      </c>
      <c r="EE1" s="294" t="s">
        <v>621</v>
      </c>
      <c r="EF1" s="294" t="s">
        <v>20</v>
      </c>
      <c r="EG1" s="294" t="s">
        <v>1</v>
      </c>
      <c r="EH1" s="294" t="s">
        <v>0</v>
      </c>
      <c r="EI1" s="294" t="s">
        <v>29</v>
      </c>
      <c r="EJ1" s="294" t="s">
        <v>40</v>
      </c>
      <c r="EK1" s="294" t="s">
        <v>2</v>
      </c>
      <c r="EL1" s="294" t="s">
        <v>3</v>
      </c>
      <c r="EM1" s="294" t="s">
        <v>89</v>
      </c>
      <c r="EN1" s="294" t="s">
        <v>622</v>
      </c>
      <c r="EO1" s="294" t="s">
        <v>683</v>
      </c>
      <c r="EP1" s="294" t="s">
        <v>30</v>
      </c>
      <c r="EQ1" s="294" t="s">
        <v>684</v>
      </c>
      <c r="ER1" s="294" t="s">
        <v>685</v>
      </c>
      <c r="ES1" s="294" t="s">
        <v>6</v>
      </c>
      <c r="ET1" s="294" t="s">
        <v>4</v>
      </c>
      <c r="EU1" s="294" t="s">
        <v>165</v>
      </c>
      <c r="EV1" s="294" t="s">
        <v>179</v>
      </c>
      <c r="EW1" s="294" t="s">
        <v>7</v>
      </c>
      <c r="EX1" s="294" t="s">
        <v>166</v>
      </c>
      <c r="EY1" s="294" t="s">
        <v>646</v>
      </c>
      <c r="EZ1" s="294" t="s">
        <v>647</v>
      </c>
      <c r="FA1" s="294" t="s">
        <v>15</v>
      </c>
      <c r="FB1" s="294" t="s">
        <v>16</v>
      </c>
      <c r="FC1" s="294" t="s">
        <v>649</v>
      </c>
      <c r="FD1" s="294" t="s">
        <v>648</v>
      </c>
      <c r="FE1" s="294" t="s">
        <v>10</v>
      </c>
      <c r="FF1" s="294" t="s">
        <v>8</v>
      </c>
      <c r="FG1" s="294" t="s">
        <v>9</v>
      </c>
      <c r="FH1" s="294" t="s">
        <v>11</v>
      </c>
      <c r="FI1" s="294" t="s">
        <v>17</v>
      </c>
      <c r="FJ1" s="294" t="s">
        <v>189</v>
      </c>
      <c r="FK1" s="294" t="s">
        <v>190</v>
      </c>
      <c r="FL1" s="294" t="s">
        <v>104</v>
      </c>
      <c r="FM1" s="294" t="s">
        <v>636</v>
      </c>
      <c r="FN1" s="294" t="s">
        <v>41</v>
      </c>
      <c r="FO1" s="294" t="s">
        <v>568</v>
      </c>
      <c r="FP1" s="294" t="s">
        <v>569</v>
      </c>
      <c r="FQ1" s="294" t="s">
        <v>93</v>
      </c>
      <c r="FR1" s="294" t="s">
        <v>94</v>
      </c>
      <c r="FS1" s="294" t="s">
        <v>812</v>
      </c>
      <c r="FT1" s="294" t="s">
        <v>788</v>
      </c>
      <c r="FU1" s="294" t="s">
        <v>686</v>
      </c>
      <c r="FV1" s="294" t="s">
        <v>12</v>
      </c>
      <c r="FW1" s="294" t="s">
        <v>253</v>
      </c>
      <c r="FX1" s="294" t="s">
        <v>236</v>
      </c>
      <c r="FY1" s="294" t="s">
        <v>49</v>
      </c>
      <c r="FZ1" s="294" t="s">
        <v>48</v>
      </c>
      <c r="GA1" s="294" t="s">
        <v>63</v>
      </c>
      <c r="GB1" s="294" t="s">
        <v>264</v>
      </c>
      <c r="GC1" s="294" t="s">
        <v>624</v>
      </c>
      <c r="GD1" s="294" t="s">
        <v>167</v>
      </c>
      <c r="GE1" s="294" t="s">
        <v>5</v>
      </c>
      <c r="GF1" s="294" t="s">
        <v>103</v>
      </c>
      <c r="GG1" s="294" t="s">
        <v>18</v>
      </c>
      <c r="GH1" s="295" t="s">
        <v>643</v>
      </c>
    </row>
    <row r="2" spans="1:190" ht="24.95" customHeight="1" thickBot="1" x14ac:dyDescent="0.3">
      <c r="A2" s="29" t="str">
        <f t="shared" ref="A2:A4" si="0">ROW()-1 &amp; "º"</f>
        <v>1º</v>
      </c>
      <c r="B2" s="69" t="str">
        <f t="shared" ref="B2:B16" si="1">EF2</f>
        <v>Gustavo Henrique</v>
      </c>
      <c r="C2" s="86" t="str">
        <f t="shared" ref="C2:C16" si="2">EE2</f>
        <v>BRA</v>
      </c>
      <c r="D2" s="36" t="str">
        <f t="shared" ref="D2:D16" si="3">EH2</f>
        <v>Corinthians</v>
      </c>
      <c r="E2" s="36">
        <f t="shared" ref="E2:E16" si="4">EG2</f>
        <v>33</v>
      </c>
      <c r="F2" s="349" t="str">
        <f t="shared" ref="F2:F16" si="5">EL2</f>
        <v>159m € p/m</v>
      </c>
      <c r="G2" s="96">
        <f t="shared" ref="G2:G16" si="6">AVERAGE(H:H)</f>
        <v>41.534074074074077</v>
      </c>
      <c r="H2" s="197">
        <f t="shared" ref="H2:H16" si="7">IFERROR(EN2/90,0)</f>
        <v>40.266666666666666</v>
      </c>
      <c r="I2" s="197">
        <f t="shared" ref="I2:I16" si="8">IFERROR(IF(ISERROR(FIND("(",EO2)), VALUE(EO2), VALUE(LEFT(EO2,FIND("(",EO2)-2)) + VALUE(MID(EO2,FIND("(",EO2)+1,FIND(")",EO2)-FIND("(",EO2)-1))),0)</f>
        <v>45</v>
      </c>
      <c r="J2" s="197">
        <f t="shared" ref="J2:J16" si="9">IFERROR(EN2/I2,0)</f>
        <v>80.533333333333331</v>
      </c>
      <c r="K2" s="198">
        <f t="shared" ref="K2:K16" si="10">IFERROR(IF(ISERROR(FIND("(",EO2)), "100%", TEXT(VALUE(LEFT(EO2,FIND("(",EO2)-2)) / (VALUE(LEFT(EO2,FIND("(",EO2)-2)) + VALUE(MID(EO2,FIND("(",EO2)+1,FIND(")",EO2)-FIND("(",EO2)-1))),"0%")),0)*1</f>
        <v>0.93</v>
      </c>
      <c r="L2" s="6">
        <f t="shared" ref="L2:L16" si="11">EP2</f>
        <v>2</v>
      </c>
      <c r="M2" s="24">
        <f t="shared" ref="M2:M16" si="12">IFERROR((EN2/EP2),5400)</f>
        <v>1812</v>
      </c>
      <c r="N2" s="21">
        <f t="shared" ref="N2:N16" si="13">IFERROR((L2*1)/H2,0)</f>
        <v>4.9668874172185434E-2</v>
      </c>
      <c r="O2" s="58">
        <f t="shared" ref="O2:O16" si="14">EQ2</f>
        <v>0</v>
      </c>
      <c r="P2" s="58">
        <f t="shared" ref="P2:P16" si="15">ER2</f>
        <v>1</v>
      </c>
      <c r="Q2" s="58">
        <f t="shared" ref="Q2:Q16" si="16">O2+P2</f>
        <v>1</v>
      </c>
      <c r="R2" s="76">
        <f t="shared" ref="R2:R16" si="17">IFERROR(O2/H2,0)</f>
        <v>0</v>
      </c>
      <c r="S2" s="76">
        <f t="shared" ref="S2:S16" si="18">IFERROR(P2/H2,0)</f>
        <v>2.4834437086092717E-2</v>
      </c>
      <c r="T2" s="76">
        <f t="shared" ref="T2:T16" si="19">IFERROR((O2+P2)/H2,0)</f>
        <v>2.4834437086092717E-2</v>
      </c>
      <c r="U2" s="76">
        <f t="shared" ref="U2:U16" si="20">SUBSTITUTE(EW2,".","," )*1</f>
        <v>1.4</v>
      </c>
      <c r="V2" s="76">
        <f t="shared" ref="V2:V16" si="21">IFERROR(U2-(GE2*0.79),0)</f>
        <v>1.4</v>
      </c>
      <c r="W2" s="76">
        <f t="shared" ref="W2:W16" si="22">IFERROR(V2/H2,0)</f>
        <v>3.4768211920529798E-2</v>
      </c>
      <c r="X2" s="76">
        <f t="shared" ref="X2:X16" si="23">SUBSTITUTE(EX2,".","," )*1</f>
        <v>0.14000000000000001</v>
      </c>
      <c r="Y2" s="76">
        <f t="shared" ref="Y2:Y16" si="24">IFERROR(X2/H2,0)</f>
        <v>3.4768211920529805E-3</v>
      </c>
      <c r="Z2" s="76">
        <f t="shared" ref="Z2:Z16" si="25">IFERROR(V2+X2,0)</f>
        <v>1.54</v>
      </c>
      <c r="AA2" s="76">
        <f t="shared" ref="AA2:AA16" si="26">W2+Y2</f>
        <v>3.8245033112582781E-2</v>
      </c>
      <c r="AB2" s="6">
        <f t="shared" ref="AB2:AB16" si="27">FF2</f>
        <v>20</v>
      </c>
      <c r="AC2" s="5">
        <f t="shared" ref="AC2:AC16" si="28">IFERROR(FF2/H2,0)</f>
        <v>0.49668874172185434</v>
      </c>
      <c r="AD2" s="6">
        <f t="shared" ref="AD2:AD16" si="29">FG2</f>
        <v>6</v>
      </c>
      <c r="AE2" s="5">
        <f t="shared" ref="AE2:AE16" si="30">IFERROR(FG2/H2,0)</f>
        <v>0.1490066225165563</v>
      </c>
      <c r="AF2" s="21">
        <f t="shared" ref="AF2:AF16" si="31">IFERROR(AD2/AB2,0)</f>
        <v>0.3</v>
      </c>
      <c r="AG2" s="76">
        <f t="shared" ref="AG2:AG16" si="32">IFERROR((FF2-GE2)/(EQ2-GF2),50)</f>
        <v>50</v>
      </c>
      <c r="AH2" s="76">
        <f t="shared" ref="AH2:AH16" si="33">IFERROR((FG2-GE2)/(EQ2-GF2),50)</f>
        <v>50</v>
      </c>
      <c r="AI2" s="20">
        <f t="shared" ref="AI2:AI16" si="34">IFERROR((EQ2-GF2)/(FF2-GE2),0)</f>
        <v>0</v>
      </c>
      <c r="AJ2" s="76">
        <f t="shared" ref="AJ2:AJ16" si="35">IFERROR(EN2/FF2,700)</f>
        <v>181.2</v>
      </c>
      <c r="AK2" s="76">
        <f t="shared" ref="AK2:AK16" si="36">IFERROR(EN2/FG2,700)</f>
        <v>604</v>
      </c>
      <c r="AL2" s="76">
        <f t="shared" ref="AL2:AL16" si="37">IFERROR(EN2/EQ2,EN2)</f>
        <v>3624</v>
      </c>
      <c r="AM2" s="76">
        <f t="shared" ref="AM2:AM16" si="38">IFERROR(EN2/Q2,EN2)</f>
        <v>3624</v>
      </c>
      <c r="AN2" s="5">
        <f t="shared" ref="AN2:AN16" si="39">IFERROR(EQ2-U2,0)</f>
        <v>-1.4</v>
      </c>
      <c r="AO2" s="5">
        <f t="shared" ref="AO2:AO16" si="40">IFERROR((EQ2 -GF2)-V2,0)</f>
        <v>-1.4</v>
      </c>
      <c r="AP2" s="75">
        <f t="shared" ref="AP2:AP16" si="41">FV2</f>
        <v>0</v>
      </c>
      <c r="AQ2" s="76">
        <f t="shared" ref="AQ2:AQ16" si="42">IFERROR(AP2/H2,0)</f>
        <v>0</v>
      </c>
      <c r="AR2" s="75">
        <f t="shared" ref="AR2:AR16" si="43">FH2</f>
        <v>233</v>
      </c>
      <c r="AS2" s="75">
        <f t="shared" ref="AS2:AS16" si="44">FI2</f>
        <v>181</v>
      </c>
      <c r="AT2" s="75">
        <f t="shared" ref="AT2:AT16" si="45">AR2-AS2</f>
        <v>52</v>
      </c>
      <c r="AU2" s="76">
        <f t="shared" ref="AU2:AU16" si="46">IFERROR(AS2/H2,0)</f>
        <v>4.4950331125827816</v>
      </c>
      <c r="AV2" s="79">
        <f t="shared" ref="AV2:AV16" si="47">IFERROR((AS2*1)/AR2,0)</f>
        <v>0.77682403433476399</v>
      </c>
      <c r="AW2" s="75">
        <f t="shared" ref="AW2:AW16" si="48">FL2+EY2</f>
        <v>31</v>
      </c>
      <c r="AX2" s="75">
        <f t="shared" ref="AX2:AX16" si="49">FM2</f>
        <v>18</v>
      </c>
      <c r="AY2" s="75">
        <f t="shared" ref="AY2:AY16" si="50">FL2-FM2</f>
        <v>1</v>
      </c>
      <c r="AZ2" s="76">
        <f t="shared" ref="AZ2:AZ16" si="51">IFERROR(FM2/H2,0)</f>
        <v>0.44701986754966888</v>
      </c>
      <c r="BA2" s="76">
        <f t="shared" ref="BA2:BA16" si="52">IFERROR(AY2/H2,0)</f>
        <v>2.4834437086092717E-2</v>
      </c>
      <c r="BB2" s="79">
        <f t="shared" ref="BB2:BB16" si="53">IFERROR(AX2/AW2,0)</f>
        <v>0.58064516129032262</v>
      </c>
      <c r="BC2" s="274">
        <f t="shared" ref="BC2:BC16" si="54">EY2</f>
        <v>12</v>
      </c>
      <c r="BD2" s="273">
        <f t="shared" ref="BD2:BD16" si="55">IFERROR(BC2/H2,0)</f>
        <v>0.29801324503311261</v>
      </c>
      <c r="BE2" s="274">
        <f t="shared" ref="BE2:BE16" si="56">GA2</f>
        <v>1</v>
      </c>
      <c r="BF2" s="273">
        <f t="shared" ref="BF2:BF16" si="57">IFERROR(BE2/H2,0)</f>
        <v>2.4834437086092717E-2</v>
      </c>
      <c r="BG2" s="274">
        <f t="shared" ref="BG2:BG16" si="58">GB2</f>
        <v>1</v>
      </c>
      <c r="BH2" s="273">
        <f t="shared" ref="BH2:BH16" si="59">IFERROR(BG2/H2,0)</f>
        <v>2.4834437086092717E-2</v>
      </c>
      <c r="BI2" s="274">
        <f t="shared" ref="BI2:BI16" si="60">BE2+BG2</f>
        <v>2</v>
      </c>
      <c r="BJ2" s="79">
        <f t="shared" ref="BJ2:BJ16" si="61">IFERROR(BI2/EY2,0)</f>
        <v>0.16666666666666666</v>
      </c>
      <c r="BK2" s="76">
        <f t="shared" ref="BK2:BK16" si="62">IFERROR(EU2-EV2,0)</f>
        <v>6.2000000000000011</v>
      </c>
      <c r="BL2" s="75">
        <f t="shared" ref="BL2:BL16" si="63">FJ2</f>
        <v>84</v>
      </c>
      <c r="BM2" s="75">
        <f t="shared" ref="BM2:BM16" si="64">FK2</f>
        <v>21</v>
      </c>
      <c r="BN2" s="160">
        <f t="shared" ref="BN2:BN16" si="65">IFERROR((BM2*1)/BL2,0)</f>
        <v>0.25</v>
      </c>
      <c r="BO2" s="75">
        <f t="shared" ref="BO2:BO16" si="66">FH2+FL2+FZ2+EY2+FJ2</f>
        <v>351</v>
      </c>
      <c r="BP2" s="76">
        <f t="shared" ref="BP2:BP16" si="67">IFERROR(BO2/H2,0)</f>
        <v>8.716887417218544</v>
      </c>
      <c r="BQ2" s="75">
        <f t="shared" ref="BQ2:BQ16" si="68">FI2+FM2+FZ2+FK2</f>
        <v>223</v>
      </c>
      <c r="BR2" s="76">
        <f t="shared" ref="BR2:BR16" si="69">IFERROR(BQ2/H2,0)</f>
        <v>5.5380794701986753</v>
      </c>
      <c r="BS2" s="160">
        <f t="shared" ref="BS2:BS16" si="70">IFERROR((BQ2*1)/BO2,0)</f>
        <v>0.63532763532763536</v>
      </c>
      <c r="BT2" s="75">
        <f t="shared" ref="BT2:BT16" si="71">(FW2+FX2+FN2+FZ2+FY2)</f>
        <v>243</v>
      </c>
      <c r="BU2" s="76">
        <f t="shared" ref="BU2:BU16" si="72">IFERROR(BT2/H2,0)</f>
        <v>6.0347682119205297</v>
      </c>
      <c r="BV2" s="75">
        <f t="shared" ref="BV2:BV16" si="73">IFERROR((FK2+FM2)+(FZ2*1.5),0)</f>
        <v>43.5</v>
      </c>
      <c r="BW2" s="76">
        <f t="shared" ref="BW2:BW16" si="74">IFERROR(BV2/H2,0)</f>
        <v>1.0802980132450331</v>
      </c>
      <c r="BX2" s="322">
        <f t="shared" ref="BX2:BX16" si="75">FQ2-FO2</f>
        <v>0</v>
      </c>
      <c r="BY2" s="323">
        <f t="shared" ref="BY2:BY16" si="76">BX2/H2</f>
        <v>0</v>
      </c>
      <c r="BZ2" s="322">
        <f t="shared" ref="BZ2:BZ16" si="77">FR2-FP2</f>
        <v>0</v>
      </c>
      <c r="CA2" s="323">
        <f t="shared" ref="CA2:CA16" si="78">BZ2/H2</f>
        <v>0</v>
      </c>
      <c r="CB2" s="369">
        <f t="shared" ref="CB2:CB16" si="79">IFERROR(BZ2/BX2,0)</f>
        <v>0</v>
      </c>
      <c r="CC2" s="322">
        <f t="shared" ref="CC2:CC16" si="80">GE2</f>
        <v>0</v>
      </c>
      <c r="CD2" s="322">
        <f t="shared" ref="CD2:CD16" si="81">GF2</f>
        <v>0</v>
      </c>
      <c r="CE2" s="370">
        <f t="shared" ref="CE2:CE16" si="82">CC2-CD2</f>
        <v>0</v>
      </c>
      <c r="CF2" s="368">
        <f t="shared" ref="CF2:CF16" si="83">IFERROR((CD2*1)/CC2,0.00000001)</f>
        <v>1E-8</v>
      </c>
      <c r="CG2" s="75">
        <f t="shared" ref="CG2:CG16" si="84">FQ2+FE2+FV2+FF2+ET2+FC2+(FT2*H2)</f>
        <v>31</v>
      </c>
      <c r="CH2" s="76">
        <f t="shared" ref="CH2:CH16" si="85">IFERROR(CG2/H2,0)</f>
        <v>0.76986754966887416</v>
      </c>
      <c r="CI2" s="75">
        <f t="shared" ref="CI2:CI16" si="86">FR2+FE2+FV2+FG2+ET2+FC2</f>
        <v>17</v>
      </c>
      <c r="CJ2" s="76">
        <f t="shared" ref="CJ2:CJ16" si="87">IFERROR(CI2/H2,0)</f>
        <v>0.42218543046357615</v>
      </c>
      <c r="CK2" s="79">
        <f t="shared" ref="CK2:CK16" si="88">IFERROR((CI2*1)/CG2,0)</f>
        <v>0.54838709677419351</v>
      </c>
      <c r="CL2" s="75">
        <f t="shared" ref="CL2:CL16" si="89">IFERROR((GC2*3)+FH2+FL2+FN2+FY2+FW2+FX2+EY2,0)</f>
        <v>504</v>
      </c>
      <c r="CM2" s="76">
        <f t="shared" ref="CM2:CM16" si="90">IFERROR(CL2/H2,0)</f>
        <v>12.516556291390728</v>
      </c>
      <c r="CN2" s="75">
        <f t="shared" ref="CN2:CN16" si="91">IFERROR(FI2+FM2+FN2+FY2+FW2+FX2+FZ2,0)</f>
        <v>442</v>
      </c>
      <c r="CO2" s="76">
        <f t="shared" ref="CO2:CO16" si="92">IFERROR(CN2/H2,0)</f>
        <v>10.976821192052981</v>
      </c>
      <c r="CP2" s="79">
        <f t="shared" ref="CP2:CP16" si="93">IFERROR(CN2/CL2,0)</f>
        <v>0.87698412698412698</v>
      </c>
      <c r="CQ2" s="83">
        <f t="shared" ref="CQ2:CQ16" si="94">(CL2+CG2)+FA2</f>
        <v>2444</v>
      </c>
      <c r="CR2" s="83">
        <f t="shared" ref="CR2:CR16" si="95">IFERROR((CN2+CI2)+FB2,0)</f>
        <v>2225</v>
      </c>
      <c r="CS2" s="84">
        <f t="shared" ref="CS2:CS16" si="96">IFERROR(CR2/CQ2,0)</f>
        <v>0.91039279869067102</v>
      </c>
      <c r="CT2" s="75">
        <f t="shared" ref="CT2:CT16" si="97">FE2</f>
        <v>2</v>
      </c>
      <c r="CU2" s="76">
        <f t="shared" ref="CU2:CU16" si="98">IFERROR(CT2/H2,0)</f>
        <v>4.9668874172185434E-2</v>
      </c>
      <c r="CV2" s="75">
        <f t="shared" ref="CV2:CV16" si="99">IFERROR(FC2+ET2+FR2,0)</f>
        <v>9</v>
      </c>
      <c r="CW2" s="76">
        <f t="shared" ref="CW2:CW16" si="100">IFERROR(CV2/H2,0)</f>
        <v>0.22350993377483444</v>
      </c>
      <c r="CX2" s="75">
        <f t="shared" ref="CX2:CX16" si="101">IFERROR(FF2+ET2+FC2,0)</f>
        <v>29</v>
      </c>
      <c r="CY2" s="76">
        <f t="shared" ref="CY2:CY16" si="102">IFERROR(CX2/H2,0)</f>
        <v>0.72019867549668881</v>
      </c>
      <c r="CZ2" s="75">
        <f t="shared" ref="CZ2:CZ16" si="103">IFERROR(DA2*H2,0)</f>
        <v>0</v>
      </c>
      <c r="DA2" s="76">
        <f t="shared" ref="DA2:DA16" si="104">IFERROR(FT2,0)</f>
        <v>0</v>
      </c>
      <c r="DB2" s="75">
        <f t="shared" ref="DB2:DB16" si="105">IFERROR((FQ2+FM2+FZ2+FN2+FK2+FH2+FE2+FF2+GE2+FU2+FA2),0)</f>
        <v>2340</v>
      </c>
      <c r="DC2" s="76">
        <f t="shared" ref="DC2:DC16" si="106">IFERROR(DB2/H2,0)</f>
        <v>58.112582781456958</v>
      </c>
      <c r="DD2" s="75">
        <f t="shared" ref="DD2:DD16" si="107">IFERROR((((EQ2*1.5)+(ER2*1.5)+FE2+ET2+FC2+FG2)),0)</f>
        <v>18.5</v>
      </c>
      <c r="DE2" s="6">
        <f t="shared" ref="DE2:DE16" si="108">IFERROR(FG2+EX2+ET2+FC2+(FT2*H2)+(EQ2*0.5)+(ER2*0.5),0)</f>
        <v>0</v>
      </c>
      <c r="DF2" s="5">
        <f t="shared" ref="DF2:DF16" si="109">IFERROR(DE2/H2,0)</f>
        <v>0</v>
      </c>
      <c r="DG2" s="6">
        <f t="shared" ref="DG2:DG16" si="110">FC2</f>
        <v>8</v>
      </c>
      <c r="DH2" s="5">
        <f t="shared" ref="DH2:DH16" si="111">IFERROR(DG2/H2,0)</f>
        <v>0.19867549668874174</v>
      </c>
      <c r="DI2" s="5">
        <f t="shared" ref="DI2:DI16" si="112">IFERROR(FC2/ER2,70)</f>
        <v>8</v>
      </c>
      <c r="DJ2" s="21">
        <f t="shared" ref="DJ2:DJ16" si="113">IFERROR((ER2*1)/FC2,0)</f>
        <v>0.125</v>
      </c>
      <c r="DK2" s="5">
        <f t="shared" ref="DK2:DK16" si="114">(X2-ER2)</f>
        <v>-0.86</v>
      </c>
      <c r="DL2" s="5">
        <f t="shared" ref="DL2:DL16" si="115">IFERROR(X2/FC2,0)</f>
        <v>1.7500000000000002E-2</v>
      </c>
      <c r="DM2" s="222">
        <f t="shared" ref="DM2:DM16" si="116">IFERROR((FQ2+FF2+FE2+FC2),0)</f>
        <v>30</v>
      </c>
      <c r="DN2" s="223">
        <f t="shared" ref="DN2:DN16" si="117">IFERROR(DM2/H2,0)</f>
        <v>0.74503311258278149</v>
      </c>
      <c r="DO2" s="76">
        <f t="shared" ref="DO2:DO16" si="118">IFERROR(EN2/FC2,700)</f>
        <v>453</v>
      </c>
      <c r="DP2" s="76">
        <f>IFERROR(EN2/(FG2+ET2+#REF!),700)</f>
        <v>700</v>
      </c>
      <c r="DQ2" s="76">
        <f t="shared" ref="DQ2:DQ16" si="119">IFERROR(FA2/H2,0)</f>
        <v>47.408940397350996</v>
      </c>
      <c r="DR2" s="76">
        <f t="shared" ref="DR2:DR16" si="120">IFERROR(FB2/H2,0)</f>
        <v>43.857615894039739</v>
      </c>
      <c r="DS2" s="92">
        <f t="shared" ref="DS2:DS16" si="121">IFERROR(FB2/FA2,0)</f>
        <v>0.92509167103195389</v>
      </c>
      <c r="DT2" s="188">
        <f t="shared" ref="DT2:DT16" si="122">IFERROR(VALUE(SUBSTITUTE(GG2, " km", "")),0)</f>
        <v>392.7</v>
      </c>
      <c r="DU2" s="207">
        <f t="shared" ref="DU2:DU16" si="123">IFERROR(DT2/H2,0)</f>
        <v>9.7524834437086092</v>
      </c>
      <c r="DV2" s="209">
        <f t="shared" ref="DV2:DV16" si="124">IFERROR((((DT2*1000)/(EN2*60))*3600)/1000,0)</f>
        <v>6.5016556291390737</v>
      </c>
      <c r="DW2" s="208">
        <f t="shared" ref="DW2:DW16" si="125">IFERROR((DX2*H2),0)</f>
        <v>221.46666666666667</v>
      </c>
      <c r="DX2" s="76">
        <f t="shared" ref="DX2:DX16" si="126">IFERROR(GD2,0)</f>
        <v>5.5</v>
      </c>
      <c r="DY2" s="56">
        <f t="shared" ref="DY2:DY16" si="127">(FQ2-FR2)+(FH2-FI2)+(FF2-FG2)+(FA2-FB2)</f>
        <v>209</v>
      </c>
      <c r="DZ2" s="57">
        <f t="shared" ref="DZ2:DZ16" si="128">IFERROR(DY2/H2,0)</f>
        <v>5.1903973509933774</v>
      </c>
      <c r="EA2" s="76">
        <f t="shared" ref="EA2:EA16" si="129">EV2</f>
        <v>4.0999999999999996</v>
      </c>
      <c r="EB2" s="57">
        <f t="shared" ref="EB2:EB16" si="130">EC2*H2</f>
        <v>275.82666666666665</v>
      </c>
      <c r="EC2" s="62">
        <f t="shared" ref="EC2:EC16" si="131">IFERROR(VALUE(SUBSTITUTE(GH2, ".", ",")),5)</f>
        <v>6.85</v>
      </c>
      <c r="ED2" s="302"/>
      <c r="EE2" s="298" t="s">
        <v>13</v>
      </c>
      <c r="EF2" s="298" t="s">
        <v>590</v>
      </c>
      <c r="EG2" s="298">
        <v>33</v>
      </c>
      <c r="EH2" s="298" t="s">
        <v>1017</v>
      </c>
      <c r="EI2" s="298" t="s">
        <v>833</v>
      </c>
      <c r="EJ2" s="298" t="s">
        <v>644</v>
      </c>
      <c r="EK2" s="298" t="s">
        <v>1045</v>
      </c>
      <c r="EL2" s="298" t="s">
        <v>1013</v>
      </c>
      <c r="EM2" s="299">
        <v>46752</v>
      </c>
      <c r="EN2" s="298">
        <v>3624</v>
      </c>
      <c r="EO2" s="298" t="s">
        <v>699</v>
      </c>
      <c r="EP2" s="298">
        <v>2</v>
      </c>
      <c r="EQ2" s="298">
        <v>0</v>
      </c>
      <c r="ER2" s="298">
        <v>1</v>
      </c>
      <c r="ES2" s="298">
        <v>16</v>
      </c>
      <c r="ET2" s="298">
        <v>1</v>
      </c>
      <c r="EU2" s="298">
        <v>10.3</v>
      </c>
      <c r="EV2" s="298">
        <v>4.0999999999999996</v>
      </c>
      <c r="EW2" s="298" t="s">
        <v>807</v>
      </c>
      <c r="EX2" s="298" t="s">
        <v>837</v>
      </c>
      <c r="EY2" s="298">
        <v>12</v>
      </c>
      <c r="EZ2" s="298">
        <v>3</v>
      </c>
      <c r="FA2" s="298">
        <v>1909</v>
      </c>
      <c r="FB2" s="298">
        <v>1766</v>
      </c>
      <c r="FC2" s="298">
        <v>8</v>
      </c>
      <c r="FD2" s="298">
        <v>158</v>
      </c>
      <c r="FE2" s="298">
        <v>2</v>
      </c>
      <c r="FF2" s="298">
        <v>20</v>
      </c>
      <c r="FG2" s="298">
        <v>6</v>
      </c>
      <c r="FH2" s="298">
        <v>233</v>
      </c>
      <c r="FI2" s="298">
        <v>181</v>
      </c>
      <c r="FJ2" s="298">
        <v>84</v>
      </c>
      <c r="FK2" s="298">
        <v>21</v>
      </c>
      <c r="FL2" s="298">
        <v>19</v>
      </c>
      <c r="FM2" s="298">
        <v>18</v>
      </c>
      <c r="FN2" s="298">
        <v>134</v>
      </c>
      <c r="FO2" s="298">
        <v>0</v>
      </c>
      <c r="FP2" s="298">
        <v>0</v>
      </c>
      <c r="FQ2" s="298">
        <v>0</v>
      </c>
      <c r="FR2" s="298">
        <v>0</v>
      </c>
      <c r="FS2" s="298">
        <v>0</v>
      </c>
      <c r="FT2" s="298">
        <v>0</v>
      </c>
      <c r="FU2" s="298">
        <v>0</v>
      </c>
      <c r="FV2" s="298">
        <v>0</v>
      </c>
      <c r="FW2" s="298">
        <v>27</v>
      </c>
      <c r="FX2" s="298">
        <v>24</v>
      </c>
      <c r="FY2" s="298">
        <v>55</v>
      </c>
      <c r="FZ2" s="298">
        <v>3</v>
      </c>
      <c r="GA2" s="298">
        <v>1</v>
      </c>
      <c r="GB2" s="298">
        <v>1</v>
      </c>
      <c r="GC2" s="298">
        <v>0</v>
      </c>
      <c r="GD2" s="298">
        <v>5.5</v>
      </c>
      <c r="GE2" s="298">
        <v>0</v>
      </c>
      <c r="GF2" s="298">
        <v>0</v>
      </c>
      <c r="GG2" s="298" t="s">
        <v>1046</v>
      </c>
      <c r="GH2" s="303">
        <v>6.85</v>
      </c>
    </row>
    <row r="3" spans="1:190" ht="24.95" customHeight="1" thickBot="1" x14ac:dyDescent="0.3">
      <c r="A3" s="29" t="str">
        <f t="shared" si="0"/>
        <v>2º</v>
      </c>
      <c r="B3" s="69" t="str">
        <f t="shared" si="1"/>
        <v>Gustavo Martins</v>
      </c>
      <c r="C3" s="86" t="str">
        <f t="shared" si="2"/>
        <v>BRA</v>
      </c>
      <c r="D3" s="36" t="str">
        <f t="shared" si="3"/>
        <v>Grêmio</v>
      </c>
      <c r="E3" s="36">
        <f t="shared" si="4"/>
        <v>24</v>
      </c>
      <c r="F3" s="349" t="str">
        <f t="shared" si="5"/>
        <v>16,5m € p/m</v>
      </c>
      <c r="G3" s="96">
        <f t="shared" si="6"/>
        <v>41.534074074074077</v>
      </c>
      <c r="H3" s="197">
        <f t="shared" si="7"/>
        <v>40.888888888888886</v>
      </c>
      <c r="I3" s="197">
        <f t="shared" si="8"/>
        <v>43</v>
      </c>
      <c r="J3" s="197">
        <f t="shared" si="9"/>
        <v>85.581395348837205</v>
      </c>
      <c r="K3" s="198">
        <f t="shared" si="10"/>
        <v>0.93</v>
      </c>
      <c r="L3" s="6">
        <f t="shared" si="11"/>
        <v>0</v>
      </c>
      <c r="M3" s="24">
        <f t="shared" si="12"/>
        <v>5400</v>
      </c>
      <c r="N3" s="21">
        <f t="shared" si="13"/>
        <v>0</v>
      </c>
      <c r="O3" s="58">
        <f t="shared" si="14"/>
        <v>0</v>
      </c>
      <c r="P3" s="58">
        <f t="shared" si="15"/>
        <v>0</v>
      </c>
      <c r="Q3" s="58">
        <f t="shared" si="16"/>
        <v>0</v>
      </c>
      <c r="R3" s="76">
        <f t="shared" si="17"/>
        <v>0</v>
      </c>
      <c r="S3" s="76">
        <f t="shared" si="18"/>
        <v>0</v>
      </c>
      <c r="T3" s="76">
        <f t="shared" si="19"/>
        <v>0</v>
      </c>
      <c r="U3" s="76">
        <f t="shared" si="20"/>
        <v>2.72</v>
      </c>
      <c r="V3" s="76">
        <f t="shared" si="21"/>
        <v>2.72</v>
      </c>
      <c r="W3" s="76">
        <f t="shared" si="22"/>
        <v>6.6521739130434798E-2</v>
      </c>
      <c r="X3" s="76">
        <f t="shared" si="23"/>
        <v>1.91</v>
      </c>
      <c r="Y3" s="76">
        <f t="shared" si="24"/>
        <v>4.671195652173913E-2</v>
      </c>
      <c r="Z3" s="76">
        <f t="shared" si="25"/>
        <v>4.63</v>
      </c>
      <c r="AA3" s="76">
        <f t="shared" si="26"/>
        <v>0.11323369565217392</v>
      </c>
      <c r="AB3" s="6">
        <f t="shared" si="27"/>
        <v>30</v>
      </c>
      <c r="AC3" s="5">
        <f t="shared" si="28"/>
        <v>0.73369565217391308</v>
      </c>
      <c r="AD3" s="6">
        <f t="shared" si="29"/>
        <v>7</v>
      </c>
      <c r="AE3" s="5">
        <f t="shared" si="30"/>
        <v>0.17119565217391305</v>
      </c>
      <c r="AF3" s="21">
        <f t="shared" si="31"/>
        <v>0.23333333333333334</v>
      </c>
      <c r="AG3" s="76">
        <f t="shared" si="32"/>
        <v>50</v>
      </c>
      <c r="AH3" s="76">
        <f t="shared" si="33"/>
        <v>50</v>
      </c>
      <c r="AI3" s="20">
        <f t="shared" si="34"/>
        <v>0</v>
      </c>
      <c r="AJ3" s="76">
        <f t="shared" si="35"/>
        <v>122.66666666666667</v>
      </c>
      <c r="AK3" s="76">
        <f t="shared" si="36"/>
        <v>525.71428571428567</v>
      </c>
      <c r="AL3" s="76">
        <f t="shared" si="37"/>
        <v>3680</v>
      </c>
      <c r="AM3" s="76">
        <f t="shared" si="38"/>
        <v>3680</v>
      </c>
      <c r="AN3" s="5">
        <f t="shared" si="39"/>
        <v>-2.72</v>
      </c>
      <c r="AO3" s="5">
        <f t="shared" si="40"/>
        <v>-2.72</v>
      </c>
      <c r="AP3" s="75">
        <f t="shared" si="41"/>
        <v>0</v>
      </c>
      <c r="AQ3" s="76">
        <f t="shared" si="42"/>
        <v>0</v>
      </c>
      <c r="AR3" s="75">
        <f t="shared" si="43"/>
        <v>268</v>
      </c>
      <c r="AS3" s="75">
        <f t="shared" si="44"/>
        <v>207</v>
      </c>
      <c r="AT3" s="75">
        <f t="shared" si="45"/>
        <v>61</v>
      </c>
      <c r="AU3" s="76">
        <f t="shared" si="46"/>
        <v>5.0625</v>
      </c>
      <c r="AV3" s="79">
        <f t="shared" si="47"/>
        <v>0.77238805970149249</v>
      </c>
      <c r="AW3" s="75">
        <f t="shared" si="48"/>
        <v>55</v>
      </c>
      <c r="AX3" s="75">
        <f t="shared" si="49"/>
        <v>31</v>
      </c>
      <c r="AY3" s="75">
        <f t="shared" si="50"/>
        <v>6</v>
      </c>
      <c r="AZ3" s="76">
        <f t="shared" si="51"/>
        <v>0.75815217391304357</v>
      </c>
      <c r="BA3" s="76">
        <f t="shared" si="52"/>
        <v>0.14673913043478262</v>
      </c>
      <c r="BB3" s="79">
        <f t="shared" si="53"/>
        <v>0.5636363636363636</v>
      </c>
      <c r="BC3" s="274">
        <f t="shared" si="54"/>
        <v>18</v>
      </c>
      <c r="BD3" s="273">
        <f t="shared" si="55"/>
        <v>0.44021739130434784</v>
      </c>
      <c r="BE3" s="274">
        <f t="shared" si="56"/>
        <v>5</v>
      </c>
      <c r="BF3" s="273">
        <f t="shared" si="57"/>
        <v>0.12228260869565219</v>
      </c>
      <c r="BG3" s="274">
        <f t="shared" si="58"/>
        <v>0</v>
      </c>
      <c r="BH3" s="273">
        <f t="shared" si="59"/>
        <v>0</v>
      </c>
      <c r="BI3" s="274">
        <f t="shared" si="60"/>
        <v>5</v>
      </c>
      <c r="BJ3" s="79">
        <f t="shared" si="61"/>
        <v>0.27777777777777779</v>
      </c>
      <c r="BK3" s="76">
        <f t="shared" si="62"/>
        <v>7.1999999999999993</v>
      </c>
      <c r="BL3" s="75">
        <f t="shared" si="63"/>
        <v>83</v>
      </c>
      <c r="BM3" s="75">
        <f t="shared" si="64"/>
        <v>26</v>
      </c>
      <c r="BN3" s="160">
        <f t="shared" si="65"/>
        <v>0.31325301204819278</v>
      </c>
      <c r="BO3" s="75">
        <f t="shared" si="66"/>
        <v>414</v>
      </c>
      <c r="BP3" s="76">
        <f t="shared" si="67"/>
        <v>10.125</v>
      </c>
      <c r="BQ3" s="75">
        <f t="shared" si="68"/>
        <v>272</v>
      </c>
      <c r="BR3" s="76">
        <f t="shared" si="69"/>
        <v>6.6521739130434785</v>
      </c>
      <c r="BS3" s="160">
        <f t="shared" si="70"/>
        <v>0.65700483091787443</v>
      </c>
      <c r="BT3" s="75">
        <f t="shared" si="71"/>
        <v>265</v>
      </c>
      <c r="BU3" s="76">
        <f t="shared" si="72"/>
        <v>6.4809782608695654</v>
      </c>
      <c r="BV3" s="75">
        <f t="shared" si="73"/>
        <v>69</v>
      </c>
      <c r="BW3" s="76">
        <f t="shared" si="74"/>
        <v>1.6875000000000002</v>
      </c>
      <c r="BX3" s="322">
        <f t="shared" si="75"/>
        <v>0</v>
      </c>
      <c r="BY3" s="323">
        <f t="shared" si="76"/>
        <v>0</v>
      </c>
      <c r="BZ3" s="322">
        <f t="shared" si="77"/>
        <v>0</v>
      </c>
      <c r="CA3" s="323">
        <f t="shared" si="78"/>
        <v>0</v>
      </c>
      <c r="CB3" s="369">
        <f t="shared" si="79"/>
        <v>0</v>
      </c>
      <c r="CC3" s="322">
        <f t="shared" si="80"/>
        <v>0</v>
      </c>
      <c r="CD3" s="322">
        <f t="shared" si="81"/>
        <v>0</v>
      </c>
      <c r="CE3" s="370">
        <f t="shared" si="82"/>
        <v>0</v>
      </c>
      <c r="CF3" s="368">
        <f t="shared" si="83"/>
        <v>1E-8</v>
      </c>
      <c r="CG3" s="75">
        <f t="shared" si="84"/>
        <v>54.088888888888889</v>
      </c>
      <c r="CH3" s="76">
        <f t="shared" si="85"/>
        <v>1.3228260869565218</v>
      </c>
      <c r="CI3" s="75">
        <f t="shared" si="86"/>
        <v>22</v>
      </c>
      <c r="CJ3" s="76">
        <f t="shared" si="87"/>
        <v>0.53804347826086962</v>
      </c>
      <c r="CK3" s="79">
        <f t="shared" si="88"/>
        <v>0.4067378800328677</v>
      </c>
      <c r="CL3" s="75">
        <f t="shared" si="89"/>
        <v>583</v>
      </c>
      <c r="CM3" s="76">
        <f t="shared" si="90"/>
        <v>14.258152173913045</v>
      </c>
      <c r="CN3" s="75">
        <f t="shared" si="91"/>
        <v>503</v>
      </c>
      <c r="CO3" s="76">
        <f t="shared" si="92"/>
        <v>12.301630434782609</v>
      </c>
      <c r="CP3" s="79">
        <f t="shared" si="93"/>
        <v>0.86277873070325906</v>
      </c>
      <c r="CQ3" s="83">
        <f t="shared" si="94"/>
        <v>2775.088888888889</v>
      </c>
      <c r="CR3" s="83">
        <f t="shared" si="95"/>
        <v>2521</v>
      </c>
      <c r="CS3" s="84">
        <f t="shared" si="96"/>
        <v>0.90843936930949154</v>
      </c>
      <c r="CT3" s="75">
        <f t="shared" si="97"/>
        <v>1</v>
      </c>
      <c r="CU3" s="76">
        <f t="shared" si="98"/>
        <v>2.4456521739130436E-2</v>
      </c>
      <c r="CV3" s="75">
        <f t="shared" si="99"/>
        <v>14</v>
      </c>
      <c r="CW3" s="76">
        <f t="shared" si="100"/>
        <v>0.34239130434782611</v>
      </c>
      <c r="CX3" s="75">
        <f t="shared" si="101"/>
        <v>44</v>
      </c>
      <c r="CY3" s="76">
        <f t="shared" si="102"/>
        <v>1.0760869565217392</v>
      </c>
      <c r="CZ3" s="75">
        <f t="shared" si="103"/>
        <v>4.0888888888888886</v>
      </c>
      <c r="DA3" s="76">
        <f t="shared" si="104"/>
        <v>0.1</v>
      </c>
      <c r="DB3" s="75">
        <f t="shared" si="105"/>
        <v>2651</v>
      </c>
      <c r="DC3" s="76">
        <f t="shared" si="106"/>
        <v>64.834239130434781</v>
      </c>
      <c r="DD3" s="75">
        <f t="shared" si="107"/>
        <v>22</v>
      </c>
      <c r="DE3" s="6">
        <f t="shared" si="108"/>
        <v>0</v>
      </c>
      <c r="DF3" s="5">
        <f t="shared" si="109"/>
        <v>0</v>
      </c>
      <c r="DG3" s="6">
        <f t="shared" si="110"/>
        <v>12</v>
      </c>
      <c r="DH3" s="5">
        <f t="shared" si="111"/>
        <v>0.29347826086956524</v>
      </c>
      <c r="DI3" s="5">
        <f t="shared" si="112"/>
        <v>70</v>
      </c>
      <c r="DJ3" s="21">
        <f t="shared" si="113"/>
        <v>0</v>
      </c>
      <c r="DK3" s="5">
        <f t="shared" si="114"/>
        <v>1.91</v>
      </c>
      <c r="DL3" s="5">
        <f t="shared" si="115"/>
        <v>0.15916666666666665</v>
      </c>
      <c r="DM3" s="222">
        <f t="shared" si="116"/>
        <v>48</v>
      </c>
      <c r="DN3" s="223">
        <f t="shared" si="117"/>
        <v>1.173913043478261</v>
      </c>
      <c r="DO3" s="76">
        <f t="shared" si="118"/>
        <v>306.66666666666669</v>
      </c>
      <c r="DP3" s="76">
        <f>IFERROR(EN3/(FG3+ET3+#REF!),700)</f>
        <v>700</v>
      </c>
      <c r="DQ3" s="76">
        <f t="shared" si="119"/>
        <v>52.288043478260875</v>
      </c>
      <c r="DR3" s="76">
        <f t="shared" si="120"/>
        <v>48.815217391304351</v>
      </c>
      <c r="DS3" s="92">
        <f t="shared" si="121"/>
        <v>0.93358278765201119</v>
      </c>
      <c r="DT3" s="188">
        <f t="shared" si="122"/>
        <v>406.7</v>
      </c>
      <c r="DU3" s="207">
        <f t="shared" si="123"/>
        <v>9.9464673913043491</v>
      </c>
      <c r="DV3" s="209">
        <f t="shared" si="124"/>
        <v>6.6309782608695658</v>
      </c>
      <c r="DW3" s="208">
        <f t="shared" si="125"/>
        <v>228.97777777777773</v>
      </c>
      <c r="DX3" s="76">
        <f t="shared" si="126"/>
        <v>5.6</v>
      </c>
      <c r="DY3" s="56">
        <f t="shared" si="127"/>
        <v>231</v>
      </c>
      <c r="DZ3" s="57">
        <f t="shared" si="128"/>
        <v>5.6494565217391308</v>
      </c>
      <c r="EA3" s="76">
        <f t="shared" si="129"/>
        <v>4</v>
      </c>
      <c r="EB3" s="57">
        <f t="shared" si="130"/>
        <v>283.35999999999996</v>
      </c>
      <c r="EC3" s="62">
        <f t="shared" si="131"/>
        <v>6.93</v>
      </c>
      <c r="ED3" s="300"/>
      <c r="EE3" s="296" t="s">
        <v>13</v>
      </c>
      <c r="EF3" s="296" t="s">
        <v>690</v>
      </c>
      <c r="EG3" s="296">
        <v>24</v>
      </c>
      <c r="EH3" s="296" t="s">
        <v>554</v>
      </c>
      <c r="EI3" s="296" t="s">
        <v>595</v>
      </c>
      <c r="EJ3" s="296" t="s">
        <v>644</v>
      </c>
      <c r="EK3" s="296" t="s">
        <v>691</v>
      </c>
      <c r="EL3" s="296" t="s">
        <v>692</v>
      </c>
      <c r="EM3" s="297">
        <v>47483</v>
      </c>
      <c r="EN3" s="296">
        <v>3680</v>
      </c>
      <c r="EO3" s="296" t="s">
        <v>973</v>
      </c>
      <c r="EP3" s="296">
        <v>0</v>
      </c>
      <c r="EQ3" s="296">
        <v>0</v>
      </c>
      <c r="ER3" s="296">
        <v>0</v>
      </c>
      <c r="ES3" s="296">
        <v>3</v>
      </c>
      <c r="ET3" s="296">
        <v>2</v>
      </c>
      <c r="EU3" s="296">
        <v>11.2</v>
      </c>
      <c r="EV3" s="296">
        <v>4</v>
      </c>
      <c r="EW3" s="296" t="s">
        <v>961</v>
      </c>
      <c r="EX3" s="296" t="s">
        <v>939</v>
      </c>
      <c r="EY3" s="296">
        <v>18</v>
      </c>
      <c r="EZ3" s="296">
        <v>3</v>
      </c>
      <c r="FA3" s="296">
        <v>2138</v>
      </c>
      <c r="FB3" s="296">
        <v>1996</v>
      </c>
      <c r="FC3" s="296">
        <v>12</v>
      </c>
      <c r="FD3" s="296">
        <v>166</v>
      </c>
      <c r="FE3" s="296">
        <v>1</v>
      </c>
      <c r="FF3" s="296">
        <v>30</v>
      </c>
      <c r="FG3" s="296">
        <v>7</v>
      </c>
      <c r="FH3" s="296">
        <v>268</v>
      </c>
      <c r="FI3" s="296">
        <v>207</v>
      </c>
      <c r="FJ3" s="296">
        <v>83</v>
      </c>
      <c r="FK3" s="296">
        <v>26</v>
      </c>
      <c r="FL3" s="296">
        <v>37</v>
      </c>
      <c r="FM3" s="296">
        <v>31</v>
      </c>
      <c r="FN3" s="296">
        <v>144</v>
      </c>
      <c r="FO3" s="296">
        <v>5</v>
      </c>
      <c r="FP3" s="296">
        <v>0</v>
      </c>
      <c r="FQ3" s="296">
        <v>5</v>
      </c>
      <c r="FR3" s="296">
        <v>0</v>
      </c>
      <c r="FS3" s="296">
        <v>0</v>
      </c>
      <c r="FT3" s="296">
        <v>0.1</v>
      </c>
      <c r="FU3" s="296">
        <v>0</v>
      </c>
      <c r="FV3" s="296">
        <v>0</v>
      </c>
      <c r="FW3" s="296">
        <v>37</v>
      </c>
      <c r="FX3" s="296">
        <v>36</v>
      </c>
      <c r="FY3" s="296">
        <v>40</v>
      </c>
      <c r="FZ3" s="296">
        <v>8</v>
      </c>
      <c r="GA3" s="296">
        <v>5</v>
      </c>
      <c r="GB3" s="296">
        <v>0</v>
      </c>
      <c r="GC3" s="296">
        <v>1</v>
      </c>
      <c r="GD3" s="296">
        <v>5.6</v>
      </c>
      <c r="GE3" s="296">
        <v>0</v>
      </c>
      <c r="GF3" s="296">
        <v>0</v>
      </c>
      <c r="GG3" s="296" t="s">
        <v>1041</v>
      </c>
      <c r="GH3" s="301">
        <v>6.93</v>
      </c>
    </row>
    <row r="4" spans="1:190" ht="24.95" customHeight="1" thickBot="1" x14ac:dyDescent="0.3">
      <c r="A4" s="29" t="str">
        <f t="shared" si="0"/>
        <v>3º</v>
      </c>
      <c r="B4" s="69" t="str">
        <f t="shared" si="1"/>
        <v>Ignacio</v>
      </c>
      <c r="C4" s="86" t="str">
        <f t="shared" si="2"/>
        <v>BRA</v>
      </c>
      <c r="D4" s="36" t="str">
        <f t="shared" si="3"/>
        <v>Fluminense</v>
      </c>
      <c r="E4" s="36">
        <f t="shared" si="4"/>
        <v>29</v>
      </c>
      <c r="F4" s="349" t="str">
        <f t="shared" si="5"/>
        <v>6,5m € p/m</v>
      </c>
      <c r="G4" s="96">
        <f t="shared" si="6"/>
        <v>41.534074074074077</v>
      </c>
      <c r="H4" s="197">
        <f t="shared" si="7"/>
        <v>40.733333333333334</v>
      </c>
      <c r="I4" s="197">
        <f t="shared" si="8"/>
        <v>40</v>
      </c>
      <c r="J4" s="197">
        <f t="shared" si="9"/>
        <v>91.65</v>
      </c>
      <c r="K4" s="198">
        <f t="shared" si="10"/>
        <v>0.93</v>
      </c>
      <c r="L4" s="6">
        <f t="shared" si="11"/>
        <v>0</v>
      </c>
      <c r="M4" s="24">
        <f t="shared" si="12"/>
        <v>5400</v>
      </c>
      <c r="N4" s="21">
        <f t="shared" si="13"/>
        <v>0</v>
      </c>
      <c r="O4" s="58">
        <f t="shared" si="14"/>
        <v>1</v>
      </c>
      <c r="P4" s="58">
        <f t="shared" si="15"/>
        <v>1</v>
      </c>
      <c r="Q4" s="58">
        <f t="shared" si="16"/>
        <v>2</v>
      </c>
      <c r="R4" s="76">
        <f t="shared" si="17"/>
        <v>2.4549918166939442E-2</v>
      </c>
      <c r="S4" s="76">
        <f t="shared" si="18"/>
        <v>2.4549918166939442E-2</v>
      </c>
      <c r="T4" s="76">
        <f t="shared" si="19"/>
        <v>4.9099836333878884E-2</v>
      </c>
      <c r="U4" s="76">
        <f t="shared" si="20"/>
        <v>2.59</v>
      </c>
      <c r="V4" s="76">
        <f t="shared" si="21"/>
        <v>2.59</v>
      </c>
      <c r="W4" s="76">
        <f t="shared" si="22"/>
        <v>6.358428805237315E-2</v>
      </c>
      <c r="X4" s="76">
        <f t="shared" si="23"/>
        <v>0.56000000000000005</v>
      </c>
      <c r="Y4" s="76">
        <f t="shared" si="24"/>
        <v>1.374795417348609E-2</v>
      </c>
      <c r="Z4" s="76">
        <f t="shared" si="25"/>
        <v>3.15</v>
      </c>
      <c r="AA4" s="76">
        <f t="shared" si="26"/>
        <v>7.7332242225859243E-2</v>
      </c>
      <c r="AB4" s="6">
        <f t="shared" si="27"/>
        <v>25</v>
      </c>
      <c r="AC4" s="5">
        <f t="shared" si="28"/>
        <v>0.61374795417348604</v>
      </c>
      <c r="AD4" s="6">
        <f t="shared" si="29"/>
        <v>10</v>
      </c>
      <c r="AE4" s="5">
        <f t="shared" si="30"/>
        <v>0.24549918166939444</v>
      </c>
      <c r="AF4" s="21">
        <f t="shared" si="31"/>
        <v>0.4</v>
      </c>
      <c r="AG4" s="76">
        <f t="shared" si="32"/>
        <v>25</v>
      </c>
      <c r="AH4" s="76">
        <f t="shared" si="33"/>
        <v>10</v>
      </c>
      <c r="AI4" s="20">
        <f t="shared" si="34"/>
        <v>0.04</v>
      </c>
      <c r="AJ4" s="76">
        <f t="shared" si="35"/>
        <v>146.63999999999999</v>
      </c>
      <c r="AK4" s="76">
        <f t="shared" si="36"/>
        <v>366.6</v>
      </c>
      <c r="AL4" s="76">
        <f t="shared" si="37"/>
        <v>3666</v>
      </c>
      <c r="AM4" s="76">
        <f t="shared" si="38"/>
        <v>1833</v>
      </c>
      <c r="AN4" s="5">
        <f t="shared" si="39"/>
        <v>-1.5899999999999999</v>
      </c>
      <c r="AO4" s="5">
        <f t="shared" si="40"/>
        <v>-1.5899999999999999</v>
      </c>
      <c r="AP4" s="75">
        <f t="shared" si="41"/>
        <v>0</v>
      </c>
      <c r="AQ4" s="76">
        <f t="shared" si="42"/>
        <v>0</v>
      </c>
      <c r="AR4" s="75">
        <f t="shared" si="43"/>
        <v>272</v>
      </c>
      <c r="AS4" s="75">
        <f t="shared" si="44"/>
        <v>204</v>
      </c>
      <c r="AT4" s="75">
        <f t="shared" si="45"/>
        <v>68</v>
      </c>
      <c r="AU4" s="76">
        <f t="shared" si="46"/>
        <v>5.0081833060556464</v>
      </c>
      <c r="AV4" s="79">
        <f t="shared" si="47"/>
        <v>0.75</v>
      </c>
      <c r="AW4" s="75">
        <f t="shared" si="48"/>
        <v>52</v>
      </c>
      <c r="AX4" s="75">
        <f t="shared" si="49"/>
        <v>30</v>
      </c>
      <c r="AY4" s="75">
        <f t="shared" si="50"/>
        <v>8</v>
      </c>
      <c r="AZ4" s="76">
        <f t="shared" si="51"/>
        <v>0.73649754500818332</v>
      </c>
      <c r="BA4" s="76">
        <f t="shared" si="52"/>
        <v>0.19639934533551553</v>
      </c>
      <c r="BB4" s="79">
        <f t="shared" si="53"/>
        <v>0.57692307692307687</v>
      </c>
      <c r="BC4" s="274">
        <f t="shared" si="54"/>
        <v>14</v>
      </c>
      <c r="BD4" s="273">
        <f t="shared" si="55"/>
        <v>0.34369885433715219</v>
      </c>
      <c r="BE4" s="274">
        <f t="shared" si="56"/>
        <v>2</v>
      </c>
      <c r="BF4" s="273">
        <f t="shared" si="57"/>
        <v>4.9099836333878884E-2</v>
      </c>
      <c r="BG4" s="274">
        <f t="shared" si="58"/>
        <v>0</v>
      </c>
      <c r="BH4" s="273">
        <f t="shared" si="59"/>
        <v>0</v>
      </c>
      <c r="BI4" s="274">
        <f t="shared" si="60"/>
        <v>2</v>
      </c>
      <c r="BJ4" s="79">
        <f t="shared" si="61"/>
        <v>0.14285714285714285</v>
      </c>
      <c r="BK4" s="76">
        <f t="shared" si="62"/>
        <v>8</v>
      </c>
      <c r="BL4" s="75">
        <f t="shared" si="63"/>
        <v>120</v>
      </c>
      <c r="BM4" s="75">
        <f t="shared" si="64"/>
        <v>35</v>
      </c>
      <c r="BN4" s="160">
        <f t="shared" si="65"/>
        <v>0.29166666666666669</v>
      </c>
      <c r="BO4" s="75">
        <f t="shared" si="66"/>
        <v>450</v>
      </c>
      <c r="BP4" s="76">
        <f t="shared" si="67"/>
        <v>11.047463175122749</v>
      </c>
      <c r="BQ4" s="75">
        <f t="shared" si="68"/>
        <v>275</v>
      </c>
      <c r="BR4" s="76">
        <f t="shared" si="69"/>
        <v>6.7512274959083465</v>
      </c>
      <c r="BS4" s="160">
        <f t="shared" si="70"/>
        <v>0.61111111111111116</v>
      </c>
      <c r="BT4" s="75">
        <f t="shared" si="71"/>
        <v>243</v>
      </c>
      <c r="BU4" s="76">
        <f t="shared" si="72"/>
        <v>5.9656301145662844</v>
      </c>
      <c r="BV4" s="75">
        <f t="shared" si="73"/>
        <v>74</v>
      </c>
      <c r="BW4" s="76">
        <f t="shared" si="74"/>
        <v>1.8166939443535188</v>
      </c>
      <c r="BX4" s="322">
        <f t="shared" si="75"/>
        <v>0</v>
      </c>
      <c r="BY4" s="323">
        <f t="shared" si="76"/>
        <v>0</v>
      </c>
      <c r="BZ4" s="322">
        <f t="shared" si="77"/>
        <v>0</v>
      </c>
      <c r="CA4" s="323">
        <f t="shared" si="78"/>
        <v>0</v>
      </c>
      <c r="CB4" s="369">
        <f t="shared" si="79"/>
        <v>0</v>
      </c>
      <c r="CC4" s="322">
        <f t="shared" si="80"/>
        <v>0</v>
      </c>
      <c r="CD4" s="322">
        <f t="shared" si="81"/>
        <v>0</v>
      </c>
      <c r="CE4" s="370">
        <f t="shared" si="82"/>
        <v>0</v>
      </c>
      <c r="CF4" s="368">
        <f t="shared" si="83"/>
        <v>1E-8</v>
      </c>
      <c r="CG4" s="75">
        <f t="shared" si="84"/>
        <v>41</v>
      </c>
      <c r="CH4" s="76">
        <f t="shared" si="85"/>
        <v>1.0065466448445171</v>
      </c>
      <c r="CI4" s="75">
        <f t="shared" si="86"/>
        <v>24</v>
      </c>
      <c r="CJ4" s="76">
        <f t="shared" si="87"/>
        <v>0.58919803600654663</v>
      </c>
      <c r="CK4" s="79">
        <f t="shared" si="88"/>
        <v>0.58536585365853655</v>
      </c>
      <c r="CL4" s="75">
        <f t="shared" si="89"/>
        <v>567</v>
      </c>
      <c r="CM4" s="76">
        <f t="shared" si="90"/>
        <v>13.919803600654664</v>
      </c>
      <c r="CN4" s="75">
        <f t="shared" si="91"/>
        <v>477</v>
      </c>
      <c r="CO4" s="76">
        <f t="shared" si="92"/>
        <v>11.710310965630114</v>
      </c>
      <c r="CP4" s="79">
        <f t="shared" si="93"/>
        <v>0.84126984126984128</v>
      </c>
      <c r="CQ4" s="83">
        <f t="shared" si="94"/>
        <v>2372</v>
      </c>
      <c r="CR4" s="83">
        <f t="shared" si="95"/>
        <v>2082</v>
      </c>
      <c r="CS4" s="84">
        <f t="shared" si="96"/>
        <v>0.87774030354131538</v>
      </c>
      <c r="CT4" s="75">
        <f t="shared" si="97"/>
        <v>0</v>
      </c>
      <c r="CU4" s="76">
        <f t="shared" si="98"/>
        <v>0</v>
      </c>
      <c r="CV4" s="75">
        <f t="shared" si="99"/>
        <v>14</v>
      </c>
      <c r="CW4" s="76">
        <f t="shared" si="100"/>
        <v>0.34369885433715219</v>
      </c>
      <c r="CX4" s="75">
        <f t="shared" si="101"/>
        <v>39</v>
      </c>
      <c r="CY4" s="76">
        <f t="shared" si="102"/>
        <v>0.95744680851063824</v>
      </c>
      <c r="CZ4" s="75">
        <f t="shared" si="103"/>
        <v>0</v>
      </c>
      <c r="DA4" s="76">
        <f t="shared" si="104"/>
        <v>0</v>
      </c>
      <c r="DB4" s="75">
        <f t="shared" si="105"/>
        <v>2265</v>
      </c>
      <c r="DC4" s="76">
        <f t="shared" si="106"/>
        <v>55.605564648117841</v>
      </c>
      <c r="DD4" s="75">
        <f t="shared" si="107"/>
        <v>27</v>
      </c>
      <c r="DE4" s="6">
        <f t="shared" si="108"/>
        <v>0</v>
      </c>
      <c r="DF4" s="5">
        <f t="shared" si="109"/>
        <v>0</v>
      </c>
      <c r="DG4" s="6">
        <f t="shared" si="110"/>
        <v>13</v>
      </c>
      <c r="DH4" s="5">
        <f t="shared" si="111"/>
        <v>0.31914893617021278</v>
      </c>
      <c r="DI4" s="5">
        <f t="shared" si="112"/>
        <v>13</v>
      </c>
      <c r="DJ4" s="21">
        <f t="shared" si="113"/>
        <v>7.6923076923076927E-2</v>
      </c>
      <c r="DK4" s="5">
        <f t="shared" si="114"/>
        <v>-0.43999999999999995</v>
      </c>
      <c r="DL4" s="5">
        <f t="shared" si="115"/>
        <v>4.3076923076923082E-2</v>
      </c>
      <c r="DM4" s="222">
        <f t="shared" si="116"/>
        <v>40</v>
      </c>
      <c r="DN4" s="223">
        <f t="shared" si="117"/>
        <v>0.98199672667757776</v>
      </c>
      <c r="DO4" s="76">
        <f t="shared" si="118"/>
        <v>282</v>
      </c>
      <c r="DP4" s="76">
        <f>IFERROR(EN4/(FG4+ET4+#REF!),700)</f>
        <v>700</v>
      </c>
      <c r="DQ4" s="76">
        <f t="shared" si="119"/>
        <v>43.306055646481177</v>
      </c>
      <c r="DR4" s="76">
        <f t="shared" si="120"/>
        <v>38.813420621931257</v>
      </c>
      <c r="DS4" s="92">
        <f t="shared" si="121"/>
        <v>0.8962585034013606</v>
      </c>
      <c r="DT4" s="188">
        <f t="shared" si="122"/>
        <v>414.1</v>
      </c>
      <c r="DU4" s="207">
        <f t="shared" si="123"/>
        <v>10.166121112929623</v>
      </c>
      <c r="DV4" s="209">
        <f t="shared" si="124"/>
        <v>6.7774140752864156</v>
      </c>
      <c r="DW4" s="208">
        <f t="shared" si="125"/>
        <v>228.10666666666665</v>
      </c>
      <c r="DX4" s="76">
        <f t="shared" si="126"/>
        <v>5.6</v>
      </c>
      <c r="DY4" s="56">
        <f t="shared" si="127"/>
        <v>268</v>
      </c>
      <c r="DZ4" s="57">
        <f t="shared" si="128"/>
        <v>6.5793780687397705</v>
      </c>
      <c r="EA4" s="76">
        <f t="shared" si="129"/>
        <v>4.3</v>
      </c>
      <c r="EB4" s="57">
        <f t="shared" si="130"/>
        <v>283.50400000000002</v>
      </c>
      <c r="EC4" s="62">
        <f t="shared" si="131"/>
        <v>6.96</v>
      </c>
      <c r="ED4" s="300"/>
      <c r="EE4" s="296" t="s">
        <v>13</v>
      </c>
      <c r="EF4" s="296" t="s">
        <v>991</v>
      </c>
      <c r="EG4" s="296">
        <v>29</v>
      </c>
      <c r="EH4" s="296" t="s">
        <v>582</v>
      </c>
      <c r="EI4" s="296" t="s">
        <v>682</v>
      </c>
      <c r="EJ4" s="296" t="s">
        <v>644</v>
      </c>
      <c r="EK4" s="296" t="s">
        <v>688</v>
      </c>
      <c r="EL4" s="296" t="s">
        <v>843</v>
      </c>
      <c r="EM4" s="297">
        <v>46934</v>
      </c>
      <c r="EN4" s="296">
        <v>3666</v>
      </c>
      <c r="EO4" s="296" t="s">
        <v>1035</v>
      </c>
      <c r="EP4" s="296">
        <v>0</v>
      </c>
      <c r="EQ4" s="296">
        <v>1</v>
      </c>
      <c r="ER4" s="296">
        <v>1</v>
      </c>
      <c r="ES4" s="296">
        <v>14</v>
      </c>
      <c r="ET4" s="296">
        <v>1</v>
      </c>
      <c r="EU4" s="296">
        <v>12.3</v>
      </c>
      <c r="EV4" s="296">
        <v>4.3</v>
      </c>
      <c r="EW4" s="296" t="s">
        <v>959</v>
      </c>
      <c r="EX4" s="296" t="s">
        <v>1006</v>
      </c>
      <c r="EY4" s="296">
        <v>14</v>
      </c>
      <c r="EZ4" s="296">
        <v>2</v>
      </c>
      <c r="FA4" s="296">
        <v>1764</v>
      </c>
      <c r="FB4" s="296">
        <v>1581</v>
      </c>
      <c r="FC4" s="296">
        <v>13</v>
      </c>
      <c r="FD4" s="296">
        <v>113</v>
      </c>
      <c r="FE4" s="296">
        <v>0</v>
      </c>
      <c r="FF4" s="296">
        <v>25</v>
      </c>
      <c r="FG4" s="296">
        <v>10</v>
      </c>
      <c r="FH4" s="296">
        <v>272</v>
      </c>
      <c r="FI4" s="296">
        <v>204</v>
      </c>
      <c r="FJ4" s="296">
        <v>120</v>
      </c>
      <c r="FK4" s="296">
        <v>35</v>
      </c>
      <c r="FL4" s="296">
        <v>38</v>
      </c>
      <c r="FM4" s="296">
        <v>30</v>
      </c>
      <c r="FN4" s="296">
        <v>131</v>
      </c>
      <c r="FO4" s="296">
        <v>2</v>
      </c>
      <c r="FP4" s="296">
        <v>0</v>
      </c>
      <c r="FQ4" s="296">
        <v>2</v>
      </c>
      <c r="FR4" s="296">
        <v>0</v>
      </c>
      <c r="FS4" s="296">
        <v>0</v>
      </c>
      <c r="FT4" s="296">
        <v>0</v>
      </c>
      <c r="FU4" s="296">
        <v>0</v>
      </c>
      <c r="FV4" s="296">
        <v>0</v>
      </c>
      <c r="FW4" s="296">
        <v>37</v>
      </c>
      <c r="FX4" s="296">
        <v>28</v>
      </c>
      <c r="FY4" s="296">
        <v>41</v>
      </c>
      <c r="FZ4" s="296">
        <v>6</v>
      </c>
      <c r="GA4" s="296">
        <v>2</v>
      </c>
      <c r="GB4" s="296">
        <v>0</v>
      </c>
      <c r="GC4" s="296">
        <v>2</v>
      </c>
      <c r="GD4" s="296">
        <v>5.6</v>
      </c>
      <c r="GE4" s="296">
        <v>0</v>
      </c>
      <c r="GF4" s="296">
        <v>0</v>
      </c>
      <c r="GG4" s="296" t="s">
        <v>1036</v>
      </c>
      <c r="GH4" s="301">
        <v>6.96</v>
      </c>
    </row>
    <row r="5" spans="1:190" ht="24.95" customHeight="1" thickBot="1" x14ac:dyDescent="0.3">
      <c r="A5" s="29" t="str">
        <f t="shared" ref="A5:A16" si="132">ROW()-1 &amp; "º"</f>
        <v>4º</v>
      </c>
      <c r="B5" s="69" t="str">
        <f t="shared" si="1"/>
        <v>Jean Lucas</v>
      </c>
      <c r="C5" s="86" t="str">
        <f t="shared" si="2"/>
        <v>BRA</v>
      </c>
      <c r="D5" s="36" t="str">
        <f t="shared" si="3"/>
        <v>Bahia</v>
      </c>
      <c r="E5" s="36">
        <f t="shared" si="4"/>
        <v>28</v>
      </c>
      <c r="F5" s="349" t="str">
        <f t="shared" si="5"/>
        <v>141m € p/m</v>
      </c>
      <c r="G5" s="96">
        <f t="shared" si="6"/>
        <v>41.534074074074077</v>
      </c>
      <c r="H5" s="197">
        <f t="shared" si="7"/>
        <v>38.611111111111114</v>
      </c>
      <c r="I5" s="197">
        <f t="shared" si="8"/>
        <v>48</v>
      </c>
      <c r="J5" s="197">
        <f t="shared" si="9"/>
        <v>72.395833333333329</v>
      </c>
      <c r="K5" s="198">
        <f t="shared" si="10"/>
        <v>0.92</v>
      </c>
      <c r="L5" s="6">
        <f t="shared" si="11"/>
        <v>2</v>
      </c>
      <c r="M5" s="24">
        <f t="shared" si="12"/>
        <v>1737.5</v>
      </c>
      <c r="N5" s="21">
        <f t="shared" si="13"/>
        <v>5.1798561151079135E-2</v>
      </c>
      <c r="O5" s="58">
        <f t="shared" si="14"/>
        <v>6</v>
      </c>
      <c r="P5" s="58">
        <f t="shared" si="15"/>
        <v>4</v>
      </c>
      <c r="Q5" s="58">
        <f t="shared" si="16"/>
        <v>10</v>
      </c>
      <c r="R5" s="76">
        <f t="shared" si="17"/>
        <v>0.1553956834532374</v>
      </c>
      <c r="S5" s="76">
        <f t="shared" si="18"/>
        <v>0.10359712230215827</v>
      </c>
      <c r="T5" s="76">
        <f t="shared" si="19"/>
        <v>0.25899280575539568</v>
      </c>
      <c r="U5" s="76">
        <f t="shared" si="20"/>
        <v>4.4000000000000004</v>
      </c>
      <c r="V5" s="76">
        <f t="shared" si="21"/>
        <v>4.4000000000000004</v>
      </c>
      <c r="W5" s="76">
        <f t="shared" si="22"/>
        <v>0.1139568345323741</v>
      </c>
      <c r="X5" s="76">
        <f t="shared" si="23"/>
        <v>4.53</v>
      </c>
      <c r="Y5" s="76">
        <f t="shared" si="24"/>
        <v>0.11732374100719424</v>
      </c>
      <c r="Z5" s="76">
        <f t="shared" si="25"/>
        <v>8.93</v>
      </c>
      <c r="AA5" s="76">
        <f t="shared" si="26"/>
        <v>0.23128057553956832</v>
      </c>
      <c r="AB5" s="6">
        <f t="shared" si="27"/>
        <v>66</v>
      </c>
      <c r="AC5" s="5">
        <f t="shared" si="28"/>
        <v>1.7093525179856113</v>
      </c>
      <c r="AD5" s="6">
        <f t="shared" si="29"/>
        <v>18</v>
      </c>
      <c r="AE5" s="5">
        <f t="shared" si="30"/>
        <v>0.4661870503597122</v>
      </c>
      <c r="AF5" s="21">
        <f t="shared" si="31"/>
        <v>0.27272727272727271</v>
      </c>
      <c r="AG5" s="76">
        <f t="shared" si="32"/>
        <v>11</v>
      </c>
      <c r="AH5" s="76">
        <f t="shared" si="33"/>
        <v>3</v>
      </c>
      <c r="AI5" s="20">
        <f t="shared" si="34"/>
        <v>9.0909090909090912E-2</v>
      </c>
      <c r="AJ5" s="76">
        <f t="shared" si="35"/>
        <v>52.651515151515149</v>
      </c>
      <c r="AK5" s="76">
        <f t="shared" si="36"/>
        <v>193.05555555555554</v>
      </c>
      <c r="AL5" s="76">
        <f t="shared" si="37"/>
        <v>579.16666666666663</v>
      </c>
      <c r="AM5" s="76">
        <f t="shared" si="38"/>
        <v>347.5</v>
      </c>
      <c r="AN5" s="5">
        <f t="shared" si="39"/>
        <v>1.5999999999999996</v>
      </c>
      <c r="AO5" s="5">
        <f t="shared" si="40"/>
        <v>1.5999999999999996</v>
      </c>
      <c r="AP5" s="75">
        <f t="shared" si="41"/>
        <v>2</v>
      </c>
      <c r="AQ5" s="76">
        <f t="shared" si="42"/>
        <v>5.1798561151079135E-2</v>
      </c>
      <c r="AR5" s="75">
        <f t="shared" si="43"/>
        <v>69</v>
      </c>
      <c r="AS5" s="75">
        <f t="shared" si="44"/>
        <v>31</v>
      </c>
      <c r="AT5" s="75">
        <f t="shared" si="45"/>
        <v>38</v>
      </c>
      <c r="AU5" s="76">
        <f t="shared" si="46"/>
        <v>0.80287769784172658</v>
      </c>
      <c r="AV5" s="79">
        <f t="shared" si="47"/>
        <v>0.44927536231884058</v>
      </c>
      <c r="AW5" s="75">
        <f t="shared" si="48"/>
        <v>100</v>
      </c>
      <c r="AX5" s="75">
        <f t="shared" si="49"/>
        <v>48</v>
      </c>
      <c r="AY5" s="75">
        <f t="shared" si="50"/>
        <v>12</v>
      </c>
      <c r="AZ5" s="76">
        <f t="shared" si="51"/>
        <v>1.2431654676258992</v>
      </c>
      <c r="BA5" s="76">
        <f t="shared" si="52"/>
        <v>0.3107913669064748</v>
      </c>
      <c r="BB5" s="79">
        <f t="shared" si="53"/>
        <v>0.48</v>
      </c>
      <c r="BC5" s="274">
        <f t="shared" si="54"/>
        <v>40</v>
      </c>
      <c r="BD5" s="273">
        <f t="shared" si="55"/>
        <v>1.0359712230215827</v>
      </c>
      <c r="BE5" s="274">
        <f t="shared" si="56"/>
        <v>2</v>
      </c>
      <c r="BF5" s="273">
        <f t="shared" si="57"/>
        <v>5.1798561151079135E-2</v>
      </c>
      <c r="BG5" s="274">
        <f t="shared" si="58"/>
        <v>1</v>
      </c>
      <c r="BH5" s="273">
        <f t="shared" si="59"/>
        <v>2.5899280575539568E-2</v>
      </c>
      <c r="BI5" s="274">
        <f t="shared" si="60"/>
        <v>3</v>
      </c>
      <c r="BJ5" s="79">
        <f t="shared" si="61"/>
        <v>7.4999999999999997E-2</v>
      </c>
      <c r="BK5" s="76">
        <f t="shared" si="62"/>
        <v>2.0999999999999996</v>
      </c>
      <c r="BL5" s="75">
        <f t="shared" si="63"/>
        <v>288</v>
      </c>
      <c r="BM5" s="75">
        <f t="shared" si="64"/>
        <v>62</v>
      </c>
      <c r="BN5" s="160">
        <f t="shared" si="65"/>
        <v>0.21527777777777779</v>
      </c>
      <c r="BO5" s="75">
        <f t="shared" si="66"/>
        <v>461</v>
      </c>
      <c r="BP5" s="76">
        <f t="shared" si="67"/>
        <v>11.939568345323741</v>
      </c>
      <c r="BQ5" s="75">
        <f t="shared" si="68"/>
        <v>145</v>
      </c>
      <c r="BR5" s="76">
        <f t="shared" si="69"/>
        <v>3.7553956834532372</v>
      </c>
      <c r="BS5" s="160">
        <f t="shared" si="70"/>
        <v>0.31453362255965295</v>
      </c>
      <c r="BT5" s="75">
        <f t="shared" si="71"/>
        <v>194</v>
      </c>
      <c r="BU5" s="76">
        <f t="shared" si="72"/>
        <v>5.0244604316546759</v>
      </c>
      <c r="BV5" s="75">
        <f t="shared" si="73"/>
        <v>116</v>
      </c>
      <c r="BW5" s="76">
        <f t="shared" si="74"/>
        <v>3.0043165467625896</v>
      </c>
      <c r="BX5" s="322">
        <f t="shared" si="75"/>
        <v>1</v>
      </c>
      <c r="BY5" s="323">
        <f t="shared" si="76"/>
        <v>2.5899280575539568E-2</v>
      </c>
      <c r="BZ5" s="322">
        <f t="shared" si="77"/>
        <v>1</v>
      </c>
      <c r="CA5" s="323">
        <f t="shared" si="78"/>
        <v>2.5899280575539568E-2</v>
      </c>
      <c r="CB5" s="369">
        <f t="shared" si="79"/>
        <v>1</v>
      </c>
      <c r="CC5" s="322">
        <f t="shared" si="80"/>
        <v>0</v>
      </c>
      <c r="CD5" s="322">
        <f t="shared" si="81"/>
        <v>0</v>
      </c>
      <c r="CE5" s="370">
        <f t="shared" si="82"/>
        <v>0</v>
      </c>
      <c r="CF5" s="368">
        <f t="shared" si="83"/>
        <v>1E-8</v>
      </c>
      <c r="CG5" s="75">
        <f t="shared" si="84"/>
        <v>190.61111111111111</v>
      </c>
      <c r="CH5" s="76">
        <f t="shared" si="85"/>
        <v>4.9366906474820142</v>
      </c>
      <c r="CI5" s="75">
        <f t="shared" si="86"/>
        <v>94</v>
      </c>
      <c r="CJ5" s="76">
        <f t="shared" si="87"/>
        <v>2.4345323741007192</v>
      </c>
      <c r="CK5" s="79">
        <f t="shared" si="88"/>
        <v>0.49315068493150682</v>
      </c>
      <c r="CL5" s="75">
        <f t="shared" si="89"/>
        <v>362</v>
      </c>
      <c r="CM5" s="76">
        <f t="shared" si="90"/>
        <v>9.3755395683453226</v>
      </c>
      <c r="CN5" s="75">
        <f t="shared" si="91"/>
        <v>273</v>
      </c>
      <c r="CO5" s="76">
        <f t="shared" si="92"/>
        <v>7.0705035971223014</v>
      </c>
      <c r="CP5" s="79">
        <f t="shared" si="93"/>
        <v>0.7541436464088398</v>
      </c>
      <c r="CQ5" s="83">
        <f t="shared" si="94"/>
        <v>2777.6111111111113</v>
      </c>
      <c r="CR5" s="83">
        <f t="shared" si="95"/>
        <v>2391</v>
      </c>
      <c r="CS5" s="84">
        <f t="shared" si="96"/>
        <v>0.86081164869892191</v>
      </c>
      <c r="CT5" s="75">
        <f t="shared" si="97"/>
        <v>12</v>
      </c>
      <c r="CU5" s="76">
        <f t="shared" si="98"/>
        <v>0.3107913669064748</v>
      </c>
      <c r="CV5" s="75">
        <f t="shared" si="99"/>
        <v>62</v>
      </c>
      <c r="CW5" s="76">
        <f t="shared" si="100"/>
        <v>1.6057553956834532</v>
      </c>
      <c r="CX5" s="75">
        <f t="shared" si="101"/>
        <v>121</v>
      </c>
      <c r="CY5" s="76">
        <f t="shared" si="102"/>
        <v>3.1338129496402876</v>
      </c>
      <c r="CZ5" s="75">
        <f t="shared" si="103"/>
        <v>38.611111111111114</v>
      </c>
      <c r="DA5" s="76">
        <f t="shared" si="104"/>
        <v>1</v>
      </c>
      <c r="DB5" s="75">
        <f t="shared" si="105"/>
        <v>2629</v>
      </c>
      <c r="DC5" s="76">
        <f t="shared" si="106"/>
        <v>68.08920863309352</v>
      </c>
      <c r="DD5" s="75">
        <f t="shared" si="107"/>
        <v>100</v>
      </c>
      <c r="DE5" s="6">
        <f t="shared" si="108"/>
        <v>0</v>
      </c>
      <c r="DF5" s="5">
        <f t="shared" si="109"/>
        <v>0</v>
      </c>
      <c r="DG5" s="6">
        <f t="shared" si="110"/>
        <v>44</v>
      </c>
      <c r="DH5" s="5">
        <f t="shared" si="111"/>
        <v>1.1395683453237409</v>
      </c>
      <c r="DI5" s="5">
        <f t="shared" si="112"/>
        <v>11</v>
      </c>
      <c r="DJ5" s="21">
        <f t="shared" si="113"/>
        <v>9.0909090909090912E-2</v>
      </c>
      <c r="DK5" s="5">
        <f t="shared" si="114"/>
        <v>0.53000000000000025</v>
      </c>
      <c r="DL5" s="5">
        <f t="shared" si="115"/>
        <v>0.10295454545454547</v>
      </c>
      <c r="DM5" s="222">
        <f t="shared" si="116"/>
        <v>139</v>
      </c>
      <c r="DN5" s="223">
        <f t="shared" si="117"/>
        <v>3.5999999999999996</v>
      </c>
      <c r="DO5" s="76">
        <f t="shared" si="118"/>
        <v>78.977272727272734</v>
      </c>
      <c r="DP5" s="76">
        <f>IFERROR(EN5/(FG5+ET5+#REF!),700)</f>
        <v>700</v>
      </c>
      <c r="DQ5" s="76">
        <f t="shared" si="119"/>
        <v>57.625899280575538</v>
      </c>
      <c r="DR5" s="76">
        <f t="shared" si="120"/>
        <v>52.420143884892084</v>
      </c>
      <c r="DS5" s="92">
        <f t="shared" si="121"/>
        <v>0.90966292134831461</v>
      </c>
      <c r="DT5" s="188">
        <f t="shared" si="122"/>
        <v>469.6</v>
      </c>
      <c r="DU5" s="207">
        <f t="shared" si="123"/>
        <v>12.162302158273381</v>
      </c>
      <c r="DV5" s="209">
        <f t="shared" si="124"/>
        <v>8.108201438848921</v>
      </c>
      <c r="DW5" s="208">
        <f t="shared" si="125"/>
        <v>459.47222222222229</v>
      </c>
      <c r="DX5" s="76">
        <f t="shared" si="126"/>
        <v>11.9</v>
      </c>
      <c r="DY5" s="56">
        <f t="shared" si="127"/>
        <v>297</v>
      </c>
      <c r="DZ5" s="57">
        <f t="shared" si="128"/>
        <v>7.6920863309352514</v>
      </c>
      <c r="EA5" s="76">
        <f t="shared" si="129"/>
        <v>6.6</v>
      </c>
      <c r="EB5" s="57">
        <f t="shared" si="130"/>
        <v>270.27777777777783</v>
      </c>
      <c r="EC5" s="62">
        <f t="shared" si="131"/>
        <v>7</v>
      </c>
      <c r="ED5" s="300" t="s">
        <v>928</v>
      </c>
      <c r="EE5" s="296" t="s">
        <v>13</v>
      </c>
      <c r="EF5" s="296" t="s">
        <v>1025</v>
      </c>
      <c r="EG5" s="296">
        <v>28</v>
      </c>
      <c r="EH5" s="296" t="s">
        <v>580</v>
      </c>
      <c r="EI5" s="296" t="s">
        <v>607</v>
      </c>
      <c r="EJ5" s="296" t="s">
        <v>644</v>
      </c>
      <c r="EK5" s="296" t="s">
        <v>942</v>
      </c>
      <c r="EL5" s="296" t="s">
        <v>927</v>
      </c>
      <c r="EM5" s="297">
        <v>47118</v>
      </c>
      <c r="EN5" s="296">
        <v>3475</v>
      </c>
      <c r="EO5" s="296" t="s">
        <v>1069</v>
      </c>
      <c r="EP5" s="296">
        <v>2</v>
      </c>
      <c r="EQ5" s="296">
        <v>6</v>
      </c>
      <c r="ER5" s="296">
        <v>4</v>
      </c>
      <c r="ES5" s="296">
        <v>11</v>
      </c>
      <c r="ET5" s="296">
        <v>11</v>
      </c>
      <c r="EU5" s="296">
        <v>8.6999999999999993</v>
      </c>
      <c r="EV5" s="296">
        <v>6.6</v>
      </c>
      <c r="EW5" s="296" t="s">
        <v>1070</v>
      </c>
      <c r="EX5" s="296" t="s">
        <v>948</v>
      </c>
      <c r="EY5" s="296">
        <v>40</v>
      </c>
      <c r="EZ5" s="296">
        <v>16</v>
      </c>
      <c r="FA5" s="296">
        <v>2225</v>
      </c>
      <c r="FB5" s="296">
        <v>2024</v>
      </c>
      <c r="FC5" s="296">
        <v>44</v>
      </c>
      <c r="FD5" s="296">
        <v>292</v>
      </c>
      <c r="FE5" s="296">
        <v>12</v>
      </c>
      <c r="FF5" s="296">
        <v>66</v>
      </c>
      <c r="FG5" s="296">
        <v>18</v>
      </c>
      <c r="FH5" s="296">
        <v>69</v>
      </c>
      <c r="FI5" s="296">
        <v>31</v>
      </c>
      <c r="FJ5" s="296">
        <v>288</v>
      </c>
      <c r="FK5" s="296">
        <v>62</v>
      </c>
      <c r="FL5" s="296">
        <v>60</v>
      </c>
      <c r="FM5" s="296">
        <v>48</v>
      </c>
      <c r="FN5" s="296">
        <v>125</v>
      </c>
      <c r="FO5" s="296">
        <v>16</v>
      </c>
      <c r="FP5" s="296">
        <v>6</v>
      </c>
      <c r="FQ5" s="296">
        <v>17</v>
      </c>
      <c r="FR5" s="296">
        <v>7</v>
      </c>
      <c r="FS5" s="296">
        <v>1</v>
      </c>
      <c r="FT5" s="296">
        <v>1</v>
      </c>
      <c r="FU5" s="296">
        <v>1</v>
      </c>
      <c r="FV5" s="296">
        <v>2</v>
      </c>
      <c r="FW5" s="296">
        <v>17</v>
      </c>
      <c r="FX5" s="296">
        <v>11</v>
      </c>
      <c r="FY5" s="296">
        <v>37</v>
      </c>
      <c r="FZ5" s="296">
        <v>4</v>
      </c>
      <c r="GA5" s="296">
        <v>2</v>
      </c>
      <c r="GB5" s="296">
        <v>1</v>
      </c>
      <c r="GC5" s="296">
        <v>1</v>
      </c>
      <c r="GD5" s="296">
        <v>11.9</v>
      </c>
      <c r="GE5" s="296">
        <v>0</v>
      </c>
      <c r="GF5" s="296">
        <v>0</v>
      </c>
      <c r="GG5" s="296" t="s">
        <v>1026</v>
      </c>
      <c r="GH5" s="301">
        <v>7</v>
      </c>
    </row>
    <row r="6" spans="1:190" ht="24.95" customHeight="1" thickBot="1" x14ac:dyDescent="0.3">
      <c r="A6" s="29" t="str">
        <f t="shared" si="132"/>
        <v>5º</v>
      </c>
      <c r="B6" s="69" t="str">
        <f t="shared" si="1"/>
        <v>João Pedro</v>
      </c>
      <c r="C6" s="86" t="str">
        <f t="shared" si="2"/>
        <v>BRA</v>
      </c>
      <c r="D6" s="36" t="str">
        <f t="shared" si="3"/>
        <v>Grêmio</v>
      </c>
      <c r="E6" s="36">
        <f t="shared" si="4"/>
        <v>29</v>
      </c>
      <c r="F6" s="349" t="str">
        <f t="shared" si="5"/>
        <v>83,5m € p/m</v>
      </c>
      <c r="G6" s="96">
        <f t="shared" si="6"/>
        <v>41.534074074074077</v>
      </c>
      <c r="H6" s="197">
        <f t="shared" si="7"/>
        <v>41.12222222222222</v>
      </c>
      <c r="I6" s="197">
        <f t="shared" si="8"/>
        <v>52</v>
      </c>
      <c r="J6" s="197">
        <f t="shared" si="9"/>
        <v>71.17307692307692</v>
      </c>
      <c r="K6" s="198">
        <f t="shared" si="10"/>
        <v>0.94</v>
      </c>
      <c r="L6" s="6">
        <f t="shared" si="11"/>
        <v>2</v>
      </c>
      <c r="M6" s="24">
        <f t="shared" si="12"/>
        <v>1850.5</v>
      </c>
      <c r="N6" s="21">
        <f t="shared" si="13"/>
        <v>4.8635503917860042E-2</v>
      </c>
      <c r="O6" s="58">
        <f t="shared" si="14"/>
        <v>2</v>
      </c>
      <c r="P6" s="58">
        <f t="shared" si="15"/>
        <v>7</v>
      </c>
      <c r="Q6" s="58">
        <f t="shared" si="16"/>
        <v>9</v>
      </c>
      <c r="R6" s="76">
        <f t="shared" si="17"/>
        <v>4.8635503917860042E-2</v>
      </c>
      <c r="S6" s="76">
        <f t="shared" si="18"/>
        <v>0.17022426371251015</v>
      </c>
      <c r="T6" s="76">
        <f t="shared" si="19"/>
        <v>0.21885976763037018</v>
      </c>
      <c r="U6" s="76">
        <f t="shared" si="20"/>
        <v>2.89</v>
      </c>
      <c r="V6" s="76">
        <f t="shared" si="21"/>
        <v>2.89</v>
      </c>
      <c r="W6" s="76">
        <f t="shared" si="22"/>
        <v>7.0278303161307759E-2</v>
      </c>
      <c r="X6" s="76">
        <f t="shared" si="23"/>
        <v>8.6199999999999992</v>
      </c>
      <c r="Y6" s="76">
        <f t="shared" si="24"/>
        <v>0.20961902188597675</v>
      </c>
      <c r="Z6" s="76">
        <f t="shared" si="25"/>
        <v>11.51</v>
      </c>
      <c r="AA6" s="76">
        <f t="shared" si="26"/>
        <v>0.27989732504728448</v>
      </c>
      <c r="AB6" s="6">
        <f t="shared" si="27"/>
        <v>33</v>
      </c>
      <c r="AC6" s="5">
        <f t="shared" si="28"/>
        <v>0.80248581464469071</v>
      </c>
      <c r="AD6" s="6">
        <f t="shared" si="29"/>
        <v>8</v>
      </c>
      <c r="AE6" s="5">
        <f t="shared" si="30"/>
        <v>0.19454201567144017</v>
      </c>
      <c r="AF6" s="21">
        <f t="shared" si="31"/>
        <v>0.24242424242424243</v>
      </c>
      <c r="AG6" s="76">
        <f t="shared" si="32"/>
        <v>16.5</v>
      </c>
      <c r="AH6" s="76">
        <f t="shared" si="33"/>
        <v>4</v>
      </c>
      <c r="AI6" s="20">
        <f t="shared" si="34"/>
        <v>6.0606060606060608E-2</v>
      </c>
      <c r="AJ6" s="76">
        <f t="shared" si="35"/>
        <v>112.15151515151516</v>
      </c>
      <c r="AK6" s="76">
        <f t="shared" si="36"/>
        <v>462.625</v>
      </c>
      <c r="AL6" s="76">
        <f t="shared" si="37"/>
        <v>1850.5</v>
      </c>
      <c r="AM6" s="76">
        <f t="shared" si="38"/>
        <v>411.22222222222223</v>
      </c>
      <c r="AN6" s="5">
        <f t="shared" si="39"/>
        <v>-0.89000000000000012</v>
      </c>
      <c r="AO6" s="5">
        <f t="shared" si="40"/>
        <v>-0.89000000000000012</v>
      </c>
      <c r="AP6" s="75">
        <f t="shared" si="41"/>
        <v>5</v>
      </c>
      <c r="AQ6" s="76">
        <f t="shared" si="42"/>
        <v>0.1215887597946501</v>
      </c>
      <c r="AR6" s="75">
        <f t="shared" si="43"/>
        <v>147</v>
      </c>
      <c r="AS6" s="75">
        <f t="shared" si="44"/>
        <v>78</v>
      </c>
      <c r="AT6" s="75">
        <f t="shared" si="45"/>
        <v>69</v>
      </c>
      <c r="AU6" s="76">
        <f t="shared" si="46"/>
        <v>1.8967846527965415</v>
      </c>
      <c r="AV6" s="79">
        <f t="shared" si="47"/>
        <v>0.53061224489795922</v>
      </c>
      <c r="AW6" s="75">
        <f t="shared" si="48"/>
        <v>129</v>
      </c>
      <c r="AX6" s="75">
        <f t="shared" si="49"/>
        <v>71</v>
      </c>
      <c r="AY6" s="75">
        <f t="shared" si="50"/>
        <v>15</v>
      </c>
      <c r="AZ6" s="76">
        <f t="shared" si="51"/>
        <v>1.7265603890840315</v>
      </c>
      <c r="BA6" s="76">
        <f t="shared" si="52"/>
        <v>0.36476627938395029</v>
      </c>
      <c r="BB6" s="79">
        <f t="shared" si="53"/>
        <v>0.55038759689922478</v>
      </c>
      <c r="BC6" s="274">
        <f t="shared" si="54"/>
        <v>43</v>
      </c>
      <c r="BD6" s="273">
        <f t="shared" si="55"/>
        <v>1.0456633342339909</v>
      </c>
      <c r="BE6" s="274">
        <f t="shared" si="56"/>
        <v>4</v>
      </c>
      <c r="BF6" s="273">
        <f t="shared" si="57"/>
        <v>9.7271007835720083E-2</v>
      </c>
      <c r="BG6" s="274">
        <f t="shared" si="58"/>
        <v>0</v>
      </c>
      <c r="BH6" s="273">
        <f t="shared" si="59"/>
        <v>0</v>
      </c>
      <c r="BI6" s="274">
        <f t="shared" si="60"/>
        <v>4</v>
      </c>
      <c r="BJ6" s="79">
        <f t="shared" si="61"/>
        <v>9.3023255813953487E-2</v>
      </c>
      <c r="BK6" s="76">
        <f t="shared" si="62"/>
        <v>-3.7000000000000011</v>
      </c>
      <c r="BL6" s="75">
        <f t="shared" si="63"/>
        <v>379</v>
      </c>
      <c r="BM6" s="75">
        <f t="shared" si="64"/>
        <v>104</v>
      </c>
      <c r="BN6" s="160">
        <f t="shared" si="65"/>
        <v>0.27440633245382584</v>
      </c>
      <c r="BO6" s="75">
        <f t="shared" si="66"/>
        <v>658</v>
      </c>
      <c r="BP6" s="76">
        <f t="shared" si="67"/>
        <v>16.001080788975955</v>
      </c>
      <c r="BQ6" s="75">
        <f t="shared" si="68"/>
        <v>256</v>
      </c>
      <c r="BR6" s="76">
        <f t="shared" si="69"/>
        <v>6.2253445014860853</v>
      </c>
      <c r="BS6" s="160">
        <f t="shared" si="70"/>
        <v>0.38905775075987842</v>
      </c>
      <c r="BT6" s="75">
        <f t="shared" si="71"/>
        <v>224</v>
      </c>
      <c r="BU6" s="76">
        <f t="shared" si="72"/>
        <v>5.4471764388003248</v>
      </c>
      <c r="BV6" s="75">
        <f t="shared" si="73"/>
        <v>179.5</v>
      </c>
      <c r="BW6" s="76">
        <f t="shared" si="74"/>
        <v>4.3650364766279388</v>
      </c>
      <c r="BX6" s="322">
        <f t="shared" si="75"/>
        <v>0</v>
      </c>
      <c r="BY6" s="323">
        <f t="shared" si="76"/>
        <v>0</v>
      </c>
      <c r="BZ6" s="322">
        <f t="shared" si="77"/>
        <v>0</v>
      </c>
      <c r="CA6" s="323">
        <f t="shared" si="78"/>
        <v>0</v>
      </c>
      <c r="CB6" s="369">
        <f t="shared" si="79"/>
        <v>0</v>
      </c>
      <c r="CC6" s="322">
        <f t="shared" si="80"/>
        <v>0</v>
      </c>
      <c r="CD6" s="322">
        <f t="shared" si="81"/>
        <v>0</v>
      </c>
      <c r="CE6" s="370">
        <f t="shared" si="82"/>
        <v>0</v>
      </c>
      <c r="CF6" s="368">
        <f t="shared" si="83"/>
        <v>1E-8</v>
      </c>
      <c r="CG6" s="75">
        <f t="shared" si="84"/>
        <v>437.44888888888886</v>
      </c>
      <c r="CH6" s="76">
        <f t="shared" si="85"/>
        <v>10.637773574709538</v>
      </c>
      <c r="CI6" s="75">
        <f t="shared" si="86"/>
        <v>220</v>
      </c>
      <c r="CJ6" s="76">
        <f t="shared" si="87"/>
        <v>5.3499054309646041</v>
      </c>
      <c r="CK6" s="79">
        <f t="shared" si="88"/>
        <v>0.50291589620628696</v>
      </c>
      <c r="CL6" s="75">
        <f t="shared" si="89"/>
        <v>497</v>
      </c>
      <c r="CM6" s="76">
        <f t="shared" si="90"/>
        <v>12.085922723588221</v>
      </c>
      <c r="CN6" s="75">
        <f t="shared" si="91"/>
        <v>373</v>
      </c>
      <c r="CO6" s="76">
        <f t="shared" si="92"/>
        <v>9.0705214806808971</v>
      </c>
      <c r="CP6" s="79">
        <f t="shared" si="93"/>
        <v>0.75050301810865194</v>
      </c>
      <c r="CQ6" s="83">
        <f t="shared" si="94"/>
        <v>3326.4488888888891</v>
      </c>
      <c r="CR6" s="83">
        <f t="shared" si="95"/>
        <v>2686</v>
      </c>
      <c r="CS6" s="84">
        <f t="shared" si="96"/>
        <v>0.80746768993561369</v>
      </c>
      <c r="CT6" s="75">
        <f t="shared" si="97"/>
        <v>68</v>
      </c>
      <c r="CU6" s="76">
        <f t="shared" si="98"/>
        <v>1.6536071332072413</v>
      </c>
      <c r="CV6" s="75">
        <f t="shared" si="99"/>
        <v>139</v>
      </c>
      <c r="CW6" s="76">
        <f t="shared" si="100"/>
        <v>3.3801675222912726</v>
      </c>
      <c r="CX6" s="75">
        <f t="shared" si="101"/>
        <v>130</v>
      </c>
      <c r="CY6" s="76">
        <f t="shared" si="102"/>
        <v>3.1613077546609025</v>
      </c>
      <c r="CZ6" s="75">
        <f t="shared" si="103"/>
        <v>16.448888888888888</v>
      </c>
      <c r="DA6" s="76">
        <f t="shared" si="104"/>
        <v>0.4</v>
      </c>
      <c r="DB6" s="75">
        <f t="shared" si="105"/>
        <v>3185</v>
      </c>
      <c r="DC6" s="76">
        <f t="shared" si="106"/>
        <v>77.452039989192116</v>
      </c>
      <c r="DD6" s="75">
        <f t="shared" si="107"/>
        <v>186.5</v>
      </c>
      <c r="DE6" s="6">
        <f t="shared" si="108"/>
        <v>0</v>
      </c>
      <c r="DF6" s="5">
        <f t="shared" si="109"/>
        <v>0</v>
      </c>
      <c r="DG6" s="6">
        <f t="shared" si="110"/>
        <v>83</v>
      </c>
      <c r="DH6" s="5">
        <f t="shared" si="111"/>
        <v>2.0183734125911919</v>
      </c>
      <c r="DI6" s="5">
        <f t="shared" si="112"/>
        <v>11.857142857142858</v>
      </c>
      <c r="DJ6" s="21">
        <f t="shared" si="113"/>
        <v>8.4337349397590355E-2</v>
      </c>
      <c r="DK6" s="5">
        <f t="shared" si="114"/>
        <v>1.6199999999999992</v>
      </c>
      <c r="DL6" s="5">
        <f t="shared" si="115"/>
        <v>0.10385542168674698</v>
      </c>
      <c r="DM6" s="222">
        <f t="shared" si="116"/>
        <v>402</v>
      </c>
      <c r="DN6" s="223">
        <f t="shared" si="117"/>
        <v>9.7757362874898686</v>
      </c>
      <c r="DO6" s="76">
        <f t="shared" si="118"/>
        <v>44.590361445783131</v>
      </c>
      <c r="DP6" s="76">
        <f>IFERROR(EN6/(FG6+ET6+#REF!),700)</f>
        <v>700</v>
      </c>
      <c r="DQ6" s="76">
        <f t="shared" si="119"/>
        <v>58.16806268576061</v>
      </c>
      <c r="DR6" s="76">
        <f t="shared" si="120"/>
        <v>50.897054850040533</v>
      </c>
      <c r="DS6" s="92">
        <f t="shared" si="121"/>
        <v>0.875</v>
      </c>
      <c r="DT6" s="188">
        <f t="shared" si="122"/>
        <v>507.3</v>
      </c>
      <c r="DU6" s="207">
        <f t="shared" si="123"/>
        <v>12.3363955687652</v>
      </c>
      <c r="DV6" s="209">
        <f t="shared" si="124"/>
        <v>8.2242637125101314</v>
      </c>
      <c r="DW6" s="208">
        <f t="shared" si="125"/>
        <v>797.77111111111105</v>
      </c>
      <c r="DX6" s="76">
        <f t="shared" si="126"/>
        <v>19.399999999999999</v>
      </c>
      <c r="DY6" s="56">
        <f t="shared" si="127"/>
        <v>569</v>
      </c>
      <c r="DZ6" s="57">
        <f t="shared" si="128"/>
        <v>13.836800864631181</v>
      </c>
      <c r="EA6" s="76">
        <f t="shared" si="129"/>
        <v>14.8</v>
      </c>
      <c r="EB6" s="57">
        <f t="shared" si="130"/>
        <v>284.56577777777778</v>
      </c>
      <c r="EC6" s="62">
        <f t="shared" si="131"/>
        <v>6.92</v>
      </c>
      <c r="ED6" s="300"/>
      <c r="EE6" s="296" t="s">
        <v>13</v>
      </c>
      <c r="EF6" s="296" t="s">
        <v>585</v>
      </c>
      <c r="EG6" s="296">
        <v>29</v>
      </c>
      <c r="EH6" s="296" t="s">
        <v>554</v>
      </c>
      <c r="EI6" s="296" t="s">
        <v>617</v>
      </c>
      <c r="EJ6" s="296" t="s">
        <v>645</v>
      </c>
      <c r="EK6" s="296" t="s">
        <v>620</v>
      </c>
      <c r="EL6" s="296" t="s">
        <v>701</v>
      </c>
      <c r="EM6" s="297">
        <v>47118</v>
      </c>
      <c r="EN6" s="296">
        <v>3701</v>
      </c>
      <c r="EO6" s="296" t="s">
        <v>1112</v>
      </c>
      <c r="EP6" s="296">
        <v>2</v>
      </c>
      <c r="EQ6" s="296">
        <v>2</v>
      </c>
      <c r="ER6" s="296">
        <v>7</v>
      </c>
      <c r="ES6" s="296">
        <v>11</v>
      </c>
      <c r="ET6" s="296">
        <v>14</v>
      </c>
      <c r="EU6" s="296">
        <v>11.1</v>
      </c>
      <c r="EV6" s="296">
        <v>14.8</v>
      </c>
      <c r="EW6" s="296" t="s">
        <v>950</v>
      </c>
      <c r="EX6" s="296" t="s">
        <v>1113</v>
      </c>
      <c r="EY6" s="296">
        <v>43</v>
      </c>
      <c r="EZ6" s="296">
        <v>34</v>
      </c>
      <c r="FA6" s="296">
        <v>2392</v>
      </c>
      <c r="FB6" s="296">
        <v>2093</v>
      </c>
      <c r="FC6" s="296">
        <v>83</v>
      </c>
      <c r="FD6" s="296">
        <v>372</v>
      </c>
      <c r="FE6" s="296">
        <v>68</v>
      </c>
      <c r="FF6" s="296">
        <v>33</v>
      </c>
      <c r="FG6" s="296">
        <v>8</v>
      </c>
      <c r="FH6" s="296">
        <v>147</v>
      </c>
      <c r="FI6" s="296">
        <v>78</v>
      </c>
      <c r="FJ6" s="296">
        <v>379</v>
      </c>
      <c r="FK6" s="296">
        <v>104</v>
      </c>
      <c r="FL6" s="296">
        <v>86</v>
      </c>
      <c r="FM6" s="296">
        <v>71</v>
      </c>
      <c r="FN6" s="296">
        <v>149</v>
      </c>
      <c r="FO6" s="296">
        <v>218</v>
      </c>
      <c r="FP6" s="296">
        <v>42</v>
      </c>
      <c r="FQ6" s="296">
        <v>218</v>
      </c>
      <c r="FR6" s="296">
        <v>42</v>
      </c>
      <c r="FS6" s="296">
        <v>1</v>
      </c>
      <c r="FT6" s="296">
        <v>0.4</v>
      </c>
      <c r="FU6" s="296">
        <v>0</v>
      </c>
      <c r="FV6" s="296">
        <v>5</v>
      </c>
      <c r="FW6" s="296">
        <v>22</v>
      </c>
      <c r="FX6" s="296">
        <v>10</v>
      </c>
      <c r="FY6" s="296">
        <v>40</v>
      </c>
      <c r="FZ6" s="296">
        <v>3</v>
      </c>
      <c r="GA6" s="296">
        <v>4</v>
      </c>
      <c r="GB6" s="296">
        <v>0</v>
      </c>
      <c r="GC6" s="296">
        <v>0</v>
      </c>
      <c r="GD6" s="296">
        <v>19.399999999999999</v>
      </c>
      <c r="GE6" s="296">
        <v>0</v>
      </c>
      <c r="GF6" s="296">
        <v>0</v>
      </c>
      <c r="GG6" s="296" t="s">
        <v>1114</v>
      </c>
      <c r="GH6" s="301">
        <v>6.92</v>
      </c>
    </row>
    <row r="7" spans="1:190" ht="24.95" customHeight="1" thickBot="1" x14ac:dyDescent="0.3">
      <c r="A7" s="29" t="str">
        <f t="shared" si="132"/>
        <v>6º</v>
      </c>
      <c r="B7" s="69" t="str">
        <f t="shared" si="1"/>
        <v>Juan Pablo Freytes</v>
      </c>
      <c r="C7" s="86" t="str">
        <f t="shared" si="2"/>
        <v>ARG</v>
      </c>
      <c r="D7" s="36" t="str">
        <f t="shared" si="3"/>
        <v>Fluminense</v>
      </c>
      <c r="E7" s="36">
        <f t="shared" si="4"/>
        <v>26</v>
      </c>
      <c r="F7" s="349" t="str">
        <f t="shared" si="5"/>
        <v>3,4m € p/m</v>
      </c>
      <c r="G7" s="96">
        <f t="shared" si="6"/>
        <v>41.534074074074077</v>
      </c>
      <c r="H7" s="197">
        <f t="shared" si="7"/>
        <v>41.444444444444443</v>
      </c>
      <c r="I7" s="197">
        <f t="shared" si="8"/>
        <v>44</v>
      </c>
      <c r="J7" s="197">
        <f t="shared" si="9"/>
        <v>84.772727272727266</v>
      </c>
      <c r="K7" s="198">
        <f t="shared" si="10"/>
        <v>0.98</v>
      </c>
      <c r="L7" s="6">
        <f t="shared" si="11"/>
        <v>1</v>
      </c>
      <c r="M7" s="24">
        <f t="shared" si="12"/>
        <v>3730</v>
      </c>
      <c r="N7" s="21">
        <f t="shared" si="13"/>
        <v>2.412868632707775E-2</v>
      </c>
      <c r="O7" s="58">
        <f t="shared" si="14"/>
        <v>0</v>
      </c>
      <c r="P7" s="58">
        <f t="shared" si="15"/>
        <v>2</v>
      </c>
      <c r="Q7" s="58">
        <f t="shared" si="16"/>
        <v>2</v>
      </c>
      <c r="R7" s="76">
        <f t="shared" si="17"/>
        <v>0</v>
      </c>
      <c r="S7" s="76">
        <f t="shared" si="18"/>
        <v>4.82573726541555E-2</v>
      </c>
      <c r="T7" s="76">
        <f t="shared" si="19"/>
        <v>4.82573726541555E-2</v>
      </c>
      <c r="U7" s="76">
        <f t="shared" si="20"/>
        <v>1.08</v>
      </c>
      <c r="V7" s="76">
        <f t="shared" si="21"/>
        <v>1.08</v>
      </c>
      <c r="W7" s="76">
        <f t="shared" si="22"/>
        <v>2.6058981233243971E-2</v>
      </c>
      <c r="X7" s="76">
        <f t="shared" si="23"/>
        <v>1.92</v>
      </c>
      <c r="Y7" s="76">
        <f t="shared" si="24"/>
        <v>4.6327077747989276E-2</v>
      </c>
      <c r="Z7" s="76">
        <f t="shared" si="25"/>
        <v>3</v>
      </c>
      <c r="AA7" s="76">
        <f t="shared" si="26"/>
        <v>7.2386058981233251E-2</v>
      </c>
      <c r="AB7" s="6">
        <f t="shared" si="27"/>
        <v>12</v>
      </c>
      <c r="AC7" s="5">
        <f t="shared" si="28"/>
        <v>0.289544235924933</v>
      </c>
      <c r="AD7" s="6">
        <f t="shared" si="29"/>
        <v>4</v>
      </c>
      <c r="AE7" s="5">
        <f t="shared" si="30"/>
        <v>9.6514745308311001E-2</v>
      </c>
      <c r="AF7" s="21">
        <f t="shared" si="31"/>
        <v>0.33333333333333331</v>
      </c>
      <c r="AG7" s="76">
        <f t="shared" si="32"/>
        <v>50</v>
      </c>
      <c r="AH7" s="76">
        <f t="shared" si="33"/>
        <v>50</v>
      </c>
      <c r="AI7" s="20">
        <f t="shared" si="34"/>
        <v>0</v>
      </c>
      <c r="AJ7" s="76">
        <f t="shared" si="35"/>
        <v>310.83333333333331</v>
      </c>
      <c r="AK7" s="76">
        <f t="shared" si="36"/>
        <v>932.5</v>
      </c>
      <c r="AL7" s="76">
        <f t="shared" si="37"/>
        <v>3730</v>
      </c>
      <c r="AM7" s="76">
        <f t="shared" si="38"/>
        <v>1865</v>
      </c>
      <c r="AN7" s="5">
        <f t="shared" si="39"/>
        <v>-1.08</v>
      </c>
      <c r="AO7" s="5">
        <f t="shared" si="40"/>
        <v>-1.08</v>
      </c>
      <c r="AP7" s="75">
        <f t="shared" si="41"/>
        <v>0</v>
      </c>
      <c r="AQ7" s="76">
        <f t="shared" si="42"/>
        <v>0</v>
      </c>
      <c r="AR7" s="75">
        <f t="shared" si="43"/>
        <v>217</v>
      </c>
      <c r="AS7" s="75">
        <f t="shared" si="44"/>
        <v>151</v>
      </c>
      <c r="AT7" s="75">
        <f t="shared" si="45"/>
        <v>66</v>
      </c>
      <c r="AU7" s="76">
        <f t="shared" si="46"/>
        <v>3.6434316353887399</v>
      </c>
      <c r="AV7" s="79">
        <f t="shared" si="47"/>
        <v>0.69585253456221197</v>
      </c>
      <c r="AW7" s="75">
        <f t="shared" si="48"/>
        <v>45</v>
      </c>
      <c r="AX7" s="75">
        <f t="shared" si="49"/>
        <v>21</v>
      </c>
      <c r="AY7" s="75">
        <f t="shared" si="50"/>
        <v>6</v>
      </c>
      <c r="AZ7" s="76">
        <f t="shared" si="51"/>
        <v>0.50670241286863271</v>
      </c>
      <c r="BA7" s="76">
        <f t="shared" si="52"/>
        <v>0.1447721179624665</v>
      </c>
      <c r="BB7" s="79">
        <f t="shared" si="53"/>
        <v>0.46666666666666667</v>
      </c>
      <c r="BC7" s="274">
        <f t="shared" si="54"/>
        <v>18</v>
      </c>
      <c r="BD7" s="273">
        <f t="shared" si="55"/>
        <v>0.43431635388739948</v>
      </c>
      <c r="BE7" s="274">
        <f t="shared" si="56"/>
        <v>4</v>
      </c>
      <c r="BF7" s="273">
        <f t="shared" si="57"/>
        <v>9.6514745308311001E-2</v>
      </c>
      <c r="BG7" s="274">
        <f t="shared" si="58"/>
        <v>0</v>
      </c>
      <c r="BH7" s="273">
        <f t="shared" si="59"/>
        <v>0</v>
      </c>
      <c r="BI7" s="274">
        <f t="shared" si="60"/>
        <v>4</v>
      </c>
      <c r="BJ7" s="79">
        <f t="shared" si="61"/>
        <v>0.22222222222222221</v>
      </c>
      <c r="BK7" s="76">
        <f t="shared" si="62"/>
        <v>6.9</v>
      </c>
      <c r="BL7" s="75">
        <f t="shared" si="63"/>
        <v>109</v>
      </c>
      <c r="BM7" s="75">
        <f t="shared" si="64"/>
        <v>39</v>
      </c>
      <c r="BN7" s="160">
        <f t="shared" si="65"/>
        <v>0.3577981651376147</v>
      </c>
      <c r="BO7" s="75">
        <f t="shared" si="66"/>
        <v>379</v>
      </c>
      <c r="BP7" s="76">
        <f t="shared" si="67"/>
        <v>9.1447721179624661</v>
      </c>
      <c r="BQ7" s="75">
        <f t="shared" si="68"/>
        <v>219</v>
      </c>
      <c r="BR7" s="76">
        <f t="shared" si="69"/>
        <v>5.2841823056300274</v>
      </c>
      <c r="BS7" s="160">
        <f t="shared" si="70"/>
        <v>0.57783641160949872</v>
      </c>
      <c r="BT7" s="75">
        <f t="shared" si="71"/>
        <v>239</v>
      </c>
      <c r="BU7" s="76">
        <f t="shared" si="72"/>
        <v>5.7667560321715818</v>
      </c>
      <c r="BV7" s="75">
        <f t="shared" si="73"/>
        <v>72</v>
      </c>
      <c r="BW7" s="76">
        <f t="shared" si="74"/>
        <v>1.7372654155495979</v>
      </c>
      <c r="BX7" s="322">
        <f t="shared" si="75"/>
        <v>9</v>
      </c>
      <c r="BY7" s="323">
        <f t="shared" si="76"/>
        <v>0.21715817694369974</v>
      </c>
      <c r="BZ7" s="322">
        <f t="shared" si="77"/>
        <v>0</v>
      </c>
      <c r="CA7" s="323">
        <f t="shared" si="78"/>
        <v>0</v>
      </c>
      <c r="CB7" s="369">
        <f t="shared" si="79"/>
        <v>0</v>
      </c>
      <c r="CC7" s="322">
        <f t="shared" si="80"/>
        <v>0</v>
      </c>
      <c r="CD7" s="322">
        <f t="shared" si="81"/>
        <v>0</v>
      </c>
      <c r="CE7" s="370">
        <f t="shared" si="82"/>
        <v>0</v>
      </c>
      <c r="CF7" s="368">
        <f t="shared" si="83"/>
        <v>1E-8</v>
      </c>
      <c r="CG7" s="75">
        <f t="shared" si="84"/>
        <v>61.144444444444446</v>
      </c>
      <c r="CH7" s="76">
        <f t="shared" si="85"/>
        <v>1.4753351206434318</v>
      </c>
      <c r="CI7" s="75">
        <f t="shared" si="86"/>
        <v>35</v>
      </c>
      <c r="CJ7" s="76">
        <f t="shared" si="87"/>
        <v>0.84450402144772119</v>
      </c>
      <c r="CK7" s="79">
        <f t="shared" si="88"/>
        <v>0.57241504633836093</v>
      </c>
      <c r="CL7" s="75">
        <f t="shared" si="89"/>
        <v>493</v>
      </c>
      <c r="CM7" s="76">
        <f t="shared" si="90"/>
        <v>11.89544235924933</v>
      </c>
      <c r="CN7" s="75">
        <f t="shared" si="91"/>
        <v>411</v>
      </c>
      <c r="CO7" s="76">
        <f t="shared" si="92"/>
        <v>9.9168900804289546</v>
      </c>
      <c r="CP7" s="79">
        <f t="shared" si="93"/>
        <v>0.83367139959432046</v>
      </c>
      <c r="CQ7" s="83">
        <f t="shared" si="94"/>
        <v>2503.1444444444442</v>
      </c>
      <c r="CR7" s="83">
        <f t="shared" si="95"/>
        <v>2259</v>
      </c>
      <c r="CS7" s="84">
        <f t="shared" si="96"/>
        <v>0.90246489970392807</v>
      </c>
      <c r="CT7" s="75">
        <f t="shared" si="97"/>
        <v>1</v>
      </c>
      <c r="CU7" s="76">
        <f t="shared" si="98"/>
        <v>2.412868632707775E-2</v>
      </c>
      <c r="CV7" s="75">
        <f t="shared" si="99"/>
        <v>30</v>
      </c>
      <c r="CW7" s="76">
        <f t="shared" si="100"/>
        <v>0.72386058981233248</v>
      </c>
      <c r="CX7" s="75">
        <f t="shared" si="101"/>
        <v>38</v>
      </c>
      <c r="CY7" s="76">
        <f t="shared" si="102"/>
        <v>0.91689008042895448</v>
      </c>
      <c r="CZ7" s="75">
        <f t="shared" si="103"/>
        <v>4.1444444444444448</v>
      </c>
      <c r="DA7" s="76">
        <f t="shared" si="104"/>
        <v>0.1</v>
      </c>
      <c r="DB7" s="75">
        <f t="shared" si="105"/>
        <v>2389</v>
      </c>
      <c r="DC7" s="76">
        <f t="shared" si="106"/>
        <v>57.643431635388744</v>
      </c>
      <c r="DD7" s="75">
        <f t="shared" si="107"/>
        <v>34</v>
      </c>
      <c r="DE7" s="6">
        <f t="shared" si="108"/>
        <v>0</v>
      </c>
      <c r="DF7" s="5">
        <f t="shared" si="109"/>
        <v>0</v>
      </c>
      <c r="DG7" s="6">
        <f t="shared" si="110"/>
        <v>22</v>
      </c>
      <c r="DH7" s="5">
        <f t="shared" si="111"/>
        <v>0.53083109919571048</v>
      </c>
      <c r="DI7" s="5">
        <f t="shared" si="112"/>
        <v>11</v>
      </c>
      <c r="DJ7" s="21">
        <f t="shared" si="113"/>
        <v>9.0909090909090912E-2</v>
      </c>
      <c r="DK7" s="5">
        <f t="shared" si="114"/>
        <v>-8.0000000000000071E-2</v>
      </c>
      <c r="DL7" s="5">
        <f t="shared" si="115"/>
        <v>8.7272727272727266E-2</v>
      </c>
      <c r="DM7" s="222">
        <f t="shared" si="116"/>
        <v>53</v>
      </c>
      <c r="DN7" s="223">
        <f t="shared" si="117"/>
        <v>1.2788203753351206</v>
      </c>
      <c r="DO7" s="76">
        <f t="shared" si="118"/>
        <v>169.54545454545453</v>
      </c>
      <c r="DP7" s="76">
        <f>IFERROR(EN7/(FG7+ET7+#REF!),700)</f>
        <v>700</v>
      </c>
      <c r="DQ7" s="76">
        <f t="shared" si="119"/>
        <v>47.02680965147453</v>
      </c>
      <c r="DR7" s="76">
        <f t="shared" si="120"/>
        <v>43.745308310991959</v>
      </c>
      <c r="DS7" s="92">
        <f t="shared" si="121"/>
        <v>0.93022062596203181</v>
      </c>
      <c r="DT7" s="188">
        <f t="shared" si="122"/>
        <v>428.2</v>
      </c>
      <c r="DU7" s="207">
        <f t="shared" si="123"/>
        <v>10.331903485254692</v>
      </c>
      <c r="DV7" s="209">
        <f t="shared" si="124"/>
        <v>6.8879356568364614</v>
      </c>
      <c r="DW7" s="208">
        <f t="shared" si="125"/>
        <v>290.11111111111109</v>
      </c>
      <c r="DX7" s="76">
        <f t="shared" si="126"/>
        <v>7</v>
      </c>
      <c r="DY7" s="56">
        <f t="shared" si="127"/>
        <v>224</v>
      </c>
      <c r="DZ7" s="57">
        <f t="shared" si="128"/>
        <v>5.4048257372654156</v>
      </c>
      <c r="EA7" s="76">
        <f t="shared" si="129"/>
        <v>4</v>
      </c>
      <c r="EB7" s="57">
        <f t="shared" si="130"/>
        <v>286.38111111111112</v>
      </c>
      <c r="EC7" s="62">
        <f t="shared" si="131"/>
        <v>6.91</v>
      </c>
      <c r="ED7" s="300"/>
      <c r="EE7" s="296" t="s">
        <v>478</v>
      </c>
      <c r="EF7" s="296" t="s">
        <v>995</v>
      </c>
      <c r="EG7" s="296">
        <v>26</v>
      </c>
      <c r="EH7" s="296" t="s">
        <v>582</v>
      </c>
      <c r="EI7" s="296" t="s">
        <v>575</v>
      </c>
      <c r="EJ7" s="296" t="s">
        <v>652</v>
      </c>
      <c r="EK7" s="296" t="s">
        <v>729</v>
      </c>
      <c r="EL7" s="296" t="s">
        <v>907</v>
      </c>
      <c r="EM7" s="297">
        <v>47118</v>
      </c>
      <c r="EN7" s="296">
        <v>3730</v>
      </c>
      <c r="EO7" s="296" t="s">
        <v>977</v>
      </c>
      <c r="EP7" s="296">
        <v>1</v>
      </c>
      <c r="EQ7" s="296">
        <v>0</v>
      </c>
      <c r="ER7" s="296">
        <v>2</v>
      </c>
      <c r="ES7" s="296">
        <v>6</v>
      </c>
      <c r="ET7" s="296">
        <v>4</v>
      </c>
      <c r="EU7" s="296">
        <v>10.9</v>
      </c>
      <c r="EV7" s="296">
        <v>4</v>
      </c>
      <c r="EW7" s="296" t="s">
        <v>970</v>
      </c>
      <c r="EX7" s="296" t="s">
        <v>926</v>
      </c>
      <c r="EY7" s="296">
        <v>18</v>
      </c>
      <c r="EZ7" s="296">
        <v>10</v>
      </c>
      <c r="FA7" s="296">
        <v>1949</v>
      </c>
      <c r="FB7" s="296">
        <v>1813</v>
      </c>
      <c r="FC7" s="296">
        <v>22</v>
      </c>
      <c r="FD7" s="296">
        <v>149</v>
      </c>
      <c r="FE7" s="296">
        <v>1</v>
      </c>
      <c r="FF7" s="296">
        <v>12</v>
      </c>
      <c r="FG7" s="296">
        <v>4</v>
      </c>
      <c r="FH7" s="296">
        <v>217</v>
      </c>
      <c r="FI7" s="296">
        <v>151</v>
      </c>
      <c r="FJ7" s="296">
        <v>109</v>
      </c>
      <c r="FK7" s="296">
        <v>39</v>
      </c>
      <c r="FL7" s="296">
        <v>27</v>
      </c>
      <c r="FM7" s="296">
        <v>21</v>
      </c>
      <c r="FN7" s="296">
        <v>123</v>
      </c>
      <c r="FO7" s="296">
        <v>9</v>
      </c>
      <c r="FP7" s="296">
        <v>4</v>
      </c>
      <c r="FQ7" s="296">
        <v>18</v>
      </c>
      <c r="FR7" s="296">
        <v>4</v>
      </c>
      <c r="FS7" s="296">
        <v>0</v>
      </c>
      <c r="FT7" s="296">
        <v>0.1</v>
      </c>
      <c r="FU7" s="296">
        <v>1</v>
      </c>
      <c r="FV7" s="296">
        <v>0</v>
      </c>
      <c r="FW7" s="296">
        <v>37</v>
      </c>
      <c r="FX7" s="296">
        <v>33</v>
      </c>
      <c r="FY7" s="296">
        <v>38</v>
      </c>
      <c r="FZ7" s="296">
        <v>8</v>
      </c>
      <c r="GA7" s="296">
        <v>4</v>
      </c>
      <c r="GB7" s="296">
        <v>0</v>
      </c>
      <c r="GC7" s="296">
        <v>0</v>
      </c>
      <c r="GD7" s="296">
        <v>7</v>
      </c>
      <c r="GE7" s="296">
        <v>0</v>
      </c>
      <c r="GF7" s="296">
        <v>0</v>
      </c>
      <c r="GG7" s="296" t="s">
        <v>1032</v>
      </c>
      <c r="GH7" s="301">
        <v>6.91</v>
      </c>
    </row>
    <row r="8" spans="1:190" ht="24.95" customHeight="1" thickBot="1" x14ac:dyDescent="0.3">
      <c r="A8" s="29" t="str">
        <f t="shared" si="132"/>
        <v>7º</v>
      </c>
      <c r="B8" s="69" t="str">
        <f t="shared" si="1"/>
        <v>Kanu</v>
      </c>
      <c r="C8" s="86" t="str">
        <f t="shared" si="2"/>
        <v>BRA</v>
      </c>
      <c r="D8" s="36" t="str">
        <f t="shared" si="3"/>
        <v>Bahia</v>
      </c>
      <c r="E8" s="36">
        <f t="shared" si="4"/>
        <v>29</v>
      </c>
      <c r="F8" s="349" t="str">
        <f t="shared" si="5"/>
        <v>13,25m € p/m</v>
      </c>
      <c r="G8" s="96">
        <f t="shared" si="6"/>
        <v>41.534074074074077</v>
      </c>
      <c r="H8" s="197">
        <f t="shared" si="7"/>
        <v>46.033333333333331</v>
      </c>
      <c r="I8" s="197">
        <f t="shared" si="8"/>
        <v>30</v>
      </c>
      <c r="J8" s="197">
        <f t="shared" si="9"/>
        <v>138.1</v>
      </c>
      <c r="K8" s="198">
        <f t="shared" si="10"/>
        <v>0.67</v>
      </c>
      <c r="L8" s="6">
        <f t="shared" si="11"/>
        <v>1</v>
      </c>
      <c r="M8" s="24">
        <f t="shared" si="12"/>
        <v>4143</v>
      </c>
      <c r="N8" s="21">
        <f t="shared" si="13"/>
        <v>2.1723388848660392E-2</v>
      </c>
      <c r="O8" s="58">
        <f t="shared" si="14"/>
        <v>1</v>
      </c>
      <c r="P8" s="58">
        <f t="shared" si="15"/>
        <v>0</v>
      </c>
      <c r="Q8" s="58">
        <f t="shared" si="16"/>
        <v>1</v>
      </c>
      <c r="R8" s="76">
        <f t="shared" si="17"/>
        <v>2.1723388848660392E-2</v>
      </c>
      <c r="S8" s="76">
        <f t="shared" si="18"/>
        <v>0</v>
      </c>
      <c r="T8" s="76">
        <f t="shared" si="19"/>
        <v>2.1723388848660392E-2</v>
      </c>
      <c r="U8" s="76">
        <f t="shared" si="20"/>
        <v>1.62</v>
      </c>
      <c r="V8" s="76">
        <f t="shared" si="21"/>
        <v>1.62</v>
      </c>
      <c r="W8" s="76">
        <f t="shared" si="22"/>
        <v>3.5191889934829836E-2</v>
      </c>
      <c r="X8" s="76">
        <f t="shared" si="23"/>
        <v>1.25</v>
      </c>
      <c r="Y8" s="76">
        <f t="shared" si="24"/>
        <v>2.7154236060825489E-2</v>
      </c>
      <c r="Z8" s="76">
        <f t="shared" si="25"/>
        <v>2.87</v>
      </c>
      <c r="AA8" s="76">
        <f t="shared" si="26"/>
        <v>6.2346125995655324E-2</v>
      </c>
      <c r="AB8" s="6">
        <f t="shared" si="27"/>
        <v>18</v>
      </c>
      <c r="AC8" s="5">
        <f t="shared" si="28"/>
        <v>0.39102099927588707</v>
      </c>
      <c r="AD8" s="6">
        <f t="shared" si="29"/>
        <v>7</v>
      </c>
      <c r="AE8" s="5">
        <f t="shared" si="30"/>
        <v>0.15206372194062273</v>
      </c>
      <c r="AF8" s="21">
        <f t="shared" si="31"/>
        <v>0.3888888888888889</v>
      </c>
      <c r="AG8" s="76">
        <f t="shared" si="32"/>
        <v>18</v>
      </c>
      <c r="AH8" s="76">
        <f t="shared" si="33"/>
        <v>7</v>
      </c>
      <c r="AI8" s="20">
        <f t="shared" si="34"/>
        <v>5.5555555555555552E-2</v>
      </c>
      <c r="AJ8" s="76">
        <f t="shared" si="35"/>
        <v>230.16666666666666</v>
      </c>
      <c r="AK8" s="76">
        <f t="shared" si="36"/>
        <v>591.85714285714289</v>
      </c>
      <c r="AL8" s="76">
        <f t="shared" si="37"/>
        <v>4143</v>
      </c>
      <c r="AM8" s="76">
        <f t="shared" si="38"/>
        <v>4143</v>
      </c>
      <c r="AN8" s="5">
        <f t="shared" si="39"/>
        <v>-0.62000000000000011</v>
      </c>
      <c r="AO8" s="5">
        <f t="shared" si="40"/>
        <v>-0.62000000000000011</v>
      </c>
      <c r="AP8" s="75">
        <f t="shared" si="41"/>
        <v>0</v>
      </c>
      <c r="AQ8" s="76">
        <f t="shared" si="42"/>
        <v>0</v>
      </c>
      <c r="AR8" s="75">
        <f t="shared" si="43"/>
        <v>209</v>
      </c>
      <c r="AS8" s="75">
        <f t="shared" si="44"/>
        <v>145</v>
      </c>
      <c r="AT8" s="75">
        <f t="shared" si="45"/>
        <v>64</v>
      </c>
      <c r="AU8" s="76">
        <f t="shared" si="46"/>
        <v>3.1498913830557567</v>
      </c>
      <c r="AV8" s="79">
        <f t="shared" si="47"/>
        <v>0.69377990430622005</v>
      </c>
      <c r="AW8" s="75">
        <f t="shared" si="48"/>
        <v>56</v>
      </c>
      <c r="AX8" s="75">
        <f t="shared" si="49"/>
        <v>27</v>
      </c>
      <c r="AY8" s="75">
        <f t="shared" si="50"/>
        <v>6</v>
      </c>
      <c r="AZ8" s="76">
        <f t="shared" si="51"/>
        <v>0.58653149891383061</v>
      </c>
      <c r="BA8" s="76">
        <f t="shared" si="52"/>
        <v>0.13034033309196236</v>
      </c>
      <c r="BB8" s="79">
        <f t="shared" si="53"/>
        <v>0.48214285714285715</v>
      </c>
      <c r="BC8" s="274">
        <f t="shared" si="54"/>
        <v>23</v>
      </c>
      <c r="BD8" s="273">
        <f t="shared" si="55"/>
        <v>0.499637943519189</v>
      </c>
      <c r="BE8" s="274">
        <f t="shared" si="56"/>
        <v>9</v>
      </c>
      <c r="BF8" s="273">
        <f t="shared" si="57"/>
        <v>0.19551049963794354</v>
      </c>
      <c r="BG8" s="274">
        <f t="shared" si="58"/>
        <v>1</v>
      </c>
      <c r="BH8" s="273">
        <f t="shared" si="59"/>
        <v>2.1723388848660392E-2</v>
      </c>
      <c r="BI8" s="274">
        <f t="shared" si="60"/>
        <v>10</v>
      </c>
      <c r="BJ8" s="79">
        <f t="shared" si="61"/>
        <v>0.43478260869565216</v>
      </c>
      <c r="BK8" s="76">
        <f t="shared" si="62"/>
        <v>7.6999999999999993</v>
      </c>
      <c r="BL8" s="75">
        <f t="shared" si="63"/>
        <v>108</v>
      </c>
      <c r="BM8" s="75">
        <f t="shared" si="64"/>
        <v>27</v>
      </c>
      <c r="BN8" s="160">
        <f t="shared" si="65"/>
        <v>0.25</v>
      </c>
      <c r="BO8" s="75">
        <f t="shared" si="66"/>
        <v>379</v>
      </c>
      <c r="BP8" s="76">
        <f t="shared" si="67"/>
        <v>8.233164373642289</v>
      </c>
      <c r="BQ8" s="75">
        <f t="shared" si="68"/>
        <v>205</v>
      </c>
      <c r="BR8" s="76">
        <f t="shared" si="69"/>
        <v>4.4532947139753807</v>
      </c>
      <c r="BS8" s="160">
        <f t="shared" si="70"/>
        <v>0.54089709762532978</v>
      </c>
      <c r="BT8" s="75">
        <f t="shared" si="71"/>
        <v>246</v>
      </c>
      <c r="BU8" s="76">
        <f t="shared" si="72"/>
        <v>5.3439536567704566</v>
      </c>
      <c r="BV8" s="75">
        <f t="shared" si="73"/>
        <v>63</v>
      </c>
      <c r="BW8" s="76">
        <f t="shared" si="74"/>
        <v>1.3685734974656047</v>
      </c>
      <c r="BX8" s="322">
        <f t="shared" si="75"/>
        <v>0</v>
      </c>
      <c r="BY8" s="323">
        <f t="shared" si="76"/>
        <v>0</v>
      </c>
      <c r="BZ8" s="322">
        <f t="shared" si="77"/>
        <v>0</v>
      </c>
      <c r="CA8" s="323">
        <f t="shared" si="78"/>
        <v>0</v>
      </c>
      <c r="CB8" s="369">
        <f t="shared" si="79"/>
        <v>0</v>
      </c>
      <c r="CC8" s="322">
        <f t="shared" si="80"/>
        <v>0</v>
      </c>
      <c r="CD8" s="322">
        <f t="shared" si="81"/>
        <v>0</v>
      </c>
      <c r="CE8" s="370">
        <f t="shared" si="82"/>
        <v>0</v>
      </c>
      <c r="CF8" s="368">
        <f t="shared" si="83"/>
        <v>1E-8</v>
      </c>
      <c r="CG8" s="75">
        <f t="shared" si="84"/>
        <v>27.603333333333332</v>
      </c>
      <c r="CH8" s="76">
        <f t="shared" si="85"/>
        <v>0.59963794351918898</v>
      </c>
      <c r="CI8" s="75">
        <f t="shared" si="86"/>
        <v>12</v>
      </c>
      <c r="CJ8" s="76">
        <f t="shared" si="87"/>
        <v>0.26068066618392471</v>
      </c>
      <c r="CK8" s="79">
        <f t="shared" si="88"/>
        <v>0.43473010505977544</v>
      </c>
      <c r="CL8" s="75">
        <f t="shared" si="89"/>
        <v>508</v>
      </c>
      <c r="CM8" s="76">
        <f t="shared" si="90"/>
        <v>11.035481535119478</v>
      </c>
      <c r="CN8" s="75">
        <f t="shared" si="91"/>
        <v>418</v>
      </c>
      <c r="CO8" s="76">
        <f t="shared" si="92"/>
        <v>9.0803765387400439</v>
      </c>
      <c r="CP8" s="79">
        <f t="shared" si="93"/>
        <v>0.82283464566929132</v>
      </c>
      <c r="CQ8" s="83">
        <f t="shared" si="94"/>
        <v>2425.6033333333335</v>
      </c>
      <c r="CR8" s="83">
        <f t="shared" si="95"/>
        <v>2151</v>
      </c>
      <c r="CS8" s="84">
        <f t="shared" si="96"/>
        <v>0.88678967844426326</v>
      </c>
      <c r="CT8" s="75">
        <f t="shared" si="97"/>
        <v>1</v>
      </c>
      <c r="CU8" s="76">
        <f t="shared" si="98"/>
        <v>2.1723388848660392E-2</v>
      </c>
      <c r="CV8" s="75">
        <f t="shared" si="99"/>
        <v>4</v>
      </c>
      <c r="CW8" s="76">
        <f t="shared" si="100"/>
        <v>8.6893555394641567E-2</v>
      </c>
      <c r="CX8" s="75">
        <f t="shared" si="101"/>
        <v>22</v>
      </c>
      <c r="CY8" s="76">
        <f t="shared" si="102"/>
        <v>0.47791455467052862</v>
      </c>
      <c r="CZ8" s="75">
        <f t="shared" si="103"/>
        <v>4.6033333333333335</v>
      </c>
      <c r="DA8" s="76">
        <f t="shared" si="104"/>
        <v>0.1</v>
      </c>
      <c r="DB8" s="75">
        <f t="shared" si="105"/>
        <v>2277</v>
      </c>
      <c r="DC8" s="76">
        <f t="shared" si="106"/>
        <v>49.46415640839971</v>
      </c>
      <c r="DD8" s="75">
        <f t="shared" si="107"/>
        <v>13.5</v>
      </c>
      <c r="DE8" s="6">
        <f t="shared" si="108"/>
        <v>0</v>
      </c>
      <c r="DF8" s="5">
        <f t="shared" si="109"/>
        <v>0</v>
      </c>
      <c r="DG8" s="6">
        <f t="shared" si="110"/>
        <v>3</v>
      </c>
      <c r="DH8" s="5">
        <f t="shared" si="111"/>
        <v>6.5170166545981179E-2</v>
      </c>
      <c r="DI8" s="5">
        <f t="shared" si="112"/>
        <v>70</v>
      </c>
      <c r="DJ8" s="21">
        <f t="shared" si="113"/>
        <v>0</v>
      </c>
      <c r="DK8" s="5">
        <f t="shared" si="114"/>
        <v>1.25</v>
      </c>
      <c r="DL8" s="5">
        <f t="shared" si="115"/>
        <v>0.41666666666666669</v>
      </c>
      <c r="DM8" s="222">
        <f t="shared" si="116"/>
        <v>22</v>
      </c>
      <c r="DN8" s="223">
        <f t="shared" si="117"/>
        <v>0.47791455467052862</v>
      </c>
      <c r="DO8" s="76">
        <f t="shared" si="118"/>
        <v>1381</v>
      </c>
      <c r="DP8" s="76">
        <f>IFERROR(EN8/(FG8+ET8+#REF!),700)</f>
        <v>700</v>
      </c>
      <c r="DQ8" s="76">
        <f t="shared" si="119"/>
        <v>41.057204923968143</v>
      </c>
      <c r="DR8" s="76">
        <f t="shared" si="120"/>
        <v>37.385952208544538</v>
      </c>
      <c r="DS8" s="92">
        <f t="shared" si="121"/>
        <v>0.9105820105820106</v>
      </c>
      <c r="DT8" s="188">
        <f t="shared" si="122"/>
        <v>451.7</v>
      </c>
      <c r="DU8" s="207">
        <f t="shared" si="123"/>
        <v>9.8124547429398987</v>
      </c>
      <c r="DV8" s="209">
        <f t="shared" si="124"/>
        <v>6.5416364952932664</v>
      </c>
      <c r="DW8" s="208">
        <f t="shared" si="125"/>
        <v>179.53</v>
      </c>
      <c r="DX8" s="76">
        <f t="shared" si="126"/>
        <v>3.9</v>
      </c>
      <c r="DY8" s="56">
        <f t="shared" si="127"/>
        <v>244</v>
      </c>
      <c r="DZ8" s="57">
        <f t="shared" si="128"/>
        <v>5.3005068790731356</v>
      </c>
      <c r="EA8" s="76">
        <f t="shared" si="129"/>
        <v>3.5</v>
      </c>
      <c r="EB8" s="57">
        <f t="shared" si="130"/>
        <v>313.94733333333335</v>
      </c>
      <c r="EC8" s="62">
        <f t="shared" si="131"/>
        <v>6.82</v>
      </c>
      <c r="ED8" s="302"/>
      <c r="EE8" s="298" t="s">
        <v>13</v>
      </c>
      <c r="EF8" s="298" t="s">
        <v>993</v>
      </c>
      <c r="EG8" s="298">
        <v>29</v>
      </c>
      <c r="EH8" s="298" t="s">
        <v>580</v>
      </c>
      <c r="EI8" s="298" t="s">
        <v>575</v>
      </c>
      <c r="EJ8" s="298" t="s">
        <v>644</v>
      </c>
      <c r="EK8" s="298" t="s">
        <v>912</v>
      </c>
      <c r="EL8" s="298" t="s">
        <v>984</v>
      </c>
      <c r="EM8" s="299">
        <v>46752</v>
      </c>
      <c r="EN8" s="298">
        <v>4143</v>
      </c>
      <c r="EO8" s="298" t="s">
        <v>1118</v>
      </c>
      <c r="EP8" s="298">
        <v>1</v>
      </c>
      <c r="EQ8" s="298">
        <v>1</v>
      </c>
      <c r="ER8" s="298">
        <v>0</v>
      </c>
      <c r="ES8" s="298">
        <v>2</v>
      </c>
      <c r="ET8" s="298">
        <v>1</v>
      </c>
      <c r="EU8" s="298">
        <v>11.2</v>
      </c>
      <c r="EV8" s="298">
        <v>3.5</v>
      </c>
      <c r="EW8" s="298" t="s">
        <v>929</v>
      </c>
      <c r="EX8" s="298" t="s">
        <v>1010</v>
      </c>
      <c r="EY8" s="298">
        <v>23</v>
      </c>
      <c r="EZ8" s="298">
        <v>8</v>
      </c>
      <c r="FA8" s="298">
        <v>1890</v>
      </c>
      <c r="FB8" s="298">
        <v>1721</v>
      </c>
      <c r="FC8" s="298">
        <v>3</v>
      </c>
      <c r="FD8" s="298">
        <v>96</v>
      </c>
      <c r="FE8" s="298">
        <v>1</v>
      </c>
      <c r="FF8" s="298">
        <v>18</v>
      </c>
      <c r="FG8" s="298">
        <v>7</v>
      </c>
      <c r="FH8" s="298">
        <v>209</v>
      </c>
      <c r="FI8" s="298">
        <v>145</v>
      </c>
      <c r="FJ8" s="298">
        <v>108</v>
      </c>
      <c r="FK8" s="298">
        <v>27</v>
      </c>
      <c r="FL8" s="298">
        <v>33</v>
      </c>
      <c r="FM8" s="298">
        <v>27</v>
      </c>
      <c r="FN8" s="298">
        <v>99</v>
      </c>
      <c r="FO8" s="298">
        <v>0</v>
      </c>
      <c r="FP8" s="298">
        <v>0</v>
      </c>
      <c r="FQ8" s="298">
        <v>0</v>
      </c>
      <c r="FR8" s="298">
        <v>0</v>
      </c>
      <c r="FS8" s="298">
        <v>0</v>
      </c>
      <c r="FT8" s="298">
        <v>0.1</v>
      </c>
      <c r="FU8" s="298">
        <v>0</v>
      </c>
      <c r="FV8" s="298">
        <v>0</v>
      </c>
      <c r="FW8" s="298">
        <v>45</v>
      </c>
      <c r="FX8" s="298">
        <v>39</v>
      </c>
      <c r="FY8" s="298">
        <v>57</v>
      </c>
      <c r="FZ8" s="298">
        <v>6</v>
      </c>
      <c r="GA8" s="298">
        <v>9</v>
      </c>
      <c r="GB8" s="298">
        <v>1</v>
      </c>
      <c r="GC8" s="298">
        <v>1</v>
      </c>
      <c r="GD8" s="298">
        <v>3.9</v>
      </c>
      <c r="GE8" s="298">
        <v>0</v>
      </c>
      <c r="GF8" s="298">
        <v>0</v>
      </c>
      <c r="GG8" s="298" t="s">
        <v>1044</v>
      </c>
      <c r="GH8" s="303">
        <v>6.82</v>
      </c>
    </row>
    <row r="9" spans="1:190" ht="24.95" customHeight="1" thickBot="1" x14ac:dyDescent="0.3">
      <c r="A9" s="29" t="str">
        <f t="shared" si="132"/>
        <v>8º</v>
      </c>
      <c r="B9" s="69" t="str">
        <f t="shared" si="1"/>
        <v>Lucas Barbosa</v>
      </c>
      <c r="C9" s="86" t="str">
        <f t="shared" si="2"/>
        <v>BRA</v>
      </c>
      <c r="D9" s="36" t="str">
        <f t="shared" si="3"/>
        <v>Bragantino</v>
      </c>
      <c r="E9" s="36">
        <f t="shared" si="4"/>
        <v>25</v>
      </c>
      <c r="F9" s="349" t="str">
        <f t="shared" si="5"/>
        <v>7,75m € p/m</v>
      </c>
      <c r="G9" s="96">
        <f t="shared" si="6"/>
        <v>41.534074074074077</v>
      </c>
      <c r="H9" s="197">
        <f t="shared" si="7"/>
        <v>40.455555555555556</v>
      </c>
      <c r="I9" s="197">
        <f t="shared" si="8"/>
        <v>49</v>
      </c>
      <c r="J9" s="197">
        <f t="shared" si="9"/>
        <v>74.306122448979593</v>
      </c>
      <c r="K9" s="198">
        <f t="shared" si="10"/>
        <v>0.94</v>
      </c>
      <c r="L9" s="6">
        <f t="shared" si="11"/>
        <v>7</v>
      </c>
      <c r="M9" s="24">
        <f t="shared" si="12"/>
        <v>520.14285714285711</v>
      </c>
      <c r="N9" s="21">
        <f t="shared" si="13"/>
        <v>0.17302938753089811</v>
      </c>
      <c r="O9" s="58">
        <f t="shared" si="14"/>
        <v>19</v>
      </c>
      <c r="P9" s="58">
        <f t="shared" si="15"/>
        <v>11</v>
      </c>
      <c r="Q9" s="58">
        <f t="shared" si="16"/>
        <v>30</v>
      </c>
      <c r="R9" s="76">
        <f t="shared" si="17"/>
        <v>0.46965119472672345</v>
      </c>
      <c r="S9" s="76">
        <f t="shared" si="18"/>
        <v>0.27190332326283989</v>
      </c>
      <c r="T9" s="76">
        <f t="shared" si="19"/>
        <v>0.74155451798956329</v>
      </c>
      <c r="U9" s="76">
        <f t="shared" si="20"/>
        <v>10.71</v>
      </c>
      <c r="V9" s="76">
        <f t="shared" si="21"/>
        <v>10.71</v>
      </c>
      <c r="W9" s="76">
        <f t="shared" si="22"/>
        <v>0.26473496292227411</v>
      </c>
      <c r="X9" s="76">
        <f t="shared" si="23"/>
        <v>8.77</v>
      </c>
      <c r="Y9" s="76">
        <f t="shared" si="24"/>
        <v>0.21678110409228232</v>
      </c>
      <c r="Z9" s="76">
        <f t="shared" si="25"/>
        <v>19.48</v>
      </c>
      <c r="AA9" s="76">
        <f t="shared" si="26"/>
        <v>0.4815160670145564</v>
      </c>
      <c r="AB9" s="6">
        <f t="shared" si="27"/>
        <v>102</v>
      </c>
      <c r="AC9" s="5">
        <f t="shared" si="28"/>
        <v>2.5212853611645154</v>
      </c>
      <c r="AD9" s="6">
        <f t="shared" si="29"/>
        <v>57</v>
      </c>
      <c r="AE9" s="5">
        <f t="shared" si="30"/>
        <v>1.4089535841801704</v>
      </c>
      <c r="AF9" s="21">
        <f t="shared" si="31"/>
        <v>0.55882352941176472</v>
      </c>
      <c r="AG9" s="76">
        <f t="shared" si="32"/>
        <v>5.3684210526315788</v>
      </c>
      <c r="AH9" s="76">
        <f t="shared" si="33"/>
        <v>3</v>
      </c>
      <c r="AI9" s="20">
        <f t="shared" si="34"/>
        <v>0.18627450980392157</v>
      </c>
      <c r="AJ9" s="76">
        <f t="shared" si="35"/>
        <v>35.696078431372548</v>
      </c>
      <c r="AK9" s="76">
        <f t="shared" si="36"/>
        <v>63.877192982456137</v>
      </c>
      <c r="AL9" s="76">
        <f t="shared" si="37"/>
        <v>191.63157894736841</v>
      </c>
      <c r="AM9" s="76">
        <f t="shared" si="38"/>
        <v>121.36666666666666</v>
      </c>
      <c r="AN9" s="5">
        <f t="shared" si="39"/>
        <v>8.2899999999999991</v>
      </c>
      <c r="AO9" s="5">
        <f t="shared" si="40"/>
        <v>8.2899999999999991</v>
      </c>
      <c r="AP9" s="75">
        <f t="shared" si="41"/>
        <v>16</v>
      </c>
      <c r="AQ9" s="76">
        <f t="shared" si="42"/>
        <v>0.39549574292776707</v>
      </c>
      <c r="AR9" s="75">
        <f t="shared" si="43"/>
        <v>165</v>
      </c>
      <c r="AS9" s="75">
        <f t="shared" si="44"/>
        <v>86</v>
      </c>
      <c r="AT9" s="75">
        <f t="shared" si="45"/>
        <v>79</v>
      </c>
      <c r="AU9" s="76">
        <f t="shared" si="46"/>
        <v>2.1257896182367482</v>
      </c>
      <c r="AV9" s="79">
        <f t="shared" si="47"/>
        <v>0.52121212121212124</v>
      </c>
      <c r="AW9" s="75">
        <f t="shared" si="48"/>
        <v>111</v>
      </c>
      <c r="AX9" s="75">
        <f t="shared" si="49"/>
        <v>59</v>
      </c>
      <c r="AY9" s="75">
        <f t="shared" si="50"/>
        <v>17</v>
      </c>
      <c r="AZ9" s="76">
        <f t="shared" si="51"/>
        <v>1.4583905520461411</v>
      </c>
      <c r="BA9" s="76">
        <f t="shared" si="52"/>
        <v>0.42021422686075255</v>
      </c>
      <c r="BB9" s="79">
        <f t="shared" si="53"/>
        <v>0.53153153153153154</v>
      </c>
      <c r="BC9" s="274">
        <f t="shared" si="54"/>
        <v>35</v>
      </c>
      <c r="BD9" s="273">
        <f t="shared" si="55"/>
        <v>0.86514693765449047</v>
      </c>
      <c r="BE9" s="274">
        <f t="shared" si="56"/>
        <v>4</v>
      </c>
      <c r="BF9" s="273">
        <f t="shared" si="57"/>
        <v>9.8873935731941767E-2</v>
      </c>
      <c r="BG9" s="274">
        <f t="shared" si="58"/>
        <v>0</v>
      </c>
      <c r="BH9" s="273">
        <f t="shared" si="59"/>
        <v>0</v>
      </c>
      <c r="BI9" s="274">
        <f t="shared" si="60"/>
        <v>4</v>
      </c>
      <c r="BJ9" s="79">
        <f t="shared" si="61"/>
        <v>0.11428571428571428</v>
      </c>
      <c r="BK9" s="76">
        <f t="shared" si="62"/>
        <v>-6.7</v>
      </c>
      <c r="BL9" s="75">
        <f t="shared" si="63"/>
        <v>411</v>
      </c>
      <c r="BM9" s="75">
        <f t="shared" si="64"/>
        <v>102</v>
      </c>
      <c r="BN9" s="160">
        <f t="shared" si="65"/>
        <v>0.24817518248175183</v>
      </c>
      <c r="BO9" s="75">
        <f t="shared" si="66"/>
        <v>689</v>
      </c>
      <c r="BP9" s="76">
        <f t="shared" si="67"/>
        <v>17.031035429826971</v>
      </c>
      <c r="BQ9" s="75">
        <f t="shared" si="68"/>
        <v>249</v>
      </c>
      <c r="BR9" s="76">
        <f t="shared" si="69"/>
        <v>6.1549024993133754</v>
      </c>
      <c r="BS9" s="160">
        <f t="shared" si="70"/>
        <v>0.36139332365747462</v>
      </c>
      <c r="BT9" s="75">
        <f t="shared" si="71"/>
        <v>102</v>
      </c>
      <c r="BU9" s="76">
        <f t="shared" si="72"/>
        <v>2.5212853611645154</v>
      </c>
      <c r="BV9" s="75">
        <f t="shared" si="73"/>
        <v>164</v>
      </c>
      <c r="BW9" s="76">
        <f t="shared" si="74"/>
        <v>4.0538313650096125</v>
      </c>
      <c r="BX9" s="322">
        <f t="shared" si="75"/>
        <v>7</v>
      </c>
      <c r="BY9" s="323">
        <f t="shared" si="76"/>
        <v>0.17302938753089811</v>
      </c>
      <c r="BZ9" s="322">
        <f t="shared" si="77"/>
        <v>1</v>
      </c>
      <c r="CA9" s="323">
        <f t="shared" si="78"/>
        <v>2.4718483932985442E-2</v>
      </c>
      <c r="CB9" s="369">
        <f t="shared" si="79"/>
        <v>0.14285714285714285</v>
      </c>
      <c r="CC9" s="322">
        <f t="shared" si="80"/>
        <v>0</v>
      </c>
      <c r="CD9" s="322">
        <f t="shared" si="81"/>
        <v>0</v>
      </c>
      <c r="CE9" s="370">
        <f t="shared" si="82"/>
        <v>0</v>
      </c>
      <c r="CF9" s="368">
        <f t="shared" si="83"/>
        <v>1E-8</v>
      </c>
      <c r="CG9" s="75">
        <f t="shared" si="84"/>
        <v>492.45555555555558</v>
      </c>
      <c r="CH9" s="76">
        <f t="shared" si="85"/>
        <v>12.172754737709422</v>
      </c>
      <c r="CI9" s="75">
        <f t="shared" si="86"/>
        <v>331</v>
      </c>
      <c r="CJ9" s="76">
        <f t="shared" si="87"/>
        <v>8.1818181818181817</v>
      </c>
      <c r="CK9" s="79">
        <f t="shared" si="88"/>
        <v>0.67214187405518822</v>
      </c>
      <c r="CL9" s="75">
        <f t="shared" si="89"/>
        <v>379</v>
      </c>
      <c r="CM9" s="76">
        <f t="shared" si="90"/>
        <v>9.3683054106014829</v>
      </c>
      <c r="CN9" s="75">
        <f t="shared" si="91"/>
        <v>247</v>
      </c>
      <c r="CO9" s="76">
        <f t="shared" si="92"/>
        <v>6.1054655314474049</v>
      </c>
      <c r="CP9" s="79">
        <f t="shared" si="93"/>
        <v>0.65171503957783639</v>
      </c>
      <c r="CQ9" s="83">
        <f t="shared" si="94"/>
        <v>2620.4555555555553</v>
      </c>
      <c r="CR9" s="83">
        <f t="shared" si="95"/>
        <v>2105</v>
      </c>
      <c r="CS9" s="84">
        <f t="shared" si="96"/>
        <v>0.80329544057225</v>
      </c>
      <c r="CT9" s="75">
        <f t="shared" si="97"/>
        <v>135</v>
      </c>
      <c r="CU9" s="76">
        <f t="shared" si="98"/>
        <v>3.3369953309530347</v>
      </c>
      <c r="CV9" s="75">
        <f t="shared" si="99"/>
        <v>123</v>
      </c>
      <c r="CW9" s="76">
        <f t="shared" si="100"/>
        <v>3.0403735237572094</v>
      </c>
      <c r="CX9" s="75">
        <f t="shared" si="101"/>
        <v>198</v>
      </c>
      <c r="CY9" s="76">
        <f t="shared" si="102"/>
        <v>4.8942598187311175</v>
      </c>
      <c r="CZ9" s="75">
        <f t="shared" si="103"/>
        <v>40.455555555555556</v>
      </c>
      <c r="DA9" s="76">
        <f t="shared" si="104"/>
        <v>1</v>
      </c>
      <c r="DB9" s="75">
        <f t="shared" si="105"/>
        <v>2487</v>
      </c>
      <c r="DC9" s="76">
        <f t="shared" si="106"/>
        <v>61.474869541334797</v>
      </c>
      <c r="DD9" s="75">
        <f t="shared" si="107"/>
        <v>333</v>
      </c>
      <c r="DE9" s="6">
        <f t="shared" si="108"/>
        <v>0</v>
      </c>
      <c r="DF9" s="5">
        <f t="shared" si="109"/>
        <v>0</v>
      </c>
      <c r="DG9" s="6">
        <f t="shared" si="110"/>
        <v>73</v>
      </c>
      <c r="DH9" s="5">
        <f t="shared" si="111"/>
        <v>1.8044493271079374</v>
      </c>
      <c r="DI9" s="5">
        <f t="shared" si="112"/>
        <v>6.6363636363636367</v>
      </c>
      <c r="DJ9" s="21">
        <f t="shared" si="113"/>
        <v>0.15068493150684931</v>
      </c>
      <c r="DK9" s="5">
        <f t="shared" si="114"/>
        <v>-2.2300000000000004</v>
      </c>
      <c r="DL9" s="5">
        <f t="shared" si="115"/>
        <v>0.12013698630136986</v>
      </c>
      <c r="DM9" s="222">
        <f t="shared" si="116"/>
        <v>413</v>
      </c>
      <c r="DN9" s="223">
        <f t="shared" si="117"/>
        <v>10.208733864322989</v>
      </c>
      <c r="DO9" s="76">
        <f t="shared" si="118"/>
        <v>49.876712328767127</v>
      </c>
      <c r="DP9" s="76">
        <f>IFERROR(EN9/(FG9+ET9+#REF!),700)</f>
        <v>700</v>
      </c>
      <c r="DQ9" s="76">
        <f t="shared" si="119"/>
        <v>43.23262839879154</v>
      </c>
      <c r="DR9" s="76">
        <f t="shared" si="120"/>
        <v>37.745124965668772</v>
      </c>
      <c r="DS9" s="92">
        <f t="shared" si="121"/>
        <v>0.87307032590051459</v>
      </c>
      <c r="DT9" s="188">
        <f t="shared" si="122"/>
        <v>492.7</v>
      </c>
      <c r="DU9" s="207">
        <f t="shared" si="123"/>
        <v>12.178797033781928</v>
      </c>
      <c r="DV9" s="209">
        <f t="shared" si="124"/>
        <v>8.1191980225212852</v>
      </c>
      <c r="DW9" s="208">
        <f t="shared" si="125"/>
        <v>598.74222222222227</v>
      </c>
      <c r="DX9" s="76">
        <f t="shared" si="126"/>
        <v>14.8</v>
      </c>
      <c r="DY9" s="56">
        <f t="shared" si="127"/>
        <v>422</v>
      </c>
      <c r="DZ9" s="57">
        <f t="shared" si="128"/>
        <v>10.431200219719857</v>
      </c>
      <c r="EA9" s="76">
        <f t="shared" si="129"/>
        <v>12.4</v>
      </c>
      <c r="EB9" s="57">
        <f t="shared" si="130"/>
        <v>288.04355555555554</v>
      </c>
      <c r="EC9" s="62">
        <f t="shared" si="131"/>
        <v>7.12</v>
      </c>
      <c r="ED9" s="302"/>
      <c r="EE9" s="298" t="s">
        <v>13</v>
      </c>
      <c r="EF9" s="298" t="s">
        <v>935</v>
      </c>
      <c r="EG9" s="298">
        <v>25</v>
      </c>
      <c r="EH9" s="298" t="s">
        <v>555</v>
      </c>
      <c r="EI9" s="298" t="s">
        <v>910</v>
      </c>
      <c r="EJ9" s="298" t="s">
        <v>652</v>
      </c>
      <c r="EK9" s="298" t="s">
        <v>936</v>
      </c>
      <c r="EL9" s="298" t="s">
        <v>905</v>
      </c>
      <c r="EM9" s="299">
        <v>47848</v>
      </c>
      <c r="EN9" s="298">
        <v>3641</v>
      </c>
      <c r="EO9" s="298" t="s">
        <v>1106</v>
      </c>
      <c r="EP9" s="298">
        <v>7</v>
      </c>
      <c r="EQ9" s="298">
        <v>19</v>
      </c>
      <c r="ER9" s="298">
        <v>11</v>
      </c>
      <c r="ES9" s="298">
        <v>28</v>
      </c>
      <c r="ET9" s="298">
        <v>23</v>
      </c>
      <c r="EU9" s="298">
        <v>5.7</v>
      </c>
      <c r="EV9" s="298">
        <v>12.4</v>
      </c>
      <c r="EW9" s="298" t="s">
        <v>1107</v>
      </c>
      <c r="EX9" s="298" t="s">
        <v>1108</v>
      </c>
      <c r="EY9" s="298">
        <v>35</v>
      </c>
      <c r="EZ9" s="298">
        <v>72</v>
      </c>
      <c r="FA9" s="298">
        <v>1749</v>
      </c>
      <c r="FB9" s="298">
        <v>1527</v>
      </c>
      <c r="FC9" s="298">
        <v>73</v>
      </c>
      <c r="FD9" s="298">
        <v>140</v>
      </c>
      <c r="FE9" s="298">
        <v>135</v>
      </c>
      <c r="FF9" s="298">
        <v>102</v>
      </c>
      <c r="FG9" s="298">
        <v>57</v>
      </c>
      <c r="FH9" s="298">
        <v>165</v>
      </c>
      <c r="FI9" s="298">
        <v>86</v>
      </c>
      <c r="FJ9" s="298">
        <v>411</v>
      </c>
      <c r="FK9" s="298">
        <v>102</v>
      </c>
      <c r="FL9" s="298">
        <v>76</v>
      </c>
      <c r="FM9" s="298">
        <v>59</v>
      </c>
      <c r="FN9" s="298">
        <v>70</v>
      </c>
      <c r="FO9" s="298">
        <v>96</v>
      </c>
      <c r="FP9" s="298">
        <v>26</v>
      </c>
      <c r="FQ9" s="298">
        <v>103</v>
      </c>
      <c r="FR9" s="298">
        <v>27</v>
      </c>
      <c r="FS9" s="298">
        <v>8</v>
      </c>
      <c r="FT9" s="298">
        <v>1</v>
      </c>
      <c r="FU9" s="298">
        <v>0</v>
      </c>
      <c r="FV9" s="298">
        <v>16</v>
      </c>
      <c r="FW9" s="298">
        <v>5</v>
      </c>
      <c r="FX9" s="298">
        <v>2</v>
      </c>
      <c r="FY9" s="298">
        <v>23</v>
      </c>
      <c r="FZ9" s="298">
        <v>2</v>
      </c>
      <c r="GA9" s="298">
        <v>4</v>
      </c>
      <c r="GB9" s="298">
        <v>0</v>
      </c>
      <c r="GC9" s="298">
        <v>1</v>
      </c>
      <c r="GD9" s="298">
        <v>14.8</v>
      </c>
      <c r="GE9" s="298">
        <v>0</v>
      </c>
      <c r="GF9" s="298">
        <v>0</v>
      </c>
      <c r="GG9" s="298" t="s">
        <v>1109</v>
      </c>
      <c r="GH9" s="303">
        <v>7.12</v>
      </c>
    </row>
    <row r="10" spans="1:190" ht="24.95" customHeight="1" thickBot="1" x14ac:dyDescent="0.3">
      <c r="A10" s="29" t="str">
        <f t="shared" si="132"/>
        <v>9º</v>
      </c>
      <c r="B10" s="69" t="str">
        <f t="shared" si="1"/>
        <v>Maicon</v>
      </c>
      <c r="C10" s="86" t="str">
        <f t="shared" si="2"/>
        <v>BRA</v>
      </c>
      <c r="D10" s="36" t="str">
        <f t="shared" si="3"/>
        <v>Coritiba</v>
      </c>
      <c r="E10" s="36">
        <f t="shared" si="4"/>
        <v>37</v>
      </c>
      <c r="F10" s="349" t="str">
        <f t="shared" si="5"/>
        <v>19m € p/m</v>
      </c>
      <c r="G10" s="96">
        <f t="shared" si="6"/>
        <v>41.534074074074077</v>
      </c>
      <c r="H10" s="197">
        <f t="shared" si="7"/>
        <v>38.444444444444443</v>
      </c>
      <c r="I10" s="197">
        <f t="shared" si="8"/>
        <v>38</v>
      </c>
      <c r="J10" s="197">
        <f t="shared" si="9"/>
        <v>91.05263157894737</v>
      </c>
      <c r="K10" s="198">
        <f t="shared" si="10"/>
        <v>0.87</v>
      </c>
      <c r="L10" s="6">
        <f t="shared" si="11"/>
        <v>2</v>
      </c>
      <c r="M10" s="24">
        <f t="shared" si="12"/>
        <v>1730</v>
      </c>
      <c r="N10" s="21">
        <f t="shared" si="13"/>
        <v>5.2023121387283239E-2</v>
      </c>
      <c r="O10" s="58">
        <f t="shared" si="14"/>
        <v>2</v>
      </c>
      <c r="P10" s="58">
        <f t="shared" si="15"/>
        <v>0</v>
      </c>
      <c r="Q10" s="58">
        <f t="shared" si="16"/>
        <v>2</v>
      </c>
      <c r="R10" s="76">
        <f t="shared" si="17"/>
        <v>5.2023121387283239E-2</v>
      </c>
      <c r="S10" s="76">
        <f t="shared" si="18"/>
        <v>0</v>
      </c>
      <c r="T10" s="76">
        <f t="shared" si="19"/>
        <v>5.2023121387283239E-2</v>
      </c>
      <c r="U10" s="76">
        <f t="shared" si="20"/>
        <v>1.55</v>
      </c>
      <c r="V10" s="76">
        <f t="shared" si="21"/>
        <v>-3.0000000000000027E-2</v>
      </c>
      <c r="W10" s="76">
        <f t="shared" si="22"/>
        <v>-7.8034682080924925E-4</v>
      </c>
      <c r="X10" s="76">
        <f t="shared" si="23"/>
        <v>1.3</v>
      </c>
      <c r="Y10" s="76">
        <f t="shared" si="24"/>
        <v>3.3815028901734108E-2</v>
      </c>
      <c r="Z10" s="76">
        <f t="shared" si="25"/>
        <v>1.27</v>
      </c>
      <c r="AA10" s="76">
        <f t="shared" si="26"/>
        <v>3.303468208092486E-2</v>
      </c>
      <c r="AB10" s="6">
        <f t="shared" si="27"/>
        <v>13</v>
      </c>
      <c r="AC10" s="5">
        <f t="shared" si="28"/>
        <v>0.33815028901734107</v>
      </c>
      <c r="AD10" s="6">
        <f t="shared" si="29"/>
        <v>7</v>
      </c>
      <c r="AE10" s="5">
        <f t="shared" si="30"/>
        <v>0.18208092485549135</v>
      </c>
      <c r="AF10" s="21">
        <f t="shared" si="31"/>
        <v>0.53846153846153844</v>
      </c>
      <c r="AG10" s="76">
        <f t="shared" si="32"/>
        <v>50</v>
      </c>
      <c r="AH10" s="76">
        <f t="shared" si="33"/>
        <v>50</v>
      </c>
      <c r="AI10" s="20">
        <f t="shared" si="34"/>
        <v>0</v>
      </c>
      <c r="AJ10" s="76">
        <f t="shared" si="35"/>
        <v>266.15384615384613</v>
      </c>
      <c r="AK10" s="76">
        <f t="shared" si="36"/>
        <v>494.28571428571428</v>
      </c>
      <c r="AL10" s="76">
        <f t="shared" si="37"/>
        <v>1730</v>
      </c>
      <c r="AM10" s="76">
        <f t="shared" si="38"/>
        <v>1730</v>
      </c>
      <c r="AN10" s="5">
        <f t="shared" si="39"/>
        <v>0.44999999999999996</v>
      </c>
      <c r="AO10" s="5">
        <f t="shared" si="40"/>
        <v>3.0000000000000027E-2</v>
      </c>
      <c r="AP10" s="75">
        <f t="shared" si="41"/>
        <v>0</v>
      </c>
      <c r="AQ10" s="76">
        <f t="shared" si="42"/>
        <v>0</v>
      </c>
      <c r="AR10" s="75">
        <f t="shared" si="43"/>
        <v>209</v>
      </c>
      <c r="AS10" s="75">
        <f t="shared" si="44"/>
        <v>159</v>
      </c>
      <c r="AT10" s="75">
        <f t="shared" si="45"/>
        <v>50</v>
      </c>
      <c r="AU10" s="76">
        <f t="shared" si="46"/>
        <v>4.1358381502890174</v>
      </c>
      <c r="AV10" s="79">
        <f t="shared" si="47"/>
        <v>0.76076555023923442</v>
      </c>
      <c r="AW10" s="75">
        <f t="shared" si="48"/>
        <v>44</v>
      </c>
      <c r="AX10" s="75">
        <f t="shared" si="49"/>
        <v>18</v>
      </c>
      <c r="AY10" s="75">
        <f t="shared" si="50"/>
        <v>13</v>
      </c>
      <c r="AZ10" s="76">
        <f t="shared" si="51"/>
        <v>0.46820809248554918</v>
      </c>
      <c r="BA10" s="76">
        <f t="shared" si="52"/>
        <v>0.33815028901734107</v>
      </c>
      <c r="BB10" s="79">
        <f t="shared" si="53"/>
        <v>0.40909090909090912</v>
      </c>
      <c r="BC10" s="274">
        <f t="shared" si="54"/>
        <v>13</v>
      </c>
      <c r="BD10" s="273">
        <f t="shared" si="55"/>
        <v>0.33815028901734107</v>
      </c>
      <c r="BE10" s="274">
        <f t="shared" si="56"/>
        <v>1</v>
      </c>
      <c r="BF10" s="273">
        <f t="shared" si="57"/>
        <v>2.6011560693641619E-2</v>
      </c>
      <c r="BG10" s="274">
        <f t="shared" si="58"/>
        <v>0</v>
      </c>
      <c r="BH10" s="273">
        <f t="shared" si="59"/>
        <v>0</v>
      </c>
      <c r="BI10" s="274">
        <f t="shared" si="60"/>
        <v>1</v>
      </c>
      <c r="BJ10" s="79">
        <f t="shared" si="61"/>
        <v>7.6923076923076927E-2</v>
      </c>
      <c r="BK10" s="76">
        <f t="shared" si="62"/>
        <v>7.9</v>
      </c>
      <c r="BL10" s="75">
        <f t="shared" si="63"/>
        <v>86</v>
      </c>
      <c r="BM10" s="75">
        <f t="shared" si="64"/>
        <v>26</v>
      </c>
      <c r="BN10" s="160">
        <f t="shared" si="65"/>
        <v>0.30232558139534882</v>
      </c>
      <c r="BO10" s="75">
        <f t="shared" si="66"/>
        <v>346</v>
      </c>
      <c r="BP10" s="76">
        <f t="shared" si="67"/>
        <v>9</v>
      </c>
      <c r="BQ10" s="75">
        <f t="shared" si="68"/>
        <v>210</v>
      </c>
      <c r="BR10" s="76">
        <f t="shared" si="69"/>
        <v>5.4624277456647405</v>
      </c>
      <c r="BS10" s="160">
        <f t="shared" si="70"/>
        <v>0.60693641618497107</v>
      </c>
      <c r="BT10" s="75">
        <f t="shared" si="71"/>
        <v>190</v>
      </c>
      <c r="BU10" s="76">
        <f t="shared" si="72"/>
        <v>4.9421965317919074</v>
      </c>
      <c r="BV10" s="75">
        <f t="shared" si="73"/>
        <v>54.5</v>
      </c>
      <c r="BW10" s="76">
        <f t="shared" si="74"/>
        <v>1.4176300578034682</v>
      </c>
      <c r="BX10" s="322">
        <f t="shared" si="75"/>
        <v>17</v>
      </c>
      <c r="BY10" s="323">
        <f t="shared" si="76"/>
        <v>0.44219653179190754</v>
      </c>
      <c r="BZ10" s="322">
        <f t="shared" si="77"/>
        <v>2</v>
      </c>
      <c r="CA10" s="323">
        <f t="shared" si="78"/>
        <v>5.2023121387283239E-2</v>
      </c>
      <c r="CB10" s="369">
        <f t="shared" si="79"/>
        <v>0.11764705882352941</v>
      </c>
      <c r="CC10" s="322">
        <f t="shared" si="80"/>
        <v>2</v>
      </c>
      <c r="CD10" s="322">
        <f t="shared" si="81"/>
        <v>2</v>
      </c>
      <c r="CE10" s="370">
        <f t="shared" si="82"/>
        <v>0</v>
      </c>
      <c r="CF10" s="368">
        <f t="shared" si="83"/>
        <v>1</v>
      </c>
      <c r="CG10" s="75">
        <f t="shared" si="84"/>
        <v>47.844444444444441</v>
      </c>
      <c r="CH10" s="76">
        <f t="shared" si="85"/>
        <v>1.2445086705202313</v>
      </c>
      <c r="CI10" s="75">
        <f t="shared" si="86"/>
        <v>22</v>
      </c>
      <c r="CJ10" s="76">
        <f t="shared" si="87"/>
        <v>0.5722543352601156</v>
      </c>
      <c r="CK10" s="79">
        <f t="shared" si="88"/>
        <v>0.45982350209010686</v>
      </c>
      <c r="CL10" s="75">
        <f t="shared" si="89"/>
        <v>439</v>
      </c>
      <c r="CM10" s="76">
        <f t="shared" si="90"/>
        <v>11.419075144508671</v>
      </c>
      <c r="CN10" s="75">
        <f t="shared" si="91"/>
        <v>367</v>
      </c>
      <c r="CO10" s="76">
        <f t="shared" si="92"/>
        <v>9.5462427745664744</v>
      </c>
      <c r="CP10" s="79">
        <f t="shared" si="93"/>
        <v>0.83599088838268798</v>
      </c>
      <c r="CQ10" s="83">
        <f t="shared" si="94"/>
        <v>2092.8444444444444</v>
      </c>
      <c r="CR10" s="83">
        <f t="shared" si="95"/>
        <v>1880</v>
      </c>
      <c r="CS10" s="84">
        <f t="shared" si="96"/>
        <v>0.89829896578818835</v>
      </c>
      <c r="CT10" s="75">
        <f t="shared" si="97"/>
        <v>1</v>
      </c>
      <c r="CU10" s="76">
        <f t="shared" si="98"/>
        <v>2.6011560693641619E-2</v>
      </c>
      <c r="CV10" s="75">
        <f t="shared" si="99"/>
        <v>14</v>
      </c>
      <c r="CW10" s="76">
        <f t="shared" si="100"/>
        <v>0.3641618497109827</v>
      </c>
      <c r="CX10" s="75">
        <f t="shared" si="101"/>
        <v>25</v>
      </c>
      <c r="CY10" s="76">
        <f t="shared" si="102"/>
        <v>0.6502890173410405</v>
      </c>
      <c r="CZ10" s="75">
        <f t="shared" si="103"/>
        <v>3.8444444444444446</v>
      </c>
      <c r="DA10" s="76">
        <f t="shared" si="104"/>
        <v>0.1</v>
      </c>
      <c r="DB10" s="75">
        <f t="shared" si="105"/>
        <v>2001</v>
      </c>
      <c r="DC10" s="76">
        <f t="shared" si="106"/>
        <v>52.049132947976879</v>
      </c>
      <c r="DD10" s="75">
        <f t="shared" si="107"/>
        <v>23</v>
      </c>
      <c r="DE10" s="6">
        <f t="shared" si="108"/>
        <v>0</v>
      </c>
      <c r="DF10" s="5">
        <f t="shared" si="109"/>
        <v>0</v>
      </c>
      <c r="DG10" s="6">
        <f t="shared" si="110"/>
        <v>10</v>
      </c>
      <c r="DH10" s="5">
        <f t="shared" si="111"/>
        <v>0.26011560693641622</v>
      </c>
      <c r="DI10" s="5">
        <f t="shared" si="112"/>
        <v>70</v>
      </c>
      <c r="DJ10" s="21">
        <f t="shared" si="113"/>
        <v>0</v>
      </c>
      <c r="DK10" s="5">
        <f t="shared" si="114"/>
        <v>1.3</v>
      </c>
      <c r="DL10" s="5">
        <f t="shared" si="115"/>
        <v>0.13</v>
      </c>
      <c r="DM10" s="222">
        <f t="shared" si="116"/>
        <v>42</v>
      </c>
      <c r="DN10" s="223">
        <f t="shared" si="117"/>
        <v>1.0924855491329479</v>
      </c>
      <c r="DO10" s="76">
        <f t="shared" si="118"/>
        <v>346</v>
      </c>
      <c r="DP10" s="76">
        <f>IFERROR(EN10/(FG10+ET10+#REF!),700)</f>
        <v>700</v>
      </c>
      <c r="DQ10" s="76">
        <f t="shared" si="119"/>
        <v>41.774566473988443</v>
      </c>
      <c r="DR10" s="76">
        <f t="shared" si="120"/>
        <v>38.783236994219656</v>
      </c>
      <c r="DS10" s="92">
        <f t="shared" si="121"/>
        <v>0.92839352428393529</v>
      </c>
      <c r="DT10" s="188">
        <f t="shared" si="122"/>
        <v>366.3</v>
      </c>
      <c r="DU10" s="207">
        <f t="shared" si="123"/>
        <v>9.528034682080925</v>
      </c>
      <c r="DV10" s="209">
        <f t="shared" si="124"/>
        <v>6.3520231213872833</v>
      </c>
      <c r="DW10" s="208">
        <f t="shared" si="125"/>
        <v>165.3111111111111</v>
      </c>
      <c r="DX10" s="76">
        <f t="shared" si="126"/>
        <v>4.3</v>
      </c>
      <c r="DY10" s="56">
        <f t="shared" si="127"/>
        <v>187</v>
      </c>
      <c r="DZ10" s="57">
        <f t="shared" si="128"/>
        <v>4.8641618497109826</v>
      </c>
      <c r="EA10" s="76">
        <f t="shared" si="129"/>
        <v>3.4</v>
      </c>
      <c r="EB10" s="57">
        <f t="shared" si="130"/>
        <v>262.95999999999998</v>
      </c>
      <c r="EC10" s="62">
        <f t="shared" si="131"/>
        <v>6.84</v>
      </c>
      <c r="ED10" s="300"/>
      <c r="EE10" s="296" t="s">
        <v>13</v>
      </c>
      <c r="EF10" s="296" t="s">
        <v>687</v>
      </c>
      <c r="EG10" s="296">
        <v>37</v>
      </c>
      <c r="EH10" s="296" t="s">
        <v>659</v>
      </c>
      <c r="EI10" s="296" t="s">
        <v>682</v>
      </c>
      <c r="EJ10" s="296" t="s">
        <v>644</v>
      </c>
      <c r="EK10" s="296" t="s">
        <v>779</v>
      </c>
      <c r="EL10" s="296" t="s">
        <v>669</v>
      </c>
      <c r="EM10" s="297">
        <v>46387</v>
      </c>
      <c r="EN10" s="296">
        <v>3460</v>
      </c>
      <c r="EO10" s="296" t="s">
        <v>844</v>
      </c>
      <c r="EP10" s="296">
        <v>2</v>
      </c>
      <c r="EQ10" s="296">
        <v>2</v>
      </c>
      <c r="ER10" s="296">
        <v>0</v>
      </c>
      <c r="ES10" s="296">
        <v>22</v>
      </c>
      <c r="ET10" s="296">
        <v>2</v>
      </c>
      <c r="EU10" s="296">
        <v>11.3</v>
      </c>
      <c r="EV10" s="296">
        <v>3.4</v>
      </c>
      <c r="EW10" s="296" t="s">
        <v>1117</v>
      </c>
      <c r="EX10" s="296" t="s">
        <v>943</v>
      </c>
      <c r="EY10" s="296">
        <v>13</v>
      </c>
      <c r="EZ10" s="296">
        <v>4</v>
      </c>
      <c r="FA10" s="296">
        <v>1606</v>
      </c>
      <c r="FB10" s="296">
        <v>1491</v>
      </c>
      <c r="FC10" s="296">
        <v>10</v>
      </c>
      <c r="FD10" s="296">
        <v>99</v>
      </c>
      <c r="FE10" s="296">
        <v>1</v>
      </c>
      <c r="FF10" s="296">
        <v>13</v>
      </c>
      <c r="FG10" s="296">
        <v>7</v>
      </c>
      <c r="FH10" s="296">
        <v>209</v>
      </c>
      <c r="FI10" s="296">
        <v>159</v>
      </c>
      <c r="FJ10" s="296">
        <v>86</v>
      </c>
      <c r="FK10" s="296">
        <v>26</v>
      </c>
      <c r="FL10" s="296">
        <v>31</v>
      </c>
      <c r="FM10" s="296">
        <v>18</v>
      </c>
      <c r="FN10" s="296">
        <v>99</v>
      </c>
      <c r="FO10" s="296">
        <v>1</v>
      </c>
      <c r="FP10" s="296">
        <v>0</v>
      </c>
      <c r="FQ10" s="296">
        <v>18</v>
      </c>
      <c r="FR10" s="296">
        <v>2</v>
      </c>
      <c r="FS10" s="296">
        <v>0</v>
      </c>
      <c r="FT10" s="296">
        <v>0.1</v>
      </c>
      <c r="FU10" s="296">
        <v>2</v>
      </c>
      <c r="FV10" s="296">
        <v>0</v>
      </c>
      <c r="FW10" s="296">
        <v>29</v>
      </c>
      <c r="FX10" s="296">
        <v>23</v>
      </c>
      <c r="FY10" s="296">
        <v>32</v>
      </c>
      <c r="FZ10" s="296">
        <v>7</v>
      </c>
      <c r="GA10" s="296">
        <v>1</v>
      </c>
      <c r="GB10" s="296">
        <v>0</v>
      </c>
      <c r="GC10" s="296">
        <v>1</v>
      </c>
      <c r="GD10" s="296">
        <v>4.3</v>
      </c>
      <c r="GE10" s="296">
        <v>2</v>
      </c>
      <c r="GF10" s="296">
        <v>2</v>
      </c>
      <c r="GG10" s="296" t="s">
        <v>1047</v>
      </c>
      <c r="GH10" s="301">
        <v>6.84</v>
      </c>
    </row>
    <row r="11" spans="1:190" ht="24.95" customHeight="1" thickBot="1" x14ac:dyDescent="0.3">
      <c r="A11" s="29" t="str">
        <f t="shared" si="132"/>
        <v>10º</v>
      </c>
      <c r="B11" s="69" t="str">
        <f t="shared" si="1"/>
        <v>Pedro Henrique</v>
      </c>
      <c r="C11" s="86" t="str">
        <f t="shared" si="2"/>
        <v>BRA</v>
      </c>
      <c r="D11" s="36" t="str">
        <f t="shared" si="3"/>
        <v>Bragantino</v>
      </c>
      <c r="E11" s="36">
        <f t="shared" si="4"/>
        <v>30</v>
      </c>
      <c r="F11" s="349" t="str">
        <f t="shared" si="5"/>
        <v>35m € p/m</v>
      </c>
      <c r="G11" s="96">
        <f t="shared" si="6"/>
        <v>41.534074074074077</v>
      </c>
      <c r="H11" s="197">
        <f t="shared" si="7"/>
        <v>44.477777777777774</v>
      </c>
      <c r="I11" s="197">
        <f t="shared" si="8"/>
        <v>46</v>
      </c>
      <c r="J11" s="197">
        <f t="shared" si="9"/>
        <v>87.021739130434781</v>
      </c>
      <c r="K11" s="198">
        <f t="shared" si="10"/>
        <v>0.98</v>
      </c>
      <c r="L11" s="6">
        <f t="shared" si="11"/>
        <v>3</v>
      </c>
      <c r="M11" s="24">
        <f t="shared" si="12"/>
        <v>1334.3333333333333</v>
      </c>
      <c r="N11" s="21">
        <f t="shared" si="13"/>
        <v>6.7449412940294787E-2</v>
      </c>
      <c r="O11" s="58">
        <f t="shared" si="14"/>
        <v>4</v>
      </c>
      <c r="P11" s="58">
        <f t="shared" si="15"/>
        <v>2</v>
      </c>
      <c r="Q11" s="58">
        <f t="shared" si="16"/>
        <v>6</v>
      </c>
      <c r="R11" s="76">
        <f t="shared" si="17"/>
        <v>8.9932550587059706E-2</v>
      </c>
      <c r="S11" s="76">
        <f t="shared" si="18"/>
        <v>4.4966275293529853E-2</v>
      </c>
      <c r="T11" s="76">
        <f t="shared" si="19"/>
        <v>0.13489882588058957</v>
      </c>
      <c r="U11" s="76">
        <f t="shared" si="20"/>
        <v>2.81</v>
      </c>
      <c r="V11" s="76">
        <f t="shared" si="21"/>
        <v>2.81</v>
      </c>
      <c r="W11" s="76">
        <f t="shared" si="22"/>
        <v>6.3177616787409449E-2</v>
      </c>
      <c r="X11" s="76">
        <f t="shared" si="23"/>
        <v>1.62</v>
      </c>
      <c r="Y11" s="76">
        <f t="shared" si="24"/>
        <v>3.6422682987759185E-2</v>
      </c>
      <c r="Z11" s="76">
        <f t="shared" si="25"/>
        <v>4.43</v>
      </c>
      <c r="AA11" s="76">
        <f t="shared" si="26"/>
        <v>9.9600299775168627E-2</v>
      </c>
      <c r="AB11" s="6">
        <f t="shared" si="27"/>
        <v>34</v>
      </c>
      <c r="AC11" s="5">
        <f t="shared" si="28"/>
        <v>0.76442667999000757</v>
      </c>
      <c r="AD11" s="6">
        <f t="shared" si="29"/>
        <v>11</v>
      </c>
      <c r="AE11" s="5">
        <f t="shared" si="30"/>
        <v>0.24731451411441421</v>
      </c>
      <c r="AF11" s="21">
        <f t="shared" si="31"/>
        <v>0.3235294117647059</v>
      </c>
      <c r="AG11" s="76">
        <f t="shared" si="32"/>
        <v>8.5</v>
      </c>
      <c r="AH11" s="76">
        <f t="shared" si="33"/>
        <v>2.75</v>
      </c>
      <c r="AI11" s="20">
        <f t="shared" si="34"/>
        <v>0.11764705882352941</v>
      </c>
      <c r="AJ11" s="76">
        <f t="shared" si="35"/>
        <v>117.73529411764706</v>
      </c>
      <c r="AK11" s="76">
        <f t="shared" si="36"/>
        <v>363.90909090909093</v>
      </c>
      <c r="AL11" s="76">
        <f t="shared" si="37"/>
        <v>1000.75</v>
      </c>
      <c r="AM11" s="76">
        <f t="shared" si="38"/>
        <v>667.16666666666663</v>
      </c>
      <c r="AN11" s="5">
        <f t="shared" si="39"/>
        <v>1.19</v>
      </c>
      <c r="AO11" s="5">
        <f t="shared" si="40"/>
        <v>1.19</v>
      </c>
      <c r="AP11" s="75">
        <f t="shared" si="41"/>
        <v>1</v>
      </c>
      <c r="AQ11" s="76">
        <f t="shared" si="42"/>
        <v>2.2483137646764927E-2</v>
      </c>
      <c r="AR11" s="75">
        <f t="shared" si="43"/>
        <v>258</v>
      </c>
      <c r="AS11" s="75">
        <f t="shared" si="44"/>
        <v>198</v>
      </c>
      <c r="AT11" s="75">
        <f t="shared" si="45"/>
        <v>60</v>
      </c>
      <c r="AU11" s="76">
        <f t="shared" si="46"/>
        <v>4.4516612540594558</v>
      </c>
      <c r="AV11" s="79">
        <f t="shared" si="47"/>
        <v>0.76744186046511631</v>
      </c>
      <c r="AW11" s="75">
        <f t="shared" si="48"/>
        <v>57</v>
      </c>
      <c r="AX11" s="75">
        <f t="shared" si="49"/>
        <v>40</v>
      </c>
      <c r="AY11" s="75">
        <f t="shared" si="50"/>
        <v>2</v>
      </c>
      <c r="AZ11" s="76">
        <f t="shared" si="51"/>
        <v>0.89932550587059712</v>
      </c>
      <c r="BA11" s="76">
        <f t="shared" si="52"/>
        <v>4.4966275293529853E-2</v>
      </c>
      <c r="BB11" s="79">
        <f t="shared" si="53"/>
        <v>0.70175438596491224</v>
      </c>
      <c r="BC11" s="274">
        <f t="shared" si="54"/>
        <v>15</v>
      </c>
      <c r="BD11" s="273">
        <f t="shared" si="55"/>
        <v>0.33724706470147392</v>
      </c>
      <c r="BE11" s="274">
        <f t="shared" si="56"/>
        <v>1</v>
      </c>
      <c r="BF11" s="273">
        <f t="shared" si="57"/>
        <v>2.2483137646764927E-2</v>
      </c>
      <c r="BG11" s="274">
        <f t="shared" si="58"/>
        <v>0</v>
      </c>
      <c r="BH11" s="273">
        <f t="shared" si="59"/>
        <v>0</v>
      </c>
      <c r="BI11" s="274">
        <f t="shared" si="60"/>
        <v>1</v>
      </c>
      <c r="BJ11" s="79">
        <f t="shared" si="61"/>
        <v>6.6666666666666666E-2</v>
      </c>
      <c r="BK11" s="76">
        <f t="shared" si="62"/>
        <v>7.1000000000000005</v>
      </c>
      <c r="BL11" s="75">
        <f t="shared" si="63"/>
        <v>93</v>
      </c>
      <c r="BM11" s="75">
        <f t="shared" si="64"/>
        <v>35</v>
      </c>
      <c r="BN11" s="160">
        <f t="shared" si="65"/>
        <v>0.37634408602150538</v>
      </c>
      <c r="BO11" s="75">
        <f t="shared" si="66"/>
        <v>418</v>
      </c>
      <c r="BP11" s="76">
        <f t="shared" si="67"/>
        <v>9.3979515363477404</v>
      </c>
      <c r="BQ11" s="75">
        <f t="shared" si="68"/>
        <v>283</v>
      </c>
      <c r="BR11" s="76">
        <f t="shared" si="69"/>
        <v>6.362727954034475</v>
      </c>
      <c r="BS11" s="160">
        <f t="shared" si="70"/>
        <v>0.67703349282296654</v>
      </c>
      <c r="BT11" s="75">
        <f t="shared" si="71"/>
        <v>219</v>
      </c>
      <c r="BU11" s="76">
        <f t="shared" si="72"/>
        <v>4.9238071446415193</v>
      </c>
      <c r="BV11" s="75">
        <f t="shared" si="73"/>
        <v>90</v>
      </c>
      <c r="BW11" s="76">
        <f t="shared" si="74"/>
        <v>2.0234823882088437</v>
      </c>
      <c r="BX11" s="322">
        <f t="shared" si="75"/>
        <v>0</v>
      </c>
      <c r="BY11" s="323">
        <f t="shared" si="76"/>
        <v>0</v>
      </c>
      <c r="BZ11" s="322">
        <f t="shared" si="77"/>
        <v>0</v>
      </c>
      <c r="CA11" s="323">
        <f t="shared" si="78"/>
        <v>0</v>
      </c>
      <c r="CB11" s="369">
        <f t="shared" si="79"/>
        <v>0</v>
      </c>
      <c r="CC11" s="322">
        <f t="shared" si="80"/>
        <v>0</v>
      </c>
      <c r="CD11" s="322">
        <f t="shared" si="81"/>
        <v>0</v>
      </c>
      <c r="CE11" s="370">
        <f t="shared" si="82"/>
        <v>0</v>
      </c>
      <c r="CF11" s="368">
        <f t="shared" si="83"/>
        <v>1E-8</v>
      </c>
      <c r="CG11" s="75">
        <f t="shared" si="84"/>
        <v>65.895555555555561</v>
      </c>
      <c r="CH11" s="76">
        <f t="shared" si="85"/>
        <v>1.4815388458656009</v>
      </c>
      <c r="CI11" s="75">
        <f t="shared" si="86"/>
        <v>32</v>
      </c>
      <c r="CJ11" s="76">
        <f t="shared" si="87"/>
        <v>0.71946040469647765</v>
      </c>
      <c r="CK11" s="79">
        <f t="shared" si="88"/>
        <v>0.48561696961521594</v>
      </c>
      <c r="CL11" s="75">
        <f t="shared" si="89"/>
        <v>524</v>
      </c>
      <c r="CM11" s="76">
        <f t="shared" si="90"/>
        <v>11.781164126904823</v>
      </c>
      <c r="CN11" s="75">
        <f t="shared" si="91"/>
        <v>457</v>
      </c>
      <c r="CO11" s="76">
        <f t="shared" si="92"/>
        <v>10.274793904571572</v>
      </c>
      <c r="CP11" s="79">
        <f t="shared" si="93"/>
        <v>0.87213740458015265</v>
      </c>
      <c r="CQ11" s="83">
        <f t="shared" si="94"/>
        <v>2749.8955555555558</v>
      </c>
      <c r="CR11" s="83">
        <f t="shared" si="95"/>
        <v>2478</v>
      </c>
      <c r="CS11" s="84">
        <f t="shared" si="96"/>
        <v>0.9011251336414392</v>
      </c>
      <c r="CT11" s="75">
        <f t="shared" si="97"/>
        <v>3</v>
      </c>
      <c r="CU11" s="76">
        <f t="shared" si="98"/>
        <v>6.7449412940294787E-2</v>
      </c>
      <c r="CV11" s="75">
        <f t="shared" si="99"/>
        <v>17</v>
      </c>
      <c r="CW11" s="76">
        <f t="shared" si="100"/>
        <v>0.38221333999500379</v>
      </c>
      <c r="CX11" s="75">
        <f t="shared" si="101"/>
        <v>50</v>
      </c>
      <c r="CY11" s="76">
        <f t="shared" si="102"/>
        <v>1.1241568823382464</v>
      </c>
      <c r="CZ11" s="75">
        <f t="shared" si="103"/>
        <v>8.8955555555555552</v>
      </c>
      <c r="DA11" s="76">
        <f t="shared" si="104"/>
        <v>0.2</v>
      </c>
      <c r="DB11" s="75">
        <f t="shared" si="105"/>
        <v>2654</v>
      </c>
      <c r="DC11" s="76">
        <f t="shared" si="106"/>
        <v>59.670247314514121</v>
      </c>
      <c r="DD11" s="75">
        <f t="shared" si="107"/>
        <v>39</v>
      </c>
      <c r="DE11" s="6">
        <f t="shared" si="108"/>
        <v>0</v>
      </c>
      <c r="DF11" s="5">
        <f t="shared" si="109"/>
        <v>0</v>
      </c>
      <c r="DG11" s="6">
        <f t="shared" si="110"/>
        <v>9</v>
      </c>
      <c r="DH11" s="5">
        <f t="shared" si="111"/>
        <v>0.20234823882088435</v>
      </c>
      <c r="DI11" s="5">
        <f t="shared" si="112"/>
        <v>4.5</v>
      </c>
      <c r="DJ11" s="21">
        <f t="shared" si="113"/>
        <v>0.22222222222222221</v>
      </c>
      <c r="DK11" s="5">
        <f t="shared" si="114"/>
        <v>-0.37999999999999989</v>
      </c>
      <c r="DL11" s="5">
        <f t="shared" si="115"/>
        <v>0.18000000000000002</v>
      </c>
      <c r="DM11" s="222">
        <f t="shared" si="116"/>
        <v>49</v>
      </c>
      <c r="DN11" s="223">
        <f t="shared" si="117"/>
        <v>1.1016737446914815</v>
      </c>
      <c r="DO11" s="76">
        <f t="shared" si="118"/>
        <v>444.77777777777777</v>
      </c>
      <c r="DP11" s="76">
        <f>IFERROR(EN11/(FG11+ET11+#REF!),700)</f>
        <v>700</v>
      </c>
      <c r="DQ11" s="76">
        <f t="shared" si="119"/>
        <v>48.563577317012246</v>
      </c>
      <c r="DR11" s="76">
        <f t="shared" si="120"/>
        <v>44.71896077941544</v>
      </c>
      <c r="DS11" s="92">
        <f t="shared" si="121"/>
        <v>0.92083333333333328</v>
      </c>
      <c r="DT11" s="188">
        <f t="shared" si="122"/>
        <v>436.7</v>
      </c>
      <c r="DU11" s="207">
        <f t="shared" si="123"/>
        <v>9.8183862103422435</v>
      </c>
      <c r="DV11" s="209">
        <f t="shared" si="124"/>
        <v>6.545590806894829</v>
      </c>
      <c r="DW11" s="208">
        <f t="shared" si="125"/>
        <v>204.59777777777774</v>
      </c>
      <c r="DX11" s="76">
        <f t="shared" si="126"/>
        <v>4.5999999999999996</v>
      </c>
      <c r="DY11" s="56">
        <f t="shared" si="127"/>
        <v>256</v>
      </c>
      <c r="DZ11" s="57">
        <f t="shared" si="128"/>
        <v>5.7556832375718212</v>
      </c>
      <c r="EA11" s="76">
        <f t="shared" si="129"/>
        <v>3.7</v>
      </c>
      <c r="EB11" s="57">
        <f t="shared" si="130"/>
        <v>306.89666666666665</v>
      </c>
      <c r="EC11" s="62">
        <f t="shared" si="131"/>
        <v>6.9</v>
      </c>
      <c r="ED11" s="300"/>
      <c r="EE11" s="296" t="s">
        <v>13</v>
      </c>
      <c r="EF11" s="296" t="s">
        <v>696</v>
      </c>
      <c r="EG11" s="296">
        <v>30</v>
      </c>
      <c r="EH11" s="296" t="s">
        <v>555</v>
      </c>
      <c r="EI11" s="296" t="s">
        <v>552</v>
      </c>
      <c r="EJ11" s="296" t="s">
        <v>644</v>
      </c>
      <c r="EK11" s="296" t="s">
        <v>1042</v>
      </c>
      <c r="EL11" s="296" t="s">
        <v>697</v>
      </c>
      <c r="EM11" s="297">
        <v>46752</v>
      </c>
      <c r="EN11" s="296">
        <v>4003</v>
      </c>
      <c r="EO11" s="296" t="s">
        <v>906</v>
      </c>
      <c r="EP11" s="296">
        <v>3</v>
      </c>
      <c r="EQ11" s="296">
        <v>4</v>
      </c>
      <c r="ER11" s="296">
        <v>2</v>
      </c>
      <c r="ES11" s="296">
        <v>8</v>
      </c>
      <c r="ET11" s="296">
        <v>7</v>
      </c>
      <c r="EU11" s="296">
        <v>10.8</v>
      </c>
      <c r="EV11" s="296">
        <v>3.7</v>
      </c>
      <c r="EW11" s="296" t="s">
        <v>1009</v>
      </c>
      <c r="EX11" s="296" t="s">
        <v>929</v>
      </c>
      <c r="EY11" s="296">
        <v>15</v>
      </c>
      <c r="EZ11" s="296">
        <v>8</v>
      </c>
      <c r="FA11" s="296">
        <v>2160</v>
      </c>
      <c r="FB11" s="296">
        <v>1989</v>
      </c>
      <c r="FC11" s="296">
        <v>9</v>
      </c>
      <c r="FD11" s="296">
        <v>147</v>
      </c>
      <c r="FE11" s="296">
        <v>3</v>
      </c>
      <c r="FF11" s="296">
        <v>34</v>
      </c>
      <c r="FG11" s="296">
        <v>11</v>
      </c>
      <c r="FH11" s="296">
        <v>258</v>
      </c>
      <c r="FI11" s="296">
        <v>198</v>
      </c>
      <c r="FJ11" s="296">
        <v>93</v>
      </c>
      <c r="FK11" s="296">
        <v>35</v>
      </c>
      <c r="FL11" s="296">
        <v>42</v>
      </c>
      <c r="FM11" s="296">
        <v>40</v>
      </c>
      <c r="FN11" s="296">
        <v>111</v>
      </c>
      <c r="FO11" s="296">
        <v>3</v>
      </c>
      <c r="FP11" s="296">
        <v>1</v>
      </c>
      <c r="FQ11" s="296">
        <v>3</v>
      </c>
      <c r="FR11" s="296">
        <v>1</v>
      </c>
      <c r="FS11" s="296">
        <v>1</v>
      </c>
      <c r="FT11" s="296">
        <v>0.2</v>
      </c>
      <c r="FU11" s="296">
        <v>0</v>
      </c>
      <c r="FV11" s="296">
        <v>1</v>
      </c>
      <c r="FW11" s="296">
        <v>26</v>
      </c>
      <c r="FX11" s="296">
        <v>26</v>
      </c>
      <c r="FY11" s="296">
        <v>46</v>
      </c>
      <c r="FZ11" s="296">
        <v>10</v>
      </c>
      <c r="GA11" s="296">
        <v>1</v>
      </c>
      <c r="GB11" s="296">
        <v>0</v>
      </c>
      <c r="GC11" s="296">
        <v>0</v>
      </c>
      <c r="GD11" s="296">
        <v>4.5999999999999996</v>
      </c>
      <c r="GE11" s="296">
        <v>0</v>
      </c>
      <c r="GF11" s="296">
        <v>0</v>
      </c>
      <c r="GG11" s="296" t="s">
        <v>1043</v>
      </c>
      <c r="GH11" s="301">
        <v>6.9</v>
      </c>
    </row>
    <row r="12" spans="1:190" ht="24.95" customHeight="1" thickBot="1" x14ac:dyDescent="0.3">
      <c r="A12" s="29" t="str">
        <f t="shared" si="132"/>
        <v>11º</v>
      </c>
      <c r="B12" s="69" t="str">
        <f t="shared" si="1"/>
        <v>Raniele</v>
      </c>
      <c r="C12" s="86" t="str">
        <f t="shared" si="2"/>
        <v>BRA</v>
      </c>
      <c r="D12" s="36" t="str">
        <f t="shared" si="3"/>
        <v>Corinthians</v>
      </c>
      <c r="E12" s="36">
        <f t="shared" si="4"/>
        <v>29</v>
      </c>
      <c r="F12" s="349" t="str">
        <f t="shared" si="5"/>
        <v>65,5m € p/m</v>
      </c>
      <c r="G12" s="96">
        <f t="shared" si="6"/>
        <v>41.534074074074077</v>
      </c>
      <c r="H12" s="197">
        <f t="shared" si="7"/>
        <v>41.87777777777778</v>
      </c>
      <c r="I12" s="197">
        <f t="shared" si="8"/>
        <v>46</v>
      </c>
      <c r="J12" s="197">
        <f t="shared" si="9"/>
        <v>81.934782608695656</v>
      </c>
      <c r="K12" s="198">
        <f t="shared" si="10"/>
        <v>0.93</v>
      </c>
      <c r="L12" s="6">
        <f t="shared" si="11"/>
        <v>0</v>
      </c>
      <c r="M12" s="24">
        <f t="shared" si="12"/>
        <v>5400</v>
      </c>
      <c r="N12" s="21">
        <f t="shared" si="13"/>
        <v>0</v>
      </c>
      <c r="O12" s="58">
        <f t="shared" si="14"/>
        <v>2</v>
      </c>
      <c r="P12" s="58">
        <f t="shared" si="15"/>
        <v>1</v>
      </c>
      <c r="Q12" s="58">
        <f t="shared" si="16"/>
        <v>3</v>
      </c>
      <c r="R12" s="76">
        <f t="shared" si="17"/>
        <v>4.775802600159193E-2</v>
      </c>
      <c r="S12" s="76">
        <f t="shared" si="18"/>
        <v>2.3879013000795965E-2</v>
      </c>
      <c r="T12" s="76">
        <f t="shared" si="19"/>
        <v>7.1637039002387895E-2</v>
      </c>
      <c r="U12" s="76">
        <f t="shared" si="20"/>
        <v>2.72</v>
      </c>
      <c r="V12" s="76">
        <f t="shared" si="21"/>
        <v>2.72</v>
      </c>
      <c r="W12" s="76">
        <f t="shared" si="22"/>
        <v>6.4950915362165032E-2</v>
      </c>
      <c r="X12" s="76">
        <f t="shared" si="23"/>
        <v>1.56</v>
      </c>
      <c r="Y12" s="76">
        <f t="shared" si="24"/>
        <v>3.7251260281241705E-2</v>
      </c>
      <c r="Z12" s="76">
        <f t="shared" si="25"/>
        <v>4.28</v>
      </c>
      <c r="AA12" s="76">
        <f t="shared" si="26"/>
        <v>0.10220217564340674</v>
      </c>
      <c r="AB12" s="6">
        <f t="shared" si="27"/>
        <v>39</v>
      </c>
      <c r="AC12" s="5">
        <f t="shared" si="28"/>
        <v>0.93128150703104262</v>
      </c>
      <c r="AD12" s="6">
        <f t="shared" si="29"/>
        <v>13</v>
      </c>
      <c r="AE12" s="5">
        <f t="shared" si="30"/>
        <v>0.31042716901034756</v>
      </c>
      <c r="AF12" s="21">
        <f t="shared" si="31"/>
        <v>0.33333333333333331</v>
      </c>
      <c r="AG12" s="76">
        <f t="shared" si="32"/>
        <v>19.5</v>
      </c>
      <c r="AH12" s="76">
        <f t="shared" si="33"/>
        <v>6.5</v>
      </c>
      <c r="AI12" s="20">
        <f t="shared" si="34"/>
        <v>5.128205128205128E-2</v>
      </c>
      <c r="AJ12" s="76">
        <f t="shared" si="35"/>
        <v>96.641025641025635</v>
      </c>
      <c r="AK12" s="76">
        <f t="shared" si="36"/>
        <v>289.92307692307691</v>
      </c>
      <c r="AL12" s="76">
        <f t="shared" si="37"/>
        <v>1884.5</v>
      </c>
      <c r="AM12" s="76">
        <f t="shared" si="38"/>
        <v>1256.3333333333333</v>
      </c>
      <c r="AN12" s="5">
        <f t="shared" si="39"/>
        <v>-0.7200000000000002</v>
      </c>
      <c r="AO12" s="5">
        <f t="shared" si="40"/>
        <v>-0.7200000000000002</v>
      </c>
      <c r="AP12" s="75">
        <f t="shared" si="41"/>
        <v>0</v>
      </c>
      <c r="AQ12" s="76">
        <f t="shared" si="42"/>
        <v>0</v>
      </c>
      <c r="AR12" s="75">
        <f t="shared" si="43"/>
        <v>162</v>
      </c>
      <c r="AS12" s="75">
        <f t="shared" si="44"/>
        <v>112</v>
      </c>
      <c r="AT12" s="75">
        <f t="shared" si="45"/>
        <v>50</v>
      </c>
      <c r="AU12" s="76">
        <f t="shared" si="46"/>
        <v>2.6744494560891483</v>
      </c>
      <c r="AV12" s="79">
        <f t="shared" si="47"/>
        <v>0.69135802469135799</v>
      </c>
      <c r="AW12" s="75">
        <f t="shared" si="48"/>
        <v>90</v>
      </c>
      <c r="AX12" s="75">
        <f t="shared" si="49"/>
        <v>45</v>
      </c>
      <c r="AY12" s="75">
        <f t="shared" si="50"/>
        <v>16</v>
      </c>
      <c r="AZ12" s="76">
        <f t="shared" si="51"/>
        <v>1.0745555850358184</v>
      </c>
      <c r="BA12" s="76">
        <f t="shared" si="52"/>
        <v>0.38206420801273544</v>
      </c>
      <c r="BB12" s="79">
        <f t="shared" si="53"/>
        <v>0.5</v>
      </c>
      <c r="BC12" s="274">
        <f t="shared" si="54"/>
        <v>29</v>
      </c>
      <c r="BD12" s="273">
        <f t="shared" si="55"/>
        <v>0.69249137702308305</v>
      </c>
      <c r="BE12" s="274">
        <f t="shared" si="56"/>
        <v>4</v>
      </c>
      <c r="BF12" s="273">
        <f t="shared" si="57"/>
        <v>9.551605200318386E-2</v>
      </c>
      <c r="BG12" s="274">
        <f t="shared" si="58"/>
        <v>0</v>
      </c>
      <c r="BH12" s="273">
        <f t="shared" si="59"/>
        <v>0</v>
      </c>
      <c r="BI12" s="274">
        <f t="shared" si="60"/>
        <v>4</v>
      </c>
      <c r="BJ12" s="79">
        <f t="shared" si="61"/>
        <v>0.13793103448275862</v>
      </c>
      <c r="BK12" s="76">
        <f t="shared" si="62"/>
        <v>4.5</v>
      </c>
      <c r="BL12" s="75">
        <f t="shared" si="63"/>
        <v>197</v>
      </c>
      <c r="BM12" s="75">
        <f t="shared" si="64"/>
        <v>40</v>
      </c>
      <c r="BN12" s="160">
        <f t="shared" si="65"/>
        <v>0.20304568527918782</v>
      </c>
      <c r="BO12" s="75">
        <f t="shared" si="66"/>
        <v>454</v>
      </c>
      <c r="BP12" s="76">
        <f t="shared" si="67"/>
        <v>10.841071902361369</v>
      </c>
      <c r="BQ12" s="75">
        <f t="shared" si="68"/>
        <v>202</v>
      </c>
      <c r="BR12" s="76">
        <f t="shared" si="69"/>
        <v>4.8235606261607851</v>
      </c>
      <c r="BS12" s="160">
        <f t="shared" si="70"/>
        <v>0.44493392070484583</v>
      </c>
      <c r="BT12" s="75">
        <f t="shared" si="71"/>
        <v>197</v>
      </c>
      <c r="BU12" s="76">
        <f t="shared" si="72"/>
        <v>4.7041655611568052</v>
      </c>
      <c r="BV12" s="75">
        <f t="shared" si="73"/>
        <v>92.5</v>
      </c>
      <c r="BW12" s="76">
        <f t="shared" si="74"/>
        <v>2.2088087025736267</v>
      </c>
      <c r="BX12" s="322">
        <f t="shared" si="75"/>
        <v>1</v>
      </c>
      <c r="BY12" s="323">
        <f t="shared" si="76"/>
        <v>2.3879013000795965E-2</v>
      </c>
      <c r="BZ12" s="322">
        <f t="shared" si="77"/>
        <v>0</v>
      </c>
      <c r="CA12" s="323">
        <f t="shared" si="78"/>
        <v>0</v>
      </c>
      <c r="CB12" s="369">
        <f t="shared" si="79"/>
        <v>0</v>
      </c>
      <c r="CC12" s="322">
        <f t="shared" si="80"/>
        <v>0</v>
      </c>
      <c r="CD12" s="322">
        <f t="shared" si="81"/>
        <v>0</v>
      </c>
      <c r="CE12" s="370">
        <f t="shared" si="82"/>
        <v>0</v>
      </c>
      <c r="CF12" s="368">
        <f t="shared" si="83"/>
        <v>1E-8</v>
      </c>
      <c r="CG12" s="75">
        <f t="shared" si="84"/>
        <v>95.126666666666665</v>
      </c>
      <c r="CH12" s="76">
        <f t="shared" si="85"/>
        <v>2.2715309100557177</v>
      </c>
      <c r="CI12" s="75">
        <f t="shared" si="86"/>
        <v>41</v>
      </c>
      <c r="CJ12" s="76">
        <f t="shared" si="87"/>
        <v>0.97903953303263458</v>
      </c>
      <c r="CK12" s="79">
        <f t="shared" si="88"/>
        <v>0.43100427500175204</v>
      </c>
      <c r="CL12" s="75">
        <f t="shared" si="89"/>
        <v>444</v>
      </c>
      <c r="CM12" s="76">
        <f t="shared" si="90"/>
        <v>10.602281772353409</v>
      </c>
      <c r="CN12" s="75">
        <f t="shared" si="91"/>
        <v>354</v>
      </c>
      <c r="CO12" s="76">
        <f t="shared" si="92"/>
        <v>8.4531706022817712</v>
      </c>
      <c r="CP12" s="79">
        <f t="shared" si="93"/>
        <v>0.79729729729729726</v>
      </c>
      <c r="CQ12" s="83">
        <f t="shared" si="94"/>
        <v>2966.1266666666666</v>
      </c>
      <c r="CR12" s="83">
        <f t="shared" si="95"/>
        <v>2639</v>
      </c>
      <c r="CS12" s="84">
        <f t="shared" si="96"/>
        <v>0.88971250946801561</v>
      </c>
      <c r="CT12" s="75">
        <f t="shared" si="97"/>
        <v>4</v>
      </c>
      <c r="CU12" s="76">
        <f t="shared" si="98"/>
        <v>9.551605200318386E-2</v>
      </c>
      <c r="CV12" s="75">
        <f t="shared" si="99"/>
        <v>24</v>
      </c>
      <c r="CW12" s="76">
        <f t="shared" si="100"/>
        <v>0.57309631201910316</v>
      </c>
      <c r="CX12" s="75">
        <f t="shared" si="101"/>
        <v>62</v>
      </c>
      <c r="CY12" s="76">
        <f t="shared" si="102"/>
        <v>1.4804988060493498</v>
      </c>
      <c r="CZ12" s="75">
        <f t="shared" si="103"/>
        <v>25.126666666666669</v>
      </c>
      <c r="DA12" s="76">
        <f t="shared" si="104"/>
        <v>0.6</v>
      </c>
      <c r="DB12" s="75">
        <f t="shared" si="105"/>
        <v>2841</v>
      </c>
      <c r="DC12" s="76">
        <f t="shared" si="106"/>
        <v>67.840275935261346</v>
      </c>
      <c r="DD12" s="75">
        <f t="shared" si="107"/>
        <v>44.5</v>
      </c>
      <c r="DE12" s="6">
        <f t="shared" si="108"/>
        <v>0</v>
      </c>
      <c r="DF12" s="5">
        <f t="shared" si="109"/>
        <v>0</v>
      </c>
      <c r="DG12" s="6">
        <f t="shared" si="110"/>
        <v>19</v>
      </c>
      <c r="DH12" s="5">
        <f t="shared" si="111"/>
        <v>0.45370124701512338</v>
      </c>
      <c r="DI12" s="5">
        <f t="shared" si="112"/>
        <v>19</v>
      </c>
      <c r="DJ12" s="21">
        <f t="shared" si="113"/>
        <v>5.2631578947368418E-2</v>
      </c>
      <c r="DK12" s="5">
        <f t="shared" si="114"/>
        <v>0.56000000000000005</v>
      </c>
      <c r="DL12" s="5">
        <f t="shared" si="115"/>
        <v>8.2105263157894737E-2</v>
      </c>
      <c r="DM12" s="222">
        <f t="shared" si="116"/>
        <v>66</v>
      </c>
      <c r="DN12" s="223">
        <f t="shared" si="117"/>
        <v>1.5760148580525337</v>
      </c>
      <c r="DO12" s="76">
        <f t="shared" si="118"/>
        <v>198.36842105263159</v>
      </c>
      <c r="DP12" s="76">
        <f>IFERROR(EN12/(FG12+ET12+#REF!),700)</f>
        <v>700</v>
      </c>
      <c r="DQ12" s="76">
        <f t="shared" si="119"/>
        <v>57.954364552931807</v>
      </c>
      <c r="DR12" s="76">
        <f t="shared" si="120"/>
        <v>53.584505173786148</v>
      </c>
      <c r="DS12" s="92">
        <f t="shared" si="121"/>
        <v>0.92459826946847956</v>
      </c>
      <c r="DT12" s="188">
        <f t="shared" si="122"/>
        <v>463.8</v>
      </c>
      <c r="DU12" s="207">
        <f t="shared" si="123"/>
        <v>11.07508622976917</v>
      </c>
      <c r="DV12" s="209">
        <f t="shared" si="124"/>
        <v>7.3833908198461122</v>
      </c>
      <c r="DW12" s="208">
        <f t="shared" si="125"/>
        <v>406.21444444444444</v>
      </c>
      <c r="DX12" s="76">
        <f t="shared" si="126"/>
        <v>9.6999999999999993</v>
      </c>
      <c r="DY12" s="56">
        <f t="shared" si="127"/>
        <v>262</v>
      </c>
      <c r="DZ12" s="57">
        <f t="shared" si="128"/>
        <v>6.2563014062085429</v>
      </c>
      <c r="EA12" s="76">
        <f t="shared" si="129"/>
        <v>5</v>
      </c>
      <c r="EB12" s="57">
        <f t="shared" si="130"/>
        <v>289.37544444444444</v>
      </c>
      <c r="EC12" s="62">
        <f t="shared" si="131"/>
        <v>6.91</v>
      </c>
      <c r="ED12" s="302"/>
      <c r="EE12" s="298" t="s">
        <v>13</v>
      </c>
      <c r="EF12" s="298" t="s">
        <v>1115</v>
      </c>
      <c r="EG12" s="298">
        <v>29</v>
      </c>
      <c r="EH12" s="298" t="s">
        <v>1017</v>
      </c>
      <c r="EI12" s="298" t="s">
        <v>574</v>
      </c>
      <c r="EJ12" s="298" t="s">
        <v>644</v>
      </c>
      <c r="EK12" s="298" t="s">
        <v>698</v>
      </c>
      <c r="EL12" s="298" t="s">
        <v>982</v>
      </c>
      <c r="EM12" s="299">
        <v>47118</v>
      </c>
      <c r="EN12" s="298">
        <v>3769</v>
      </c>
      <c r="EO12" s="298" t="s">
        <v>966</v>
      </c>
      <c r="EP12" s="298">
        <v>0</v>
      </c>
      <c r="EQ12" s="298">
        <v>2</v>
      </c>
      <c r="ER12" s="298">
        <v>1</v>
      </c>
      <c r="ES12" s="298">
        <v>7</v>
      </c>
      <c r="ET12" s="298">
        <v>4</v>
      </c>
      <c r="EU12" s="298">
        <v>9.5</v>
      </c>
      <c r="EV12" s="298">
        <v>5</v>
      </c>
      <c r="EW12" s="298" t="s">
        <v>961</v>
      </c>
      <c r="EX12" s="298" t="s">
        <v>994</v>
      </c>
      <c r="EY12" s="298">
        <v>29</v>
      </c>
      <c r="EZ12" s="298">
        <v>7</v>
      </c>
      <c r="FA12" s="298">
        <v>2427</v>
      </c>
      <c r="FB12" s="298">
        <v>2244</v>
      </c>
      <c r="FC12" s="298">
        <v>19</v>
      </c>
      <c r="FD12" s="298">
        <v>258</v>
      </c>
      <c r="FE12" s="298">
        <v>4</v>
      </c>
      <c r="FF12" s="298">
        <v>39</v>
      </c>
      <c r="FG12" s="298">
        <v>13</v>
      </c>
      <c r="FH12" s="298">
        <v>162</v>
      </c>
      <c r="FI12" s="298">
        <v>112</v>
      </c>
      <c r="FJ12" s="298">
        <v>197</v>
      </c>
      <c r="FK12" s="298">
        <v>40</v>
      </c>
      <c r="FL12" s="298">
        <v>61</v>
      </c>
      <c r="FM12" s="298">
        <v>45</v>
      </c>
      <c r="FN12" s="298">
        <v>115</v>
      </c>
      <c r="FO12" s="298">
        <v>3</v>
      </c>
      <c r="FP12" s="298">
        <v>1</v>
      </c>
      <c r="FQ12" s="298">
        <v>4</v>
      </c>
      <c r="FR12" s="298">
        <v>1</v>
      </c>
      <c r="FS12" s="298">
        <v>1</v>
      </c>
      <c r="FT12" s="298">
        <v>0.6</v>
      </c>
      <c r="FU12" s="298">
        <v>0</v>
      </c>
      <c r="FV12" s="298">
        <v>0</v>
      </c>
      <c r="FW12" s="298">
        <v>22</v>
      </c>
      <c r="FX12" s="298">
        <v>16</v>
      </c>
      <c r="FY12" s="298">
        <v>39</v>
      </c>
      <c r="FZ12" s="298">
        <v>5</v>
      </c>
      <c r="GA12" s="298">
        <v>4</v>
      </c>
      <c r="GB12" s="298">
        <v>0</v>
      </c>
      <c r="GC12" s="298">
        <v>0</v>
      </c>
      <c r="GD12" s="298">
        <v>9.6999999999999993</v>
      </c>
      <c r="GE12" s="298">
        <v>0</v>
      </c>
      <c r="GF12" s="298">
        <v>0</v>
      </c>
      <c r="GG12" s="298" t="s">
        <v>1116</v>
      </c>
      <c r="GH12" s="303">
        <v>6.91</v>
      </c>
    </row>
    <row r="13" spans="1:190" ht="24.95" customHeight="1" thickBot="1" x14ac:dyDescent="0.3">
      <c r="A13" s="29" t="str">
        <f t="shared" si="132"/>
        <v>12º</v>
      </c>
      <c r="B13" s="69" t="str">
        <f t="shared" si="1"/>
        <v>Rodrigo Garro</v>
      </c>
      <c r="C13" s="86" t="str">
        <f t="shared" si="2"/>
        <v>ARG</v>
      </c>
      <c r="D13" s="36" t="str">
        <f t="shared" si="3"/>
        <v>Corinthians</v>
      </c>
      <c r="E13" s="36">
        <f t="shared" si="4"/>
        <v>28</v>
      </c>
      <c r="F13" s="349" t="str">
        <f t="shared" si="5"/>
        <v>154m € p/m</v>
      </c>
      <c r="G13" s="96">
        <f t="shared" si="6"/>
        <v>41.534074074074077</v>
      </c>
      <c r="H13" s="197">
        <f t="shared" si="7"/>
        <v>39.711111111111109</v>
      </c>
      <c r="I13" s="197">
        <f t="shared" si="8"/>
        <v>51</v>
      </c>
      <c r="J13" s="197">
        <f t="shared" si="9"/>
        <v>70.078431372549019</v>
      </c>
      <c r="K13" s="198">
        <f t="shared" si="10"/>
        <v>0.92</v>
      </c>
      <c r="L13" s="6">
        <f t="shared" si="11"/>
        <v>5</v>
      </c>
      <c r="M13" s="24">
        <f t="shared" si="12"/>
        <v>714.8</v>
      </c>
      <c r="N13" s="21">
        <f t="shared" si="13"/>
        <v>0.1259093452714046</v>
      </c>
      <c r="O13" s="58">
        <f t="shared" si="14"/>
        <v>12</v>
      </c>
      <c r="P13" s="58">
        <f t="shared" si="15"/>
        <v>10</v>
      </c>
      <c r="Q13" s="58">
        <f t="shared" si="16"/>
        <v>22</v>
      </c>
      <c r="R13" s="76">
        <f t="shared" si="17"/>
        <v>0.30218242865137102</v>
      </c>
      <c r="S13" s="76">
        <f t="shared" si="18"/>
        <v>0.2518186905428092</v>
      </c>
      <c r="T13" s="76">
        <f t="shared" si="19"/>
        <v>0.55400111919418027</v>
      </c>
      <c r="U13" s="76">
        <f t="shared" si="20"/>
        <v>10.63</v>
      </c>
      <c r="V13" s="76">
        <f t="shared" si="21"/>
        <v>9.0500000000000007</v>
      </c>
      <c r="W13" s="76">
        <f t="shared" si="22"/>
        <v>0.22789591494124234</v>
      </c>
      <c r="X13" s="76">
        <f t="shared" si="23"/>
        <v>11.59</v>
      </c>
      <c r="Y13" s="76">
        <f t="shared" si="24"/>
        <v>0.29185786233911587</v>
      </c>
      <c r="Z13" s="76">
        <f t="shared" si="25"/>
        <v>20.64</v>
      </c>
      <c r="AA13" s="76">
        <f t="shared" si="26"/>
        <v>0.51975377728035821</v>
      </c>
      <c r="AB13" s="6">
        <f t="shared" si="27"/>
        <v>92</v>
      </c>
      <c r="AC13" s="5">
        <f t="shared" si="28"/>
        <v>2.3167319529938446</v>
      </c>
      <c r="AD13" s="6">
        <f t="shared" si="29"/>
        <v>39</v>
      </c>
      <c r="AE13" s="5">
        <f t="shared" si="30"/>
        <v>0.9820928931169558</v>
      </c>
      <c r="AF13" s="21">
        <f t="shared" si="31"/>
        <v>0.42391304347826086</v>
      </c>
      <c r="AG13" s="76">
        <f t="shared" si="32"/>
        <v>8.1818181818181817</v>
      </c>
      <c r="AH13" s="76">
        <f t="shared" si="33"/>
        <v>3.3636363636363638</v>
      </c>
      <c r="AI13" s="20">
        <f t="shared" si="34"/>
        <v>0.12222222222222222</v>
      </c>
      <c r="AJ13" s="76">
        <f t="shared" si="35"/>
        <v>38.847826086956523</v>
      </c>
      <c r="AK13" s="76">
        <f t="shared" si="36"/>
        <v>91.641025641025635</v>
      </c>
      <c r="AL13" s="76">
        <f t="shared" si="37"/>
        <v>297.83333333333331</v>
      </c>
      <c r="AM13" s="76">
        <f t="shared" si="38"/>
        <v>162.45454545454547</v>
      </c>
      <c r="AN13" s="5">
        <f t="shared" si="39"/>
        <v>1.3699999999999992</v>
      </c>
      <c r="AO13" s="5">
        <f t="shared" si="40"/>
        <v>1.9499999999999993</v>
      </c>
      <c r="AP13" s="75">
        <f t="shared" si="41"/>
        <v>21</v>
      </c>
      <c r="AQ13" s="76">
        <f t="shared" si="42"/>
        <v>0.52881925013989928</v>
      </c>
      <c r="AR13" s="75">
        <f t="shared" si="43"/>
        <v>155</v>
      </c>
      <c r="AS13" s="75">
        <f t="shared" si="44"/>
        <v>36</v>
      </c>
      <c r="AT13" s="75">
        <f t="shared" si="45"/>
        <v>119</v>
      </c>
      <c r="AU13" s="76">
        <f t="shared" si="46"/>
        <v>0.90654728595411305</v>
      </c>
      <c r="AV13" s="79">
        <f t="shared" si="47"/>
        <v>0.23225806451612904</v>
      </c>
      <c r="AW13" s="75">
        <f t="shared" si="48"/>
        <v>113</v>
      </c>
      <c r="AX13" s="75">
        <f t="shared" si="49"/>
        <v>59</v>
      </c>
      <c r="AY13" s="75">
        <f t="shared" si="50"/>
        <v>14</v>
      </c>
      <c r="AZ13" s="76">
        <f t="shared" si="51"/>
        <v>1.4857302742025742</v>
      </c>
      <c r="BA13" s="76">
        <f t="shared" si="52"/>
        <v>0.35254616675993289</v>
      </c>
      <c r="BB13" s="79">
        <f t="shared" si="53"/>
        <v>0.52212389380530977</v>
      </c>
      <c r="BC13" s="274">
        <f t="shared" si="54"/>
        <v>40</v>
      </c>
      <c r="BD13" s="273">
        <f t="shared" si="55"/>
        <v>1.0072747621712368</v>
      </c>
      <c r="BE13" s="274">
        <f t="shared" si="56"/>
        <v>1</v>
      </c>
      <c r="BF13" s="273">
        <f t="shared" si="57"/>
        <v>2.5181869054280919E-2</v>
      </c>
      <c r="BG13" s="274">
        <f t="shared" si="58"/>
        <v>0</v>
      </c>
      <c r="BH13" s="273">
        <f t="shared" si="59"/>
        <v>0</v>
      </c>
      <c r="BI13" s="274">
        <f t="shared" si="60"/>
        <v>1</v>
      </c>
      <c r="BJ13" s="79">
        <f t="shared" si="61"/>
        <v>2.5000000000000001E-2</v>
      </c>
      <c r="BK13" s="76">
        <f t="shared" si="62"/>
        <v>-6.8</v>
      </c>
      <c r="BL13" s="75">
        <f t="shared" si="63"/>
        <v>318</v>
      </c>
      <c r="BM13" s="75">
        <f t="shared" si="64"/>
        <v>69</v>
      </c>
      <c r="BN13" s="160">
        <f t="shared" si="65"/>
        <v>0.21698113207547171</v>
      </c>
      <c r="BO13" s="75">
        <f t="shared" si="66"/>
        <v>587</v>
      </c>
      <c r="BP13" s="76">
        <f t="shared" si="67"/>
        <v>14.7817571348629</v>
      </c>
      <c r="BQ13" s="75">
        <f t="shared" si="68"/>
        <v>165</v>
      </c>
      <c r="BR13" s="76">
        <f t="shared" si="69"/>
        <v>4.1550083939563516</v>
      </c>
      <c r="BS13" s="160">
        <f t="shared" si="70"/>
        <v>0.28109028960817717</v>
      </c>
      <c r="BT13" s="75">
        <f t="shared" si="71"/>
        <v>113</v>
      </c>
      <c r="BU13" s="76">
        <f t="shared" si="72"/>
        <v>2.845551203133744</v>
      </c>
      <c r="BV13" s="75">
        <f t="shared" si="73"/>
        <v>129.5</v>
      </c>
      <c r="BW13" s="76">
        <f t="shared" si="74"/>
        <v>3.261052042529379</v>
      </c>
      <c r="BX13" s="322">
        <f t="shared" si="75"/>
        <v>256</v>
      </c>
      <c r="BY13" s="323">
        <f t="shared" si="76"/>
        <v>6.4465584778959153</v>
      </c>
      <c r="BZ13" s="322">
        <f t="shared" si="77"/>
        <v>38</v>
      </c>
      <c r="CA13" s="323">
        <f t="shared" si="78"/>
        <v>0.95691102406267492</v>
      </c>
      <c r="CB13" s="369">
        <f t="shared" si="79"/>
        <v>0.1484375</v>
      </c>
      <c r="CC13" s="322">
        <f t="shared" si="80"/>
        <v>2</v>
      </c>
      <c r="CD13" s="322">
        <f t="shared" si="81"/>
        <v>1</v>
      </c>
      <c r="CE13" s="370">
        <f t="shared" si="82"/>
        <v>1</v>
      </c>
      <c r="CF13" s="368">
        <f t="shared" si="83"/>
        <v>0.5</v>
      </c>
      <c r="CG13" s="75">
        <f t="shared" si="84"/>
        <v>657.68222222222221</v>
      </c>
      <c r="CH13" s="76">
        <f t="shared" si="85"/>
        <v>16.561667599328484</v>
      </c>
      <c r="CI13" s="75">
        <f t="shared" si="86"/>
        <v>324</v>
      </c>
      <c r="CJ13" s="76">
        <f t="shared" si="87"/>
        <v>8.1589255735870179</v>
      </c>
      <c r="CK13" s="79">
        <f t="shared" si="88"/>
        <v>0.4926391333876205</v>
      </c>
      <c r="CL13" s="75">
        <f t="shared" si="89"/>
        <v>380</v>
      </c>
      <c r="CM13" s="76">
        <f t="shared" si="90"/>
        <v>9.569110240626749</v>
      </c>
      <c r="CN13" s="75">
        <f t="shared" si="91"/>
        <v>208</v>
      </c>
      <c r="CO13" s="76">
        <f t="shared" si="92"/>
        <v>5.2378287632904312</v>
      </c>
      <c r="CP13" s="79">
        <f t="shared" si="93"/>
        <v>0.54736842105263162</v>
      </c>
      <c r="CQ13" s="83">
        <f t="shared" si="94"/>
        <v>3256.6822222222222</v>
      </c>
      <c r="CR13" s="83">
        <f t="shared" si="95"/>
        <v>2513</v>
      </c>
      <c r="CS13" s="84">
        <f t="shared" si="96"/>
        <v>0.77164421596075627</v>
      </c>
      <c r="CT13" s="75">
        <f t="shared" si="97"/>
        <v>55</v>
      </c>
      <c r="CU13" s="76">
        <f t="shared" si="98"/>
        <v>1.3850027979854507</v>
      </c>
      <c r="CV13" s="75">
        <f t="shared" si="99"/>
        <v>209</v>
      </c>
      <c r="CW13" s="76">
        <f t="shared" si="100"/>
        <v>5.2630106323447121</v>
      </c>
      <c r="CX13" s="75">
        <f t="shared" si="101"/>
        <v>244</v>
      </c>
      <c r="CY13" s="76">
        <f t="shared" si="102"/>
        <v>6.1443760492445447</v>
      </c>
      <c r="CZ13" s="75">
        <f t="shared" si="103"/>
        <v>43.682222222222222</v>
      </c>
      <c r="DA13" s="76">
        <f t="shared" si="104"/>
        <v>1.1000000000000001</v>
      </c>
      <c r="DB13" s="75">
        <f t="shared" si="105"/>
        <v>3032</v>
      </c>
      <c r="DC13" s="76">
        <f t="shared" si="106"/>
        <v>76.351426972579745</v>
      </c>
      <c r="DD13" s="75">
        <f t="shared" si="107"/>
        <v>279</v>
      </c>
      <c r="DE13" s="6">
        <f t="shared" si="108"/>
        <v>0</v>
      </c>
      <c r="DF13" s="5">
        <f t="shared" si="109"/>
        <v>0</v>
      </c>
      <c r="DG13" s="6">
        <f t="shared" si="110"/>
        <v>122</v>
      </c>
      <c r="DH13" s="5">
        <f t="shared" si="111"/>
        <v>3.0721880246222724</v>
      </c>
      <c r="DI13" s="5">
        <f t="shared" si="112"/>
        <v>12.2</v>
      </c>
      <c r="DJ13" s="21">
        <f t="shared" si="113"/>
        <v>8.1967213114754092E-2</v>
      </c>
      <c r="DK13" s="5">
        <f t="shared" si="114"/>
        <v>1.5899999999999999</v>
      </c>
      <c r="DL13" s="5">
        <f t="shared" si="115"/>
        <v>9.5000000000000001E-2</v>
      </c>
      <c r="DM13" s="222">
        <f t="shared" si="116"/>
        <v>563</v>
      </c>
      <c r="DN13" s="223">
        <f t="shared" si="117"/>
        <v>14.177392277560157</v>
      </c>
      <c r="DO13" s="76">
        <f t="shared" si="118"/>
        <v>29.295081967213115</v>
      </c>
      <c r="DP13" s="76">
        <f>IFERROR(EN13/(FG13+ET13+#REF!),700)</f>
        <v>700</v>
      </c>
      <c r="DQ13" s="76">
        <f t="shared" si="119"/>
        <v>55.878567431449362</v>
      </c>
      <c r="DR13" s="76">
        <f t="shared" si="120"/>
        <v>49.885282596530502</v>
      </c>
      <c r="DS13" s="92">
        <f t="shared" si="121"/>
        <v>0.89274447949526814</v>
      </c>
      <c r="DT13" s="188">
        <f t="shared" si="122"/>
        <v>501.3</v>
      </c>
      <c r="DU13" s="207">
        <f t="shared" si="123"/>
        <v>12.623670956911026</v>
      </c>
      <c r="DV13" s="209">
        <f t="shared" si="124"/>
        <v>8.4157806379406832</v>
      </c>
      <c r="DW13" s="208">
        <f t="shared" si="125"/>
        <v>607.58000000000004</v>
      </c>
      <c r="DX13" s="76">
        <f t="shared" si="126"/>
        <v>15.3</v>
      </c>
      <c r="DY13" s="56">
        <f t="shared" si="127"/>
        <v>647</v>
      </c>
      <c r="DZ13" s="57">
        <f t="shared" si="128"/>
        <v>16.292669278119753</v>
      </c>
      <c r="EA13" s="76">
        <f t="shared" si="129"/>
        <v>12.6</v>
      </c>
      <c r="EB13" s="57">
        <f t="shared" si="130"/>
        <v>278.37488888888885</v>
      </c>
      <c r="EC13" s="62">
        <f t="shared" si="131"/>
        <v>7.01</v>
      </c>
      <c r="ED13" s="302"/>
      <c r="EE13" s="298" t="s">
        <v>478</v>
      </c>
      <c r="EF13" s="298" t="s">
        <v>835</v>
      </c>
      <c r="EG13" s="298">
        <v>28</v>
      </c>
      <c r="EH13" s="298" t="s">
        <v>1017</v>
      </c>
      <c r="EI13" s="298" t="s">
        <v>777</v>
      </c>
      <c r="EJ13" s="298" t="s">
        <v>652</v>
      </c>
      <c r="EK13" s="298" t="s">
        <v>1019</v>
      </c>
      <c r="EL13" s="298" t="s">
        <v>1020</v>
      </c>
      <c r="EM13" s="299">
        <v>47118</v>
      </c>
      <c r="EN13" s="298">
        <v>3574</v>
      </c>
      <c r="EO13" s="298" t="s">
        <v>1048</v>
      </c>
      <c r="EP13" s="298">
        <v>5</v>
      </c>
      <c r="EQ13" s="298">
        <v>12</v>
      </c>
      <c r="ER13" s="298">
        <v>10</v>
      </c>
      <c r="ES13" s="298">
        <v>39</v>
      </c>
      <c r="ET13" s="298">
        <v>30</v>
      </c>
      <c r="EU13" s="298">
        <v>5.8</v>
      </c>
      <c r="EV13" s="298">
        <v>12.6</v>
      </c>
      <c r="EW13" s="298" t="s">
        <v>1049</v>
      </c>
      <c r="EX13" s="298" t="s">
        <v>1050</v>
      </c>
      <c r="EY13" s="298">
        <v>40</v>
      </c>
      <c r="EZ13" s="298">
        <v>48</v>
      </c>
      <c r="FA13" s="298">
        <v>2219</v>
      </c>
      <c r="FB13" s="298">
        <v>1981</v>
      </c>
      <c r="FC13" s="298">
        <v>122</v>
      </c>
      <c r="FD13" s="298">
        <v>162</v>
      </c>
      <c r="FE13" s="298">
        <v>55</v>
      </c>
      <c r="FF13" s="298">
        <v>92</v>
      </c>
      <c r="FG13" s="298">
        <v>39</v>
      </c>
      <c r="FH13" s="298">
        <v>155</v>
      </c>
      <c r="FI13" s="298">
        <v>36</v>
      </c>
      <c r="FJ13" s="298">
        <v>318</v>
      </c>
      <c r="FK13" s="298">
        <v>69</v>
      </c>
      <c r="FL13" s="298">
        <v>73</v>
      </c>
      <c r="FM13" s="298">
        <v>59</v>
      </c>
      <c r="FN13" s="298">
        <v>77</v>
      </c>
      <c r="FO13" s="298">
        <v>38</v>
      </c>
      <c r="FP13" s="298">
        <v>19</v>
      </c>
      <c r="FQ13" s="298">
        <v>294</v>
      </c>
      <c r="FR13" s="298">
        <v>57</v>
      </c>
      <c r="FS13" s="298">
        <v>2</v>
      </c>
      <c r="FT13" s="298">
        <v>1.1000000000000001</v>
      </c>
      <c r="FU13" s="298">
        <v>9</v>
      </c>
      <c r="FV13" s="298">
        <v>21</v>
      </c>
      <c r="FW13" s="298">
        <v>9</v>
      </c>
      <c r="FX13" s="298">
        <v>7</v>
      </c>
      <c r="FY13" s="298">
        <v>19</v>
      </c>
      <c r="FZ13" s="298">
        <v>1</v>
      </c>
      <c r="GA13" s="298">
        <v>1</v>
      </c>
      <c r="GB13" s="298">
        <v>0</v>
      </c>
      <c r="GC13" s="298">
        <v>0</v>
      </c>
      <c r="GD13" s="298">
        <v>15.3</v>
      </c>
      <c r="GE13" s="298">
        <v>2</v>
      </c>
      <c r="GF13" s="298">
        <v>1</v>
      </c>
      <c r="GG13" s="298" t="s">
        <v>1018</v>
      </c>
      <c r="GH13" s="303">
        <v>7.01</v>
      </c>
    </row>
    <row r="14" spans="1:190" ht="24.95" customHeight="1" thickBot="1" x14ac:dyDescent="0.3">
      <c r="A14" s="29" t="str">
        <f t="shared" si="132"/>
        <v>13º</v>
      </c>
      <c r="B14" s="69" t="str">
        <f t="shared" si="1"/>
        <v>Tchoca</v>
      </c>
      <c r="C14" s="86" t="str">
        <f t="shared" si="2"/>
        <v>BRA</v>
      </c>
      <c r="D14" s="36" t="str">
        <f t="shared" si="3"/>
        <v>Corinthians</v>
      </c>
      <c r="E14" s="36">
        <f t="shared" si="4"/>
        <v>22</v>
      </c>
      <c r="F14" s="349" t="str">
        <f t="shared" si="5"/>
        <v>6,5m € p/m</v>
      </c>
      <c r="G14" s="96">
        <f t="shared" si="6"/>
        <v>41.534074074074077</v>
      </c>
      <c r="H14" s="197">
        <f t="shared" si="7"/>
        <v>39.855555555555554</v>
      </c>
      <c r="I14" s="197">
        <f t="shared" si="8"/>
        <v>44</v>
      </c>
      <c r="J14" s="197">
        <f t="shared" si="9"/>
        <v>81.522727272727266</v>
      </c>
      <c r="K14" s="198">
        <f t="shared" si="10"/>
        <v>0.89</v>
      </c>
      <c r="L14" s="6">
        <f t="shared" si="11"/>
        <v>1</v>
      </c>
      <c r="M14" s="24">
        <f t="shared" si="12"/>
        <v>3587</v>
      </c>
      <c r="N14" s="21">
        <f t="shared" si="13"/>
        <v>2.5090604962364094E-2</v>
      </c>
      <c r="O14" s="58">
        <f t="shared" si="14"/>
        <v>4</v>
      </c>
      <c r="P14" s="58">
        <f t="shared" si="15"/>
        <v>0</v>
      </c>
      <c r="Q14" s="58">
        <f t="shared" si="16"/>
        <v>4</v>
      </c>
      <c r="R14" s="76">
        <f t="shared" si="17"/>
        <v>0.10036241984945637</v>
      </c>
      <c r="S14" s="76">
        <f t="shared" si="18"/>
        <v>0</v>
      </c>
      <c r="T14" s="76">
        <f t="shared" si="19"/>
        <v>0.10036241984945637</v>
      </c>
      <c r="U14" s="76">
        <f t="shared" si="20"/>
        <v>2.39</v>
      </c>
      <c r="V14" s="76">
        <f t="shared" si="21"/>
        <v>2.39</v>
      </c>
      <c r="W14" s="76">
        <f t="shared" si="22"/>
        <v>5.9966545860050187E-2</v>
      </c>
      <c r="X14" s="76">
        <f t="shared" si="23"/>
        <v>0.48</v>
      </c>
      <c r="Y14" s="76">
        <f t="shared" si="24"/>
        <v>1.2043490381934764E-2</v>
      </c>
      <c r="Z14" s="76">
        <f t="shared" si="25"/>
        <v>2.87</v>
      </c>
      <c r="AA14" s="76">
        <f t="shared" si="26"/>
        <v>7.2010036241984945E-2</v>
      </c>
      <c r="AB14" s="6">
        <f t="shared" si="27"/>
        <v>24</v>
      </c>
      <c r="AC14" s="5">
        <f t="shared" si="28"/>
        <v>0.60217451909673825</v>
      </c>
      <c r="AD14" s="6">
        <f t="shared" si="29"/>
        <v>11</v>
      </c>
      <c r="AE14" s="5">
        <f t="shared" si="30"/>
        <v>0.27599665458600503</v>
      </c>
      <c r="AF14" s="21">
        <f t="shared" si="31"/>
        <v>0.45833333333333331</v>
      </c>
      <c r="AG14" s="76">
        <f t="shared" si="32"/>
        <v>6</v>
      </c>
      <c r="AH14" s="76">
        <f t="shared" si="33"/>
        <v>2.75</v>
      </c>
      <c r="AI14" s="20">
        <f t="shared" si="34"/>
        <v>0.16666666666666666</v>
      </c>
      <c r="AJ14" s="76">
        <f t="shared" si="35"/>
        <v>149.45833333333334</v>
      </c>
      <c r="AK14" s="76">
        <f t="shared" si="36"/>
        <v>326.09090909090907</v>
      </c>
      <c r="AL14" s="76">
        <f t="shared" si="37"/>
        <v>896.75</v>
      </c>
      <c r="AM14" s="76">
        <f t="shared" si="38"/>
        <v>896.75</v>
      </c>
      <c r="AN14" s="5">
        <f t="shared" si="39"/>
        <v>1.6099999999999999</v>
      </c>
      <c r="AO14" s="5">
        <f t="shared" si="40"/>
        <v>1.6099999999999999</v>
      </c>
      <c r="AP14" s="75">
        <f t="shared" si="41"/>
        <v>0</v>
      </c>
      <c r="AQ14" s="76">
        <f t="shared" si="42"/>
        <v>0</v>
      </c>
      <c r="AR14" s="75">
        <f t="shared" si="43"/>
        <v>213</v>
      </c>
      <c r="AS14" s="75">
        <f t="shared" si="44"/>
        <v>148</v>
      </c>
      <c r="AT14" s="75">
        <f t="shared" si="45"/>
        <v>65</v>
      </c>
      <c r="AU14" s="76">
        <f t="shared" si="46"/>
        <v>3.7134095344298856</v>
      </c>
      <c r="AV14" s="79">
        <f t="shared" si="47"/>
        <v>0.69483568075117375</v>
      </c>
      <c r="AW14" s="75">
        <f t="shared" si="48"/>
        <v>70</v>
      </c>
      <c r="AX14" s="75">
        <f t="shared" si="49"/>
        <v>36</v>
      </c>
      <c r="AY14" s="75">
        <f t="shared" si="50"/>
        <v>13</v>
      </c>
      <c r="AZ14" s="76">
        <f t="shared" si="51"/>
        <v>0.90326177864510737</v>
      </c>
      <c r="BA14" s="76">
        <f t="shared" si="52"/>
        <v>0.32617786451073322</v>
      </c>
      <c r="BB14" s="79">
        <f t="shared" si="53"/>
        <v>0.51428571428571423</v>
      </c>
      <c r="BC14" s="274">
        <f t="shared" si="54"/>
        <v>21</v>
      </c>
      <c r="BD14" s="273">
        <f t="shared" si="55"/>
        <v>0.52690270420964591</v>
      </c>
      <c r="BE14" s="274">
        <f t="shared" si="56"/>
        <v>4</v>
      </c>
      <c r="BF14" s="273">
        <f t="shared" si="57"/>
        <v>0.10036241984945637</v>
      </c>
      <c r="BG14" s="274">
        <f t="shared" si="58"/>
        <v>0</v>
      </c>
      <c r="BH14" s="273">
        <f t="shared" si="59"/>
        <v>0</v>
      </c>
      <c r="BI14" s="274">
        <f t="shared" si="60"/>
        <v>4</v>
      </c>
      <c r="BJ14" s="79">
        <f t="shared" si="61"/>
        <v>0.19047619047619047</v>
      </c>
      <c r="BK14" s="76">
        <f t="shared" si="62"/>
        <v>5.3999999999999995</v>
      </c>
      <c r="BL14" s="75">
        <f t="shared" si="63"/>
        <v>91</v>
      </c>
      <c r="BM14" s="75">
        <f t="shared" si="64"/>
        <v>20</v>
      </c>
      <c r="BN14" s="160">
        <f t="shared" si="65"/>
        <v>0.21978021978021978</v>
      </c>
      <c r="BO14" s="75">
        <f t="shared" si="66"/>
        <v>381</v>
      </c>
      <c r="BP14" s="76">
        <f t="shared" si="67"/>
        <v>9.5595204906607201</v>
      </c>
      <c r="BQ14" s="75">
        <f t="shared" si="68"/>
        <v>211</v>
      </c>
      <c r="BR14" s="76">
        <f t="shared" si="69"/>
        <v>5.2941176470588234</v>
      </c>
      <c r="BS14" s="160">
        <f t="shared" si="70"/>
        <v>0.5538057742782152</v>
      </c>
      <c r="BT14" s="75">
        <f t="shared" si="71"/>
        <v>214</v>
      </c>
      <c r="BU14" s="76">
        <f t="shared" si="72"/>
        <v>5.3693894619459162</v>
      </c>
      <c r="BV14" s="75">
        <f t="shared" si="73"/>
        <v>66.5</v>
      </c>
      <c r="BW14" s="76">
        <f t="shared" si="74"/>
        <v>1.6685252299972122</v>
      </c>
      <c r="BX14" s="322">
        <f t="shared" si="75"/>
        <v>0</v>
      </c>
      <c r="BY14" s="323">
        <f t="shared" si="76"/>
        <v>0</v>
      </c>
      <c r="BZ14" s="322">
        <f t="shared" si="77"/>
        <v>0</v>
      </c>
      <c r="CA14" s="323">
        <f t="shared" si="78"/>
        <v>0</v>
      </c>
      <c r="CB14" s="369">
        <f t="shared" si="79"/>
        <v>0</v>
      </c>
      <c r="CC14" s="322">
        <f t="shared" si="80"/>
        <v>0</v>
      </c>
      <c r="CD14" s="322">
        <f t="shared" si="81"/>
        <v>0</v>
      </c>
      <c r="CE14" s="370">
        <f t="shared" si="82"/>
        <v>0</v>
      </c>
      <c r="CF14" s="368">
        <f t="shared" si="83"/>
        <v>1E-8</v>
      </c>
      <c r="CG14" s="75">
        <f t="shared" si="84"/>
        <v>44.985555555555557</v>
      </c>
      <c r="CH14" s="76">
        <f t="shared" si="85"/>
        <v>1.1287148034569279</v>
      </c>
      <c r="CI14" s="75">
        <f t="shared" si="86"/>
        <v>28</v>
      </c>
      <c r="CJ14" s="76">
        <f t="shared" si="87"/>
        <v>0.70253693894619462</v>
      </c>
      <c r="CK14" s="79">
        <f t="shared" si="88"/>
        <v>0.62242201200385305</v>
      </c>
      <c r="CL14" s="75">
        <f t="shared" si="89"/>
        <v>496</v>
      </c>
      <c r="CM14" s="76">
        <f t="shared" si="90"/>
        <v>12.44494006133259</v>
      </c>
      <c r="CN14" s="75">
        <f t="shared" si="91"/>
        <v>398</v>
      </c>
      <c r="CO14" s="76">
        <f t="shared" si="92"/>
        <v>9.9860607750209098</v>
      </c>
      <c r="CP14" s="79">
        <f t="shared" si="93"/>
        <v>0.80241935483870963</v>
      </c>
      <c r="CQ14" s="83">
        <f t="shared" si="94"/>
        <v>2684.9855555555555</v>
      </c>
      <c r="CR14" s="83">
        <f t="shared" si="95"/>
        <v>2410</v>
      </c>
      <c r="CS14" s="84">
        <f t="shared" si="96"/>
        <v>0.89758397210496066</v>
      </c>
      <c r="CT14" s="75">
        <f t="shared" si="97"/>
        <v>0</v>
      </c>
      <c r="CU14" s="76">
        <f t="shared" si="98"/>
        <v>0</v>
      </c>
      <c r="CV14" s="75">
        <f t="shared" si="99"/>
        <v>17</v>
      </c>
      <c r="CW14" s="76">
        <f t="shared" si="100"/>
        <v>0.42654028436018959</v>
      </c>
      <c r="CX14" s="75">
        <f t="shared" si="101"/>
        <v>40</v>
      </c>
      <c r="CY14" s="76">
        <f t="shared" si="102"/>
        <v>1.0036241984945637</v>
      </c>
      <c r="CZ14" s="75">
        <f t="shared" si="103"/>
        <v>3.9855555555555555</v>
      </c>
      <c r="DA14" s="76">
        <f t="shared" si="104"/>
        <v>0.1</v>
      </c>
      <c r="DB14" s="75">
        <f t="shared" si="105"/>
        <v>2555</v>
      </c>
      <c r="DC14" s="76">
        <f t="shared" si="106"/>
        <v>64.106495678840261</v>
      </c>
      <c r="DD14" s="75">
        <f t="shared" si="107"/>
        <v>33</v>
      </c>
      <c r="DE14" s="6">
        <f t="shared" si="108"/>
        <v>0</v>
      </c>
      <c r="DF14" s="5">
        <f t="shared" si="109"/>
        <v>0</v>
      </c>
      <c r="DG14" s="6">
        <f t="shared" si="110"/>
        <v>14</v>
      </c>
      <c r="DH14" s="5">
        <f t="shared" si="111"/>
        <v>0.35126846947309731</v>
      </c>
      <c r="DI14" s="5">
        <f t="shared" si="112"/>
        <v>70</v>
      </c>
      <c r="DJ14" s="21">
        <f t="shared" si="113"/>
        <v>0</v>
      </c>
      <c r="DK14" s="5">
        <f t="shared" si="114"/>
        <v>0.48</v>
      </c>
      <c r="DL14" s="5">
        <f t="shared" si="115"/>
        <v>3.4285714285714287E-2</v>
      </c>
      <c r="DM14" s="222">
        <f t="shared" si="116"/>
        <v>39</v>
      </c>
      <c r="DN14" s="223">
        <f t="shared" si="117"/>
        <v>0.9785335935321996</v>
      </c>
      <c r="DO14" s="76">
        <f t="shared" si="118"/>
        <v>256.21428571428572</v>
      </c>
      <c r="DP14" s="76">
        <f>IFERROR(EN14/(FG14+ET14+#REF!),700)</f>
        <v>700</v>
      </c>
      <c r="DQ14" s="76">
        <f t="shared" si="119"/>
        <v>53.794257039308619</v>
      </c>
      <c r="DR14" s="76">
        <f t="shared" si="120"/>
        <v>49.779760245330358</v>
      </c>
      <c r="DS14" s="92">
        <f t="shared" si="121"/>
        <v>0.92537313432835822</v>
      </c>
      <c r="DT14" s="188">
        <f t="shared" si="122"/>
        <v>409.1</v>
      </c>
      <c r="DU14" s="207">
        <f t="shared" si="123"/>
        <v>10.264566490103151</v>
      </c>
      <c r="DV14" s="209">
        <f t="shared" si="124"/>
        <v>6.8430443267354342</v>
      </c>
      <c r="DW14" s="208">
        <f t="shared" si="125"/>
        <v>290.94555555555553</v>
      </c>
      <c r="DX14" s="76">
        <f t="shared" si="126"/>
        <v>7.3</v>
      </c>
      <c r="DY14" s="56">
        <f t="shared" si="127"/>
        <v>238</v>
      </c>
      <c r="DZ14" s="57">
        <f t="shared" si="128"/>
        <v>5.971563981042654</v>
      </c>
      <c r="EA14" s="76">
        <f t="shared" si="129"/>
        <v>4.7</v>
      </c>
      <c r="EB14" s="57">
        <f t="shared" si="130"/>
        <v>276.59755555555557</v>
      </c>
      <c r="EC14" s="62">
        <f t="shared" si="131"/>
        <v>6.94</v>
      </c>
      <c r="ED14" s="302"/>
      <c r="EE14" s="298" t="s">
        <v>13</v>
      </c>
      <c r="EF14" s="298" t="s">
        <v>832</v>
      </c>
      <c r="EG14" s="298">
        <v>22</v>
      </c>
      <c r="EH14" s="298" t="s">
        <v>1017</v>
      </c>
      <c r="EI14" s="298" t="s">
        <v>549</v>
      </c>
      <c r="EJ14" s="298" t="s">
        <v>645</v>
      </c>
      <c r="EK14" s="298" t="s">
        <v>1033</v>
      </c>
      <c r="EL14" s="298" t="s">
        <v>843</v>
      </c>
      <c r="EM14" s="299">
        <v>47848</v>
      </c>
      <c r="EN14" s="298">
        <v>3587</v>
      </c>
      <c r="EO14" s="298" t="s">
        <v>972</v>
      </c>
      <c r="EP14" s="298">
        <v>1</v>
      </c>
      <c r="EQ14" s="298">
        <v>4</v>
      </c>
      <c r="ER14" s="298">
        <v>0</v>
      </c>
      <c r="ES14" s="298">
        <v>4</v>
      </c>
      <c r="ET14" s="298">
        <v>2</v>
      </c>
      <c r="EU14" s="298">
        <v>10.1</v>
      </c>
      <c r="EV14" s="298">
        <v>4.7</v>
      </c>
      <c r="EW14" s="298" t="s">
        <v>903</v>
      </c>
      <c r="EX14" s="298" t="s">
        <v>975</v>
      </c>
      <c r="EY14" s="298">
        <v>21</v>
      </c>
      <c r="EZ14" s="298">
        <v>2</v>
      </c>
      <c r="FA14" s="298">
        <v>2144</v>
      </c>
      <c r="FB14" s="298">
        <v>1984</v>
      </c>
      <c r="FC14" s="298">
        <v>14</v>
      </c>
      <c r="FD14" s="298">
        <v>203</v>
      </c>
      <c r="FE14" s="298">
        <v>0</v>
      </c>
      <c r="FF14" s="298">
        <v>24</v>
      </c>
      <c r="FG14" s="298">
        <v>11</v>
      </c>
      <c r="FH14" s="298">
        <v>213</v>
      </c>
      <c r="FI14" s="298">
        <v>148</v>
      </c>
      <c r="FJ14" s="298">
        <v>91</v>
      </c>
      <c r="FK14" s="298">
        <v>20</v>
      </c>
      <c r="FL14" s="298">
        <v>49</v>
      </c>
      <c r="FM14" s="298">
        <v>36</v>
      </c>
      <c r="FN14" s="298">
        <v>110</v>
      </c>
      <c r="FO14" s="298">
        <v>1</v>
      </c>
      <c r="FP14" s="298">
        <v>1</v>
      </c>
      <c r="FQ14" s="298">
        <v>1</v>
      </c>
      <c r="FR14" s="298">
        <v>1</v>
      </c>
      <c r="FS14" s="298">
        <v>1</v>
      </c>
      <c r="FT14" s="298">
        <v>0.1</v>
      </c>
      <c r="FU14" s="298">
        <v>0</v>
      </c>
      <c r="FV14" s="298">
        <v>0</v>
      </c>
      <c r="FW14" s="298">
        <v>20</v>
      </c>
      <c r="FX14" s="298">
        <v>16</v>
      </c>
      <c r="FY14" s="298">
        <v>61</v>
      </c>
      <c r="FZ14" s="298">
        <v>7</v>
      </c>
      <c r="GA14" s="298">
        <v>4</v>
      </c>
      <c r="GB14" s="298">
        <v>0</v>
      </c>
      <c r="GC14" s="298">
        <v>2</v>
      </c>
      <c r="GD14" s="298">
        <v>7.3</v>
      </c>
      <c r="GE14" s="298">
        <v>0</v>
      </c>
      <c r="GF14" s="298">
        <v>0</v>
      </c>
      <c r="GG14" s="298" t="s">
        <v>1034</v>
      </c>
      <c r="GH14" s="303">
        <v>6.94</v>
      </c>
    </row>
    <row r="15" spans="1:190" ht="24.95" customHeight="1" thickBot="1" x14ac:dyDescent="0.3">
      <c r="A15" s="29" t="str">
        <f t="shared" si="132"/>
        <v>14º</v>
      </c>
      <c r="B15" s="69" t="str">
        <f t="shared" si="1"/>
        <v>Yago Pikachu</v>
      </c>
      <c r="C15" s="86" t="str">
        <f t="shared" si="2"/>
        <v>BRA</v>
      </c>
      <c r="D15" s="36" t="str">
        <f t="shared" si="3"/>
        <v>Remo</v>
      </c>
      <c r="E15" s="36">
        <f t="shared" si="4"/>
        <v>34</v>
      </c>
      <c r="F15" s="349" t="str">
        <f t="shared" si="5"/>
        <v>47m € p/m</v>
      </c>
      <c r="G15" s="96">
        <f t="shared" si="6"/>
        <v>41.534074074074077</v>
      </c>
      <c r="H15" s="197">
        <f t="shared" si="7"/>
        <v>38.255555555555553</v>
      </c>
      <c r="I15" s="197">
        <f t="shared" si="8"/>
        <v>42</v>
      </c>
      <c r="J15" s="197">
        <f t="shared" si="9"/>
        <v>81.976190476190482</v>
      </c>
      <c r="K15" s="198">
        <f t="shared" si="10"/>
        <v>0.95</v>
      </c>
      <c r="L15" s="6">
        <f t="shared" si="11"/>
        <v>5</v>
      </c>
      <c r="M15" s="24">
        <f t="shared" si="12"/>
        <v>688.6</v>
      </c>
      <c r="N15" s="21">
        <f t="shared" si="13"/>
        <v>0.13069997095556202</v>
      </c>
      <c r="O15" s="58">
        <f t="shared" si="14"/>
        <v>10</v>
      </c>
      <c r="P15" s="58">
        <f t="shared" si="15"/>
        <v>13</v>
      </c>
      <c r="Q15" s="58">
        <f t="shared" si="16"/>
        <v>23</v>
      </c>
      <c r="R15" s="76">
        <f t="shared" si="17"/>
        <v>0.26139994191112403</v>
      </c>
      <c r="S15" s="76">
        <f t="shared" si="18"/>
        <v>0.33981992448446124</v>
      </c>
      <c r="T15" s="76">
        <f t="shared" si="19"/>
        <v>0.60121986639558533</v>
      </c>
      <c r="U15" s="76">
        <f t="shared" si="20"/>
        <v>11</v>
      </c>
      <c r="V15" s="76">
        <f t="shared" si="21"/>
        <v>5.47</v>
      </c>
      <c r="W15" s="76">
        <f t="shared" si="22"/>
        <v>0.14298576822538483</v>
      </c>
      <c r="X15" s="76">
        <f t="shared" si="23"/>
        <v>9.18</v>
      </c>
      <c r="Y15" s="76">
        <f t="shared" si="24"/>
        <v>0.23996514667441185</v>
      </c>
      <c r="Z15" s="76">
        <f t="shared" si="25"/>
        <v>14.649999999999999</v>
      </c>
      <c r="AA15" s="76">
        <f t="shared" si="26"/>
        <v>0.38295091489979671</v>
      </c>
      <c r="AB15" s="6">
        <f t="shared" si="27"/>
        <v>67</v>
      </c>
      <c r="AC15" s="5">
        <f t="shared" si="28"/>
        <v>1.751379610804531</v>
      </c>
      <c r="AD15" s="6">
        <f t="shared" si="29"/>
        <v>32</v>
      </c>
      <c r="AE15" s="5">
        <f t="shared" si="30"/>
        <v>0.83647981411559691</v>
      </c>
      <c r="AF15" s="21">
        <f t="shared" si="31"/>
        <v>0.47761194029850745</v>
      </c>
      <c r="AG15" s="76">
        <f t="shared" si="32"/>
        <v>12</v>
      </c>
      <c r="AH15" s="76">
        <f t="shared" si="33"/>
        <v>5</v>
      </c>
      <c r="AI15" s="20">
        <f t="shared" si="34"/>
        <v>8.3333333333333329E-2</v>
      </c>
      <c r="AJ15" s="76">
        <f t="shared" si="35"/>
        <v>51.388059701492537</v>
      </c>
      <c r="AK15" s="76">
        <f t="shared" si="36"/>
        <v>107.59375</v>
      </c>
      <c r="AL15" s="76">
        <f t="shared" si="37"/>
        <v>344.3</v>
      </c>
      <c r="AM15" s="76">
        <f t="shared" si="38"/>
        <v>149.69565217391303</v>
      </c>
      <c r="AN15" s="5">
        <f t="shared" si="39"/>
        <v>-1</v>
      </c>
      <c r="AO15" s="5">
        <f t="shared" si="40"/>
        <v>-0.46999999999999975</v>
      </c>
      <c r="AP15" s="75">
        <f t="shared" si="41"/>
        <v>6</v>
      </c>
      <c r="AQ15" s="76">
        <f t="shared" si="42"/>
        <v>0.15683996514667442</v>
      </c>
      <c r="AR15" s="75">
        <f t="shared" si="43"/>
        <v>129</v>
      </c>
      <c r="AS15" s="75">
        <f t="shared" si="44"/>
        <v>35</v>
      </c>
      <c r="AT15" s="75">
        <f t="shared" si="45"/>
        <v>94</v>
      </c>
      <c r="AU15" s="76">
        <f t="shared" si="46"/>
        <v>0.91489979668893417</v>
      </c>
      <c r="AV15" s="79">
        <f t="shared" si="47"/>
        <v>0.27131782945736432</v>
      </c>
      <c r="AW15" s="75">
        <f t="shared" si="48"/>
        <v>127</v>
      </c>
      <c r="AX15" s="75">
        <f t="shared" si="49"/>
        <v>62</v>
      </c>
      <c r="AY15" s="75">
        <f t="shared" si="50"/>
        <v>22</v>
      </c>
      <c r="AZ15" s="76">
        <f t="shared" si="51"/>
        <v>1.6206796398489691</v>
      </c>
      <c r="BA15" s="76">
        <f t="shared" si="52"/>
        <v>0.57507987220447288</v>
      </c>
      <c r="BB15" s="79">
        <f t="shared" si="53"/>
        <v>0.48818897637795278</v>
      </c>
      <c r="BC15" s="274">
        <f t="shared" si="54"/>
        <v>43</v>
      </c>
      <c r="BD15" s="273">
        <f t="shared" si="55"/>
        <v>1.1240197502178333</v>
      </c>
      <c r="BE15" s="274">
        <f t="shared" si="56"/>
        <v>8</v>
      </c>
      <c r="BF15" s="273">
        <f t="shared" si="57"/>
        <v>0.20911995352889923</v>
      </c>
      <c r="BG15" s="274">
        <f t="shared" si="58"/>
        <v>0</v>
      </c>
      <c r="BH15" s="273">
        <f t="shared" si="59"/>
        <v>0</v>
      </c>
      <c r="BI15" s="274">
        <f t="shared" si="60"/>
        <v>8</v>
      </c>
      <c r="BJ15" s="79">
        <f t="shared" si="61"/>
        <v>0.18604651162790697</v>
      </c>
      <c r="BK15" s="76">
        <f t="shared" si="62"/>
        <v>-1.2999999999999989</v>
      </c>
      <c r="BL15" s="75">
        <f t="shared" si="63"/>
        <v>310</v>
      </c>
      <c r="BM15" s="75">
        <f t="shared" si="64"/>
        <v>74</v>
      </c>
      <c r="BN15" s="160">
        <f t="shared" si="65"/>
        <v>0.23870967741935484</v>
      </c>
      <c r="BO15" s="75">
        <f t="shared" si="66"/>
        <v>569</v>
      </c>
      <c r="BP15" s="76">
        <f t="shared" si="67"/>
        <v>14.873656694742957</v>
      </c>
      <c r="BQ15" s="75">
        <f t="shared" si="68"/>
        <v>174</v>
      </c>
      <c r="BR15" s="76">
        <f t="shared" si="69"/>
        <v>4.5483589892535585</v>
      </c>
      <c r="BS15" s="160">
        <f t="shared" si="70"/>
        <v>0.30579964850615116</v>
      </c>
      <c r="BT15" s="75">
        <f t="shared" si="71"/>
        <v>182</v>
      </c>
      <c r="BU15" s="76">
        <f t="shared" si="72"/>
        <v>4.7574789427824573</v>
      </c>
      <c r="BV15" s="75">
        <f t="shared" si="73"/>
        <v>140.5</v>
      </c>
      <c r="BW15" s="76">
        <f t="shared" si="74"/>
        <v>3.6726691838512928</v>
      </c>
      <c r="BX15" s="322">
        <f t="shared" si="75"/>
        <v>34</v>
      </c>
      <c r="BY15" s="323">
        <f t="shared" si="76"/>
        <v>0.88875980249782172</v>
      </c>
      <c r="BZ15" s="322">
        <f t="shared" si="77"/>
        <v>6</v>
      </c>
      <c r="CA15" s="323">
        <f t="shared" si="78"/>
        <v>0.15683996514667442</v>
      </c>
      <c r="CB15" s="369">
        <f t="shared" si="79"/>
        <v>0.17647058823529413</v>
      </c>
      <c r="CC15" s="322">
        <f t="shared" si="80"/>
        <v>7</v>
      </c>
      <c r="CD15" s="322">
        <f t="shared" si="81"/>
        <v>5</v>
      </c>
      <c r="CE15" s="370">
        <f t="shared" si="82"/>
        <v>2</v>
      </c>
      <c r="CF15" s="368">
        <f t="shared" si="83"/>
        <v>0.7142857142857143</v>
      </c>
      <c r="CG15" s="75">
        <f t="shared" si="84"/>
        <v>490.7788888888889</v>
      </c>
      <c r="CH15" s="76">
        <f t="shared" si="85"/>
        <v>12.828957304676155</v>
      </c>
      <c r="CI15" s="75">
        <f t="shared" si="86"/>
        <v>268</v>
      </c>
      <c r="CJ15" s="76">
        <f t="shared" si="87"/>
        <v>7.0055184432181239</v>
      </c>
      <c r="CK15" s="79">
        <f t="shared" si="88"/>
        <v>0.54607075827313045</v>
      </c>
      <c r="CL15" s="75">
        <f t="shared" si="89"/>
        <v>441</v>
      </c>
      <c r="CM15" s="76">
        <f t="shared" si="90"/>
        <v>11.527737438280569</v>
      </c>
      <c r="CN15" s="75">
        <f t="shared" si="91"/>
        <v>279</v>
      </c>
      <c r="CO15" s="76">
        <f t="shared" si="92"/>
        <v>7.2930583793203603</v>
      </c>
      <c r="CP15" s="79">
        <f t="shared" si="93"/>
        <v>0.63265306122448983</v>
      </c>
      <c r="CQ15" s="83">
        <f t="shared" si="94"/>
        <v>2980.778888888889</v>
      </c>
      <c r="CR15" s="83">
        <f t="shared" si="95"/>
        <v>2340</v>
      </c>
      <c r="CS15" s="84">
        <f t="shared" si="96"/>
        <v>0.78502971445569225</v>
      </c>
      <c r="CT15" s="75">
        <f t="shared" si="97"/>
        <v>68</v>
      </c>
      <c r="CU15" s="76">
        <f t="shared" si="98"/>
        <v>1.7775196049956434</v>
      </c>
      <c r="CV15" s="75">
        <f t="shared" si="99"/>
        <v>162</v>
      </c>
      <c r="CW15" s="76">
        <f t="shared" si="100"/>
        <v>4.234679058960209</v>
      </c>
      <c r="CX15" s="75">
        <f t="shared" si="101"/>
        <v>178</v>
      </c>
      <c r="CY15" s="76">
        <f t="shared" si="102"/>
        <v>4.6529189660180075</v>
      </c>
      <c r="CZ15" s="75">
        <f t="shared" si="103"/>
        <v>26.778888888888886</v>
      </c>
      <c r="DA15" s="76">
        <f t="shared" si="104"/>
        <v>0.7</v>
      </c>
      <c r="DB15" s="75">
        <f t="shared" si="105"/>
        <v>2812</v>
      </c>
      <c r="DC15" s="76">
        <f t="shared" si="106"/>
        <v>73.505663665408079</v>
      </c>
      <c r="DD15" s="75">
        <f t="shared" si="107"/>
        <v>245.5</v>
      </c>
      <c r="DE15" s="6">
        <f t="shared" si="108"/>
        <v>0</v>
      </c>
      <c r="DF15" s="5">
        <f t="shared" si="109"/>
        <v>0</v>
      </c>
      <c r="DG15" s="6">
        <f t="shared" si="110"/>
        <v>90</v>
      </c>
      <c r="DH15" s="5">
        <f t="shared" si="111"/>
        <v>2.3525994772001164</v>
      </c>
      <c r="DI15" s="5">
        <f t="shared" si="112"/>
        <v>6.9230769230769234</v>
      </c>
      <c r="DJ15" s="21">
        <f t="shared" si="113"/>
        <v>0.14444444444444443</v>
      </c>
      <c r="DK15" s="5">
        <f t="shared" si="114"/>
        <v>-3.8200000000000003</v>
      </c>
      <c r="DL15" s="5">
        <f t="shared" si="115"/>
        <v>0.10199999999999999</v>
      </c>
      <c r="DM15" s="222">
        <f t="shared" si="116"/>
        <v>437</v>
      </c>
      <c r="DN15" s="223">
        <f t="shared" si="117"/>
        <v>11.42317746151612</v>
      </c>
      <c r="DO15" s="76">
        <f t="shared" si="118"/>
        <v>38.255555555555553</v>
      </c>
      <c r="DP15" s="76">
        <f>IFERROR(EN15/(FG15+ET15+#REF!),700)</f>
        <v>700</v>
      </c>
      <c r="DQ15" s="76">
        <f t="shared" si="119"/>
        <v>53.560848097589314</v>
      </c>
      <c r="DR15" s="76">
        <f t="shared" si="120"/>
        <v>46.869009584664539</v>
      </c>
      <c r="DS15" s="92">
        <f t="shared" si="121"/>
        <v>0.87506100536847242</v>
      </c>
      <c r="DT15" s="188">
        <f t="shared" si="122"/>
        <v>461.6</v>
      </c>
      <c r="DU15" s="207">
        <f t="shared" si="123"/>
        <v>12.066221318617487</v>
      </c>
      <c r="DV15" s="209">
        <f t="shared" si="124"/>
        <v>8.0441475457449911</v>
      </c>
      <c r="DW15" s="208">
        <f t="shared" si="125"/>
        <v>673.29777777777781</v>
      </c>
      <c r="DX15" s="76">
        <f t="shared" si="126"/>
        <v>17.600000000000001</v>
      </c>
      <c r="DY15" s="56">
        <f t="shared" si="127"/>
        <v>546</v>
      </c>
      <c r="DZ15" s="57">
        <f t="shared" si="128"/>
        <v>14.272436828347372</v>
      </c>
      <c r="EA15" s="76">
        <f t="shared" si="129"/>
        <v>12.1</v>
      </c>
      <c r="EB15" s="57">
        <f t="shared" si="130"/>
        <v>274.67488888888886</v>
      </c>
      <c r="EC15" s="62">
        <f t="shared" si="131"/>
        <v>7.18</v>
      </c>
      <c r="ED15" s="302"/>
      <c r="EE15" s="298" t="s">
        <v>13</v>
      </c>
      <c r="EF15" s="298" t="s">
        <v>838</v>
      </c>
      <c r="EG15" s="298">
        <v>34</v>
      </c>
      <c r="EH15" s="298" t="s">
        <v>558</v>
      </c>
      <c r="EI15" s="298" t="s">
        <v>839</v>
      </c>
      <c r="EJ15" s="298" t="s">
        <v>645</v>
      </c>
      <c r="EK15" s="298" t="s">
        <v>413</v>
      </c>
      <c r="EL15" s="298" t="s">
        <v>840</v>
      </c>
      <c r="EM15" s="299">
        <v>46752</v>
      </c>
      <c r="EN15" s="298">
        <v>3443</v>
      </c>
      <c r="EO15" s="298" t="s">
        <v>1110</v>
      </c>
      <c r="EP15" s="298">
        <v>5</v>
      </c>
      <c r="EQ15" s="298">
        <v>10</v>
      </c>
      <c r="ER15" s="298">
        <v>13</v>
      </c>
      <c r="ES15" s="298">
        <v>82</v>
      </c>
      <c r="ET15" s="298">
        <v>21</v>
      </c>
      <c r="EU15" s="298">
        <v>10.8</v>
      </c>
      <c r="EV15" s="298">
        <v>12.1</v>
      </c>
      <c r="EW15" s="298">
        <v>11</v>
      </c>
      <c r="EX15" s="298" t="s">
        <v>1111</v>
      </c>
      <c r="EY15" s="298">
        <v>43</v>
      </c>
      <c r="EZ15" s="298">
        <v>40</v>
      </c>
      <c r="FA15" s="298">
        <v>2049</v>
      </c>
      <c r="FB15" s="298">
        <v>1793</v>
      </c>
      <c r="FC15" s="298">
        <v>90</v>
      </c>
      <c r="FD15" s="298">
        <v>298</v>
      </c>
      <c r="FE15" s="298">
        <v>68</v>
      </c>
      <c r="FF15" s="298">
        <v>67</v>
      </c>
      <c r="FG15" s="298">
        <v>32</v>
      </c>
      <c r="FH15" s="298">
        <v>129</v>
      </c>
      <c r="FI15" s="298">
        <v>35</v>
      </c>
      <c r="FJ15" s="298">
        <v>310</v>
      </c>
      <c r="FK15" s="298">
        <v>74</v>
      </c>
      <c r="FL15" s="298">
        <v>84</v>
      </c>
      <c r="FM15" s="298">
        <v>62</v>
      </c>
      <c r="FN15" s="298">
        <v>135</v>
      </c>
      <c r="FO15" s="298">
        <v>178</v>
      </c>
      <c r="FP15" s="298">
        <v>45</v>
      </c>
      <c r="FQ15" s="298">
        <v>212</v>
      </c>
      <c r="FR15" s="298">
        <v>51</v>
      </c>
      <c r="FS15" s="298">
        <v>1</v>
      </c>
      <c r="FT15" s="298">
        <v>0.7</v>
      </c>
      <c r="FU15" s="298">
        <v>6</v>
      </c>
      <c r="FV15" s="298">
        <v>6</v>
      </c>
      <c r="FW15" s="298">
        <v>14</v>
      </c>
      <c r="FX15" s="298">
        <v>6</v>
      </c>
      <c r="FY15" s="298">
        <v>24</v>
      </c>
      <c r="FZ15" s="298">
        <v>3</v>
      </c>
      <c r="GA15" s="298">
        <v>8</v>
      </c>
      <c r="GB15" s="298">
        <v>0</v>
      </c>
      <c r="GC15" s="298">
        <v>2</v>
      </c>
      <c r="GD15" s="298">
        <v>17.600000000000001</v>
      </c>
      <c r="GE15" s="298">
        <v>7</v>
      </c>
      <c r="GF15" s="298">
        <v>5</v>
      </c>
      <c r="GG15" s="298" t="s">
        <v>967</v>
      </c>
      <c r="GH15" s="303">
        <v>7.18</v>
      </c>
    </row>
    <row r="16" spans="1:190" ht="24.95" customHeight="1" thickBot="1" x14ac:dyDescent="0.3">
      <c r="A16" s="29" t="str">
        <f t="shared" si="132"/>
        <v>15º</v>
      </c>
      <c r="B16" s="69" t="str">
        <f t="shared" si="1"/>
        <v>Yuri Alberto</v>
      </c>
      <c r="C16" s="86" t="str">
        <f t="shared" si="2"/>
        <v>BRA</v>
      </c>
      <c r="D16" s="36" t="str">
        <f t="shared" si="3"/>
        <v>Corinthians</v>
      </c>
      <c r="E16" s="36">
        <f t="shared" si="4"/>
        <v>25</v>
      </c>
      <c r="F16" s="349" t="str">
        <f t="shared" si="5"/>
        <v>319m € p/m</v>
      </c>
      <c r="G16" s="96">
        <f t="shared" si="6"/>
        <v>41.534074074074077</v>
      </c>
      <c r="H16" s="197">
        <f t="shared" si="7"/>
        <v>50.833333333333336</v>
      </c>
      <c r="I16" s="197">
        <f t="shared" si="8"/>
        <v>55</v>
      </c>
      <c r="J16" s="197">
        <f t="shared" si="9"/>
        <v>83.181818181818187</v>
      </c>
      <c r="K16" s="198">
        <f t="shared" si="10"/>
        <v>0.96</v>
      </c>
      <c r="L16" s="6">
        <f t="shared" si="11"/>
        <v>6</v>
      </c>
      <c r="M16" s="24">
        <f t="shared" si="12"/>
        <v>762.5</v>
      </c>
      <c r="N16" s="21">
        <f t="shared" si="13"/>
        <v>0.11803278688524589</v>
      </c>
      <c r="O16" s="58">
        <f t="shared" si="14"/>
        <v>24</v>
      </c>
      <c r="P16" s="58">
        <f t="shared" si="15"/>
        <v>6</v>
      </c>
      <c r="Q16" s="58">
        <f t="shared" si="16"/>
        <v>30</v>
      </c>
      <c r="R16" s="76">
        <f t="shared" si="17"/>
        <v>0.47213114754098356</v>
      </c>
      <c r="S16" s="76">
        <f t="shared" si="18"/>
        <v>0.11803278688524589</v>
      </c>
      <c r="T16" s="76">
        <f t="shared" si="19"/>
        <v>0.5901639344262295</v>
      </c>
      <c r="U16" s="76">
        <f t="shared" si="20"/>
        <v>21.51</v>
      </c>
      <c r="V16" s="76">
        <f t="shared" si="21"/>
        <v>21.51</v>
      </c>
      <c r="W16" s="76">
        <f t="shared" si="22"/>
        <v>0.42314754098360657</v>
      </c>
      <c r="X16" s="76">
        <f t="shared" si="23"/>
        <v>4.96</v>
      </c>
      <c r="Y16" s="76">
        <f t="shared" si="24"/>
        <v>9.7573770491803269E-2</v>
      </c>
      <c r="Z16" s="76">
        <f t="shared" si="25"/>
        <v>26.470000000000002</v>
      </c>
      <c r="AA16" s="76">
        <f t="shared" si="26"/>
        <v>0.5207213114754099</v>
      </c>
      <c r="AB16" s="6">
        <f t="shared" si="27"/>
        <v>137</v>
      </c>
      <c r="AC16" s="5">
        <f t="shared" si="28"/>
        <v>2.6950819672131145</v>
      </c>
      <c r="AD16" s="6">
        <f t="shared" si="29"/>
        <v>72</v>
      </c>
      <c r="AE16" s="5">
        <f t="shared" si="30"/>
        <v>1.4163934426229507</v>
      </c>
      <c r="AF16" s="21">
        <f t="shared" si="31"/>
        <v>0.52554744525547448</v>
      </c>
      <c r="AG16" s="76">
        <f t="shared" si="32"/>
        <v>5.708333333333333</v>
      </c>
      <c r="AH16" s="76">
        <f t="shared" si="33"/>
        <v>3</v>
      </c>
      <c r="AI16" s="20">
        <f t="shared" si="34"/>
        <v>0.17518248175182483</v>
      </c>
      <c r="AJ16" s="76">
        <f t="shared" si="35"/>
        <v>33.394160583941606</v>
      </c>
      <c r="AK16" s="76">
        <f t="shared" si="36"/>
        <v>63.541666666666664</v>
      </c>
      <c r="AL16" s="76">
        <f t="shared" si="37"/>
        <v>190.625</v>
      </c>
      <c r="AM16" s="76">
        <f t="shared" si="38"/>
        <v>152.5</v>
      </c>
      <c r="AN16" s="5">
        <f t="shared" si="39"/>
        <v>2.4899999999999984</v>
      </c>
      <c r="AO16" s="5">
        <f t="shared" si="40"/>
        <v>2.4899999999999984</v>
      </c>
      <c r="AP16" s="75">
        <f t="shared" si="41"/>
        <v>38</v>
      </c>
      <c r="AQ16" s="76">
        <f t="shared" si="42"/>
        <v>0.7475409836065573</v>
      </c>
      <c r="AR16" s="75">
        <f t="shared" si="43"/>
        <v>321</v>
      </c>
      <c r="AS16" s="75">
        <f t="shared" si="44"/>
        <v>81</v>
      </c>
      <c r="AT16" s="75">
        <f t="shared" si="45"/>
        <v>240</v>
      </c>
      <c r="AU16" s="76">
        <f t="shared" si="46"/>
        <v>1.5934426229508196</v>
      </c>
      <c r="AV16" s="79">
        <f t="shared" si="47"/>
        <v>0.25233644859813081</v>
      </c>
      <c r="AW16" s="75">
        <f t="shared" si="48"/>
        <v>46</v>
      </c>
      <c r="AX16" s="75">
        <f t="shared" si="49"/>
        <v>4</v>
      </c>
      <c r="AY16" s="75">
        <f t="shared" si="50"/>
        <v>1</v>
      </c>
      <c r="AZ16" s="76">
        <f t="shared" si="51"/>
        <v>7.8688524590163927E-2</v>
      </c>
      <c r="BA16" s="76">
        <f t="shared" si="52"/>
        <v>1.9672131147540982E-2</v>
      </c>
      <c r="BB16" s="79">
        <f t="shared" si="53"/>
        <v>8.6956521739130432E-2</v>
      </c>
      <c r="BC16" s="274">
        <f t="shared" si="54"/>
        <v>41</v>
      </c>
      <c r="BD16" s="273">
        <f t="shared" si="55"/>
        <v>0.80655737704918029</v>
      </c>
      <c r="BE16" s="274">
        <f t="shared" si="56"/>
        <v>0</v>
      </c>
      <c r="BF16" s="273">
        <f t="shared" si="57"/>
        <v>0</v>
      </c>
      <c r="BG16" s="274">
        <f t="shared" si="58"/>
        <v>0</v>
      </c>
      <c r="BH16" s="273">
        <f t="shared" si="59"/>
        <v>0</v>
      </c>
      <c r="BI16" s="274">
        <f t="shared" si="60"/>
        <v>0</v>
      </c>
      <c r="BJ16" s="79">
        <f t="shared" si="61"/>
        <v>0</v>
      </c>
      <c r="BK16" s="76">
        <f t="shared" si="62"/>
        <v>-3.3000000000000003</v>
      </c>
      <c r="BL16" s="75">
        <f t="shared" si="63"/>
        <v>61</v>
      </c>
      <c r="BM16" s="75">
        <f t="shared" si="64"/>
        <v>14</v>
      </c>
      <c r="BN16" s="160">
        <f t="shared" si="65"/>
        <v>0.22950819672131148</v>
      </c>
      <c r="BO16" s="75">
        <f t="shared" si="66"/>
        <v>428</v>
      </c>
      <c r="BP16" s="76">
        <f t="shared" si="67"/>
        <v>8.4196721311475411</v>
      </c>
      <c r="BQ16" s="75">
        <f t="shared" si="68"/>
        <v>99</v>
      </c>
      <c r="BR16" s="76">
        <f t="shared" si="69"/>
        <v>1.9475409836065574</v>
      </c>
      <c r="BS16" s="160">
        <f t="shared" si="70"/>
        <v>0.23130841121495327</v>
      </c>
      <c r="BT16" s="75">
        <f t="shared" si="71"/>
        <v>36</v>
      </c>
      <c r="BU16" s="76">
        <f t="shared" si="72"/>
        <v>0.70819672131147537</v>
      </c>
      <c r="BV16" s="75">
        <f t="shared" si="73"/>
        <v>18</v>
      </c>
      <c r="BW16" s="76">
        <f t="shared" si="74"/>
        <v>0.35409836065573769</v>
      </c>
      <c r="BX16" s="322">
        <f t="shared" si="75"/>
        <v>0</v>
      </c>
      <c r="BY16" s="323">
        <f t="shared" si="76"/>
        <v>0</v>
      </c>
      <c r="BZ16" s="322">
        <f t="shared" si="77"/>
        <v>0</v>
      </c>
      <c r="CA16" s="323">
        <f t="shared" si="78"/>
        <v>0</v>
      </c>
      <c r="CB16" s="369">
        <f t="shared" si="79"/>
        <v>0</v>
      </c>
      <c r="CC16" s="322">
        <f t="shared" si="80"/>
        <v>0</v>
      </c>
      <c r="CD16" s="322">
        <f t="shared" si="81"/>
        <v>0</v>
      </c>
      <c r="CE16" s="370">
        <f t="shared" si="82"/>
        <v>0</v>
      </c>
      <c r="CF16" s="368">
        <f t="shared" si="83"/>
        <v>1E-8</v>
      </c>
      <c r="CG16" s="75">
        <f t="shared" si="84"/>
        <v>331.75</v>
      </c>
      <c r="CH16" s="76">
        <f t="shared" si="85"/>
        <v>6.526229508196721</v>
      </c>
      <c r="CI16" s="75">
        <f t="shared" si="86"/>
        <v>211</v>
      </c>
      <c r="CJ16" s="76">
        <f t="shared" si="87"/>
        <v>4.1508196721311474</v>
      </c>
      <c r="CK16" s="79">
        <f t="shared" si="88"/>
        <v>0.63602110022607383</v>
      </c>
      <c r="CL16" s="75">
        <f t="shared" si="89"/>
        <v>403</v>
      </c>
      <c r="CM16" s="76">
        <f t="shared" si="90"/>
        <v>7.9278688524590164</v>
      </c>
      <c r="CN16" s="75">
        <f t="shared" si="91"/>
        <v>121</v>
      </c>
      <c r="CO16" s="76">
        <f t="shared" si="92"/>
        <v>2.3803278688524587</v>
      </c>
      <c r="CP16" s="79">
        <f t="shared" si="93"/>
        <v>0.30024813895781638</v>
      </c>
      <c r="CQ16" s="83">
        <f t="shared" si="94"/>
        <v>1979.75</v>
      </c>
      <c r="CR16" s="83">
        <f t="shared" si="95"/>
        <v>1472</v>
      </c>
      <c r="CS16" s="84">
        <f t="shared" si="96"/>
        <v>0.74352822326051271</v>
      </c>
      <c r="CT16" s="75">
        <f t="shared" si="97"/>
        <v>26</v>
      </c>
      <c r="CU16" s="76">
        <f t="shared" si="98"/>
        <v>0.51147540983606554</v>
      </c>
      <c r="CV16" s="75">
        <f t="shared" si="99"/>
        <v>75</v>
      </c>
      <c r="CW16" s="76">
        <f t="shared" si="100"/>
        <v>1.4754098360655736</v>
      </c>
      <c r="CX16" s="75">
        <f t="shared" si="101"/>
        <v>207</v>
      </c>
      <c r="CY16" s="76">
        <f t="shared" si="102"/>
        <v>4.0721311475409836</v>
      </c>
      <c r="CZ16" s="75">
        <f t="shared" si="103"/>
        <v>45.75</v>
      </c>
      <c r="DA16" s="76">
        <f t="shared" si="104"/>
        <v>0.9</v>
      </c>
      <c r="DB16" s="75">
        <f t="shared" si="105"/>
        <v>1779</v>
      </c>
      <c r="DC16" s="76">
        <f t="shared" si="106"/>
        <v>34.996721311475412</v>
      </c>
      <c r="DD16" s="75">
        <f t="shared" si="107"/>
        <v>213</v>
      </c>
      <c r="DE16" s="6">
        <f t="shared" si="108"/>
        <v>0</v>
      </c>
      <c r="DF16" s="5">
        <f t="shared" si="109"/>
        <v>0</v>
      </c>
      <c r="DG16" s="6">
        <f t="shared" si="110"/>
        <v>56</v>
      </c>
      <c r="DH16" s="5">
        <f t="shared" si="111"/>
        <v>1.1016393442622949</v>
      </c>
      <c r="DI16" s="5">
        <f t="shared" si="112"/>
        <v>9.3333333333333339</v>
      </c>
      <c r="DJ16" s="21">
        <f t="shared" si="113"/>
        <v>0.10714285714285714</v>
      </c>
      <c r="DK16" s="5">
        <f t="shared" si="114"/>
        <v>-1.04</v>
      </c>
      <c r="DL16" s="5">
        <f t="shared" si="115"/>
        <v>8.8571428571428565E-2</v>
      </c>
      <c r="DM16" s="222">
        <f t="shared" si="116"/>
        <v>234</v>
      </c>
      <c r="DN16" s="223">
        <f t="shared" si="117"/>
        <v>4.6032786885245898</v>
      </c>
      <c r="DO16" s="76">
        <f t="shared" si="118"/>
        <v>81.696428571428569</v>
      </c>
      <c r="DP16" s="76">
        <f>IFERROR(EN16/(FG16+ET16+#REF!),700)</f>
        <v>700</v>
      </c>
      <c r="DQ16" s="76">
        <f t="shared" si="119"/>
        <v>24.491803278688522</v>
      </c>
      <c r="DR16" s="76">
        <f t="shared" si="120"/>
        <v>22.42622950819672</v>
      </c>
      <c r="DS16" s="92">
        <f t="shared" si="121"/>
        <v>0.91566265060240959</v>
      </c>
      <c r="DT16" s="188">
        <f t="shared" si="122"/>
        <v>541.1</v>
      </c>
      <c r="DU16" s="207">
        <f t="shared" si="123"/>
        <v>10.644590163934426</v>
      </c>
      <c r="DV16" s="209">
        <f t="shared" si="124"/>
        <v>7.0963934426229507</v>
      </c>
      <c r="DW16" s="208">
        <f t="shared" si="125"/>
        <v>340.58333333333337</v>
      </c>
      <c r="DX16" s="76">
        <f t="shared" si="126"/>
        <v>6.7</v>
      </c>
      <c r="DY16" s="56">
        <f t="shared" si="127"/>
        <v>420</v>
      </c>
      <c r="DZ16" s="57">
        <f t="shared" si="128"/>
        <v>8.2622950819672134</v>
      </c>
      <c r="EA16" s="76">
        <f t="shared" si="129"/>
        <v>4.7</v>
      </c>
      <c r="EB16" s="57">
        <f t="shared" si="130"/>
        <v>349.22500000000002</v>
      </c>
      <c r="EC16" s="62">
        <f t="shared" si="131"/>
        <v>6.87</v>
      </c>
      <c r="ED16" s="300"/>
      <c r="EE16" s="296" t="s">
        <v>13</v>
      </c>
      <c r="EF16" s="296" t="s">
        <v>836</v>
      </c>
      <c r="EG16" s="296">
        <v>25</v>
      </c>
      <c r="EH16" s="296" t="s">
        <v>1017</v>
      </c>
      <c r="EI16" s="296" t="s">
        <v>586</v>
      </c>
      <c r="EJ16" s="296" t="s">
        <v>644</v>
      </c>
      <c r="EK16" s="296" t="s">
        <v>986</v>
      </c>
      <c r="EL16" s="296" t="s">
        <v>909</v>
      </c>
      <c r="EM16" s="297">
        <v>47686</v>
      </c>
      <c r="EN16" s="296">
        <v>4575</v>
      </c>
      <c r="EO16" s="296" t="s">
        <v>904</v>
      </c>
      <c r="EP16" s="296">
        <v>6</v>
      </c>
      <c r="EQ16" s="296">
        <v>24</v>
      </c>
      <c r="ER16" s="296">
        <v>6</v>
      </c>
      <c r="ES16" s="296">
        <v>81</v>
      </c>
      <c r="ET16" s="296">
        <v>14</v>
      </c>
      <c r="EU16" s="296">
        <v>1.4</v>
      </c>
      <c r="EV16" s="296">
        <v>4.7</v>
      </c>
      <c r="EW16" s="296" t="s">
        <v>1071</v>
      </c>
      <c r="EX16" s="296" t="s">
        <v>989</v>
      </c>
      <c r="EY16" s="296">
        <v>41</v>
      </c>
      <c r="EZ16" s="296">
        <v>40</v>
      </c>
      <c r="FA16" s="296">
        <v>1245</v>
      </c>
      <c r="FB16" s="296">
        <v>1140</v>
      </c>
      <c r="FC16" s="296">
        <v>56</v>
      </c>
      <c r="FD16" s="296">
        <v>26</v>
      </c>
      <c r="FE16" s="296">
        <v>26</v>
      </c>
      <c r="FF16" s="296">
        <v>137</v>
      </c>
      <c r="FG16" s="296">
        <v>72</v>
      </c>
      <c r="FH16" s="296">
        <v>321</v>
      </c>
      <c r="FI16" s="296">
        <v>81</v>
      </c>
      <c r="FJ16" s="296">
        <v>61</v>
      </c>
      <c r="FK16" s="296">
        <v>14</v>
      </c>
      <c r="FL16" s="296">
        <v>5</v>
      </c>
      <c r="FM16" s="296">
        <v>4</v>
      </c>
      <c r="FN16" s="296">
        <v>17</v>
      </c>
      <c r="FO16" s="296">
        <v>15</v>
      </c>
      <c r="FP16" s="296">
        <v>5</v>
      </c>
      <c r="FQ16" s="296">
        <v>15</v>
      </c>
      <c r="FR16" s="296">
        <v>5</v>
      </c>
      <c r="FS16" s="296">
        <v>3</v>
      </c>
      <c r="FT16" s="296">
        <v>0.9</v>
      </c>
      <c r="FU16" s="296">
        <v>0</v>
      </c>
      <c r="FV16" s="296">
        <v>38</v>
      </c>
      <c r="FW16" s="296">
        <v>4</v>
      </c>
      <c r="FX16" s="296">
        <v>3</v>
      </c>
      <c r="FY16" s="296">
        <v>12</v>
      </c>
      <c r="FZ16" s="296">
        <v>0</v>
      </c>
      <c r="GA16" s="296">
        <v>0</v>
      </c>
      <c r="GB16" s="296">
        <v>0</v>
      </c>
      <c r="GC16" s="296">
        <v>0</v>
      </c>
      <c r="GD16" s="296">
        <v>6.7</v>
      </c>
      <c r="GE16" s="296">
        <v>0</v>
      </c>
      <c r="GF16" s="296">
        <v>0</v>
      </c>
      <c r="GG16" s="296" t="s">
        <v>1072</v>
      </c>
      <c r="GH16" s="301">
        <v>6.87</v>
      </c>
    </row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H1">
    <sortState ref="B2:GH16">
      <sortCondition ref="B1"/>
    </sortState>
  </autoFilter>
  <phoneticPr fontId="53" type="noConversion"/>
  <conditionalFormatting sqref="CG1:CG1048576">
    <cfRule type="iconSet" priority="3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30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colorScale" priority="6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"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"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307">
      <iconSet iconSet="3Arrows">
        <cfvo type="percent" val="0"/>
        <cfvo type="percent" val="33"/>
        <cfvo type="percent" val="67"/>
      </iconSet>
    </cfRule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Q1048576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308">
      <iconSet iconSet="3Arrows">
        <cfvo type="percent" val="0"/>
        <cfvo type="percent" val="33"/>
        <cfvo type="percent" val="67"/>
      </iconSet>
    </cfRule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314">
      <iconSet iconSet="3Arrows">
        <cfvo type="percent" val="0"/>
        <cfvo type="percent" val="33"/>
        <cfvo type="percent" val="67"/>
      </iconSet>
    </cfRule>
    <cfRule type="colorScale" priority="6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83">
      <iconSet iconSet="3ArrowsGray"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Q1:BR1048576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P1048576"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iconSet" priority="28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6">
    <cfRule type="colorScale" priority="617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F1"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:DA1048576">
    <cfRule type="colorScale" priority="5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"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">
    <cfRule type="colorScale" priority="539">
      <colorScale>
        <cfvo type="min"/>
        <cfvo type="max"/>
        <color rgb="FFFFEF9C"/>
        <color rgb="FF63BE7B"/>
      </colorScale>
    </cfRule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275">
      <colorScale>
        <cfvo type="percent" val="39.999000000000002"/>
        <cfvo type="percentile" val="49.999899999999997"/>
        <cfvo type="percent" val="50"/>
        <color rgb="FFF8696B"/>
        <color rgb="FFFFEB84"/>
        <color rgb="FF63BE7B"/>
      </colorScale>
    </cfRule>
    <cfRule type="iconSet" priority="305">
      <iconSet iconSet="5Arrows">
        <cfvo type="percent" val="0"/>
        <cfvo type="percent" val="39.99"/>
        <cfvo type="percent" val="40"/>
        <cfvo type="percent" val="45"/>
        <cfvo type="percent" val="50"/>
      </iconSet>
    </cfRule>
  </conditionalFormatting>
  <conditionalFormatting sqref="CS1:CS1048576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{E535262B-D53E-42C8-9D2C-16F197CDE5FD}</x14:id>
        </ext>
      </extLst>
    </cfRule>
    <cfRule type="colorScale" priority="45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{F4307ECE-DDFB-4EED-8CCD-5828CE10257A}</x14:id>
        </ext>
      </extLst>
    </cfRule>
    <cfRule type="colorScale" priority="45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{EC63933C-443B-4657-A399-F99D38004296}</x14:id>
        </ext>
      </extLst>
    </cfRule>
    <cfRule type="colorScale" priority="44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{0BA079DB-7021-4E66-B11E-668B4097DCC9}</x14:id>
        </ext>
      </extLst>
    </cfRule>
    <cfRule type="colorScale" priority="44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{139F3135-4876-475D-B8CB-4675C9108B0A}</x14:id>
        </ext>
      </extLst>
    </cfRule>
    <cfRule type="colorScale" priority="44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V1:BV1048576">
    <cfRule type="iconSet" priority="3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U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U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colorScale" priority="412">
      <colorScale>
        <cfvo type="min"/>
        <cfvo type="max"/>
        <color rgb="FFFCFCFF"/>
        <color rgb="FFF8696B"/>
      </colorScale>
    </cfRule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Y1048576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28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10">
      <colorScale>
        <cfvo type="min"/>
        <cfvo type="max"/>
        <color rgb="FFFCFCFF"/>
        <color rgb="FFF8696B"/>
      </colorScale>
    </cfRule>
  </conditionalFormatting>
  <conditionalFormatting sqref="AW1:AW1048576">
    <cfRule type="iconSet" priority="317">
      <iconSet iconSet="3Arrows">
        <cfvo type="percent" val="0"/>
        <cfvo type="percent" val="33"/>
        <cfvo type="percent" val="67"/>
      </iconSet>
    </cfRule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318">
      <iconSet iconSet="3Arrows">
        <cfvo type="percent" val="0"/>
        <cfvo type="percent" val="33"/>
        <cfvo type="percent" val="67"/>
      </iconSet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28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03">
      <colorScale>
        <cfvo type="min"/>
        <cfvo type="max"/>
        <color rgb="FFFCFCFF"/>
        <color rgb="FFF8696B"/>
      </colorScale>
    </cfRule>
  </conditionalFormatting>
  <conditionalFormatting sqref="AZ1:AZ1048576">
    <cfRule type="iconSet" priority="2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3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22">
      <iconSet iconSet="3Arrows">
        <cfvo type="percent" val="0"/>
        <cfvo type="percent" val="33"/>
        <cfvo type="percent" val="67"/>
      </iconSet>
    </cfRule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21">
      <iconSet iconSet="3Arrows">
        <cfvo type="percent" val="0"/>
        <cfvo type="percent" val="33"/>
        <cfvo type="percent" val="67"/>
      </iconSet>
    </cfRule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2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374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T1:BT1048576">
    <cfRule type="iconSet" priority="3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iconSet" priority="332">
      <iconSet iconSet="3Arrows">
        <cfvo type="percent" val="0"/>
        <cfvo type="percent" val="33"/>
        <cfvo type="percent" val="67"/>
      </iconSet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2:DP104857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iconSet" priority="346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43">
      <iconSet iconSet="3Arrows" reverse="1">
        <cfvo type="percent" val="0"/>
        <cfvo type="percent" val="33"/>
        <cfvo type="percent" val="67"/>
      </iconSet>
    </cfRule>
  </conditionalFormatting>
  <conditionalFormatting sqref="DP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:DP1048576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:CT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1:CU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:AR1048576">
    <cfRule type="iconSet" priority="2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63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66">
      <iconSet iconSet="3ArrowsGray">
        <cfvo type="percent" val="0"/>
        <cfvo type="percent" val="33"/>
        <cfvo type="percent" val="67"/>
      </iconSet>
    </cfRule>
  </conditionalFormatting>
  <conditionalFormatting sqref="M1:M1048576">
    <cfRule type="colorScale" priority="262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265">
      <iconSet iconSet="3ArrowsGray" reverse="1">
        <cfvo type="percent" val="0"/>
        <cfvo type="percent" val="33"/>
        <cfvo type="percent" val="67"/>
      </iconSet>
    </cfRule>
  </conditionalFormatting>
  <conditionalFormatting sqref="N1:N1048576">
    <cfRule type="colorScale" priority="26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64">
      <iconSet iconSet="3ArrowsGray">
        <cfvo type="percent" val="0"/>
        <cfvo type="percent" val="33"/>
        <cfvo type="percent" val="67"/>
      </iconSet>
    </cfRule>
  </conditionalFormatting>
  <conditionalFormatting sqref="EB1:EB1048576">
    <cfRule type="iconSet" priority="2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A1:EA1048576">
    <cfRule type="iconSet" priority="183">
      <iconSet iconSet="3Arrows" reverse="1">
        <cfvo type="percent" val="0"/>
        <cfvo type="percent" val="33"/>
        <cfvo type="percent" val="67"/>
      </iconSet>
    </cfRule>
    <cfRule type="colorScale" priority="226">
      <colorScale>
        <cfvo type="min"/>
        <cfvo type="max"/>
        <color rgb="FFFCFCFF"/>
        <color rgb="FFF8696B"/>
      </colorScale>
    </cfRule>
  </conditionalFormatting>
  <conditionalFormatting sqref="DT1:DT1048576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{306DA4D5-2BC7-43F0-895F-AB55DD738C9F}</x14:id>
        </ext>
      </extLst>
    </cfRule>
    <cfRule type="colorScale" priority="245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DY1:DY1048576">
    <cfRule type="iconSet" priority="234">
      <iconSet iconSet="3Arrows" reverse="1">
        <cfvo type="percent" val="0"/>
        <cfvo type="percent" val="33"/>
        <cfvo type="percent" val="67"/>
      </iconSet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:DZ1048576">
    <cfRule type="iconSet" priority="233">
      <iconSet iconSet="3Arrows" reverse="1">
        <cfvo type="percent" val="0"/>
        <cfvo type="percent" val="33"/>
        <cfvo type="percent" val="67"/>
      </iconSet>
    </cfRule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:DB1048576">
    <cfRule type="colorScale" priority="2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C1:DC1048576">
    <cfRule type="colorScale" priority="2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V1:CV1048576">
    <cfRule type="iconSet" priority="220">
      <iconSet iconSet="3Arrows">
        <cfvo type="percent" val="0"/>
        <cfvo type="percent" val="33"/>
        <cfvo type="percent" val="67"/>
      </iconSet>
    </cfRule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16">
      <iconSet iconSet="3Arrows">
        <cfvo type="percent" val="0"/>
        <cfvo type="percent" val="33"/>
        <cfvo type="percent" val="67"/>
      </iconSet>
    </cfRule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12">
      <iconSet iconSet="3Arrows">
        <cfvo type="percent" val="0"/>
        <cfvo type="percent" val="33"/>
        <cfvo type="percent" val="67"/>
      </iconSet>
    </cfRule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iconSet" priority="213">
      <iconSet iconSet="3Arrows">
        <cfvo type="percent" val="0"/>
        <cfvo type="percent" val="33"/>
        <cfvo type="percent" val="67"/>
      </iconSet>
    </cfRule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204">
      <colorScale>
        <cfvo type="min"/>
        <cfvo type="max"/>
        <color rgb="FFFFEF9C"/>
        <color rgb="FF63BE7B"/>
      </colorScale>
    </cfRule>
  </conditionalFormatting>
  <conditionalFormatting sqref="I1:I1048576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{2B53CF0C-FF8D-4FB2-AA45-1DFB9C9EE3C4}</x14:id>
        </ext>
      </extLst>
    </cfRule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7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4">
      <colorScale>
        <cfvo type="min"/>
        <cfvo type="percentile" val="50"/>
        <cfvo type="max"/>
        <color rgb="FFFFAFAF"/>
        <color rgb="FFF8696B"/>
        <color rgb="FFFF0000"/>
      </colorScale>
    </cfRule>
  </conditionalFormatting>
  <conditionalFormatting sqref="AQ1:AQ1048576">
    <cfRule type="iconSet" priority="8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3">
      <colorScale>
        <cfvo type="min"/>
        <cfvo type="percentile" val="50"/>
        <cfvo type="max"/>
        <color rgb="FFFFAFAF"/>
        <color rgb="FFF8696B"/>
        <color rgb="FFFF0000"/>
      </colorScale>
    </cfRule>
  </conditionalFormatting>
  <conditionalFormatting sqref="DQ1:DQ1048576">
    <cfRule type="colorScale" priority="187">
      <colorScale>
        <cfvo type="min"/>
        <cfvo type="max"/>
        <color rgb="FFFFEF9C"/>
        <color rgb="FF63BE7B"/>
      </colorScale>
    </cfRule>
  </conditionalFormatting>
  <conditionalFormatting sqref="DR1:DR104857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:DS1048576">
    <cfRule type="iconSet" priority="184">
      <iconSet iconSet="3Arrow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U1048576">
    <cfRule type="dataBar" priority="167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{54C7EF68-0AE8-41C9-896E-D9EE0D5F8E4A}</x14:id>
        </ext>
      </extLst>
    </cfRule>
    <cfRule type="colorScale" priority="168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DV1">
    <cfRule type="dataBar" priority="165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{7534BBED-DCC0-4DE9-8ABA-B8AA32E7A685}</x14:id>
        </ext>
      </extLst>
    </cfRule>
    <cfRule type="iconSet" priority="16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W1:DW1048576">
    <cfRule type="iconSet" priority="1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1:DX1048576">
    <cfRule type="iconSet" priority="1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{2D350DD9-2F9F-44A1-BBBD-7680AA84A7E2}</x14:id>
        </ext>
      </extLst>
    </cfRule>
    <cfRule type="iconSet" priority="130">
      <iconSet iconSet="3ArrowsGray">
        <cfvo type="percent" val="0"/>
        <cfvo type="percent" val="33"/>
        <cfvo type="percent" val="67"/>
      </iconSet>
    </cfRule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{202C4C10-8114-4B20-9F5A-ACA27CC701FC}</x14:id>
        </ext>
      </extLst>
    </cfRule>
    <cfRule type="iconSet" priority="129">
      <iconSet iconSet="3ArrowsGray">
        <cfvo type="percent" val="0"/>
        <cfvo type="percent" val="33"/>
        <cfvo type="percent" val="67"/>
      </iconSet>
    </cfRule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{13F6D464-159B-43BD-8153-4AE107642D22}</x14:id>
        </ext>
      </extLst>
    </cfRule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9">
      <colorScale>
        <cfvo type="min"/>
        <cfvo type="max"/>
        <color rgb="FFFFEF9C"/>
        <color rgb="FF63BE7B"/>
      </colorScale>
    </cfRule>
  </conditionalFormatting>
  <conditionalFormatting sqref="R1:R1048576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{C7B3FE09-BE37-45F9-9D75-66FC24ADAD0A}</x14:id>
        </ext>
      </extLst>
    </cfRule>
    <cfRule type="iconSet" priority="128">
      <iconSet iconSet="3ArrowsGray">
        <cfvo type="percent" val="0"/>
        <cfvo type="percent" val="33"/>
        <cfvo type="percent" val="67"/>
      </iconSet>
    </cfRule>
    <cfRule type="colorScale" priority="138">
      <colorScale>
        <cfvo type="min"/>
        <cfvo type="max"/>
        <color rgb="FFFFEF9C"/>
        <color rgb="FF63BE7B"/>
      </colorScale>
    </cfRule>
  </conditionalFormatting>
  <conditionalFormatting sqref="S1:S104857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{CB11ED99-0583-4502-B023-9104B76DD1A5}</x14:id>
        </ext>
      </extLst>
    </cfRule>
    <cfRule type="iconSet" priority="127">
      <iconSet iconSet="3ArrowsGray">
        <cfvo type="percent" val="0"/>
        <cfvo type="percent" val="33"/>
        <cfvo type="percent" val="67"/>
      </iconSet>
    </cfRule>
    <cfRule type="colorScale" priority="134">
      <colorScale>
        <cfvo type="min"/>
        <cfvo type="max"/>
        <color rgb="FFFFEF9C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{74BE4E89-FC0F-462A-9D04-6C26434AC10A}</x14:id>
        </ext>
      </extLst>
    </cfRule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119">
      <iconSet iconSet="3Arrows">
        <cfvo type="percent" val="0"/>
        <cfvo type="num" val="6.7"/>
        <cfvo type="num" val="7"/>
      </iconSet>
    </cfRule>
    <cfRule type="colorScale" priority="120">
      <colorScale>
        <cfvo type="num" val="6.5"/>
        <cfvo type="num" val="6.7"/>
        <cfvo type="num" val="7"/>
        <color rgb="FFF8696B"/>
        <color rgb="FFFFEB84"/>
        <color rgb="FF63BE7B"/>
      </colorScale>
    </cfRule>
  </conditionalFormatting>
  <conditionalFormatting sqref="DF1:DF1048576"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iconSet" priority="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:DI1048576">
    <cfRule type="iconSet" priority="91">
      <iconSet iconSet="3Arrows" reverse="1">
        <cfvo type="percent" val="0"/>
        <cfvo type="percent" val="33"/>
        <cfvo type="percent" val="67"/>
      </iconSet>
    </cfRule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:DJ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K1:DK1048576">
    <cfRule type="colorScale" priority="96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B1:BB104857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iconSet" priority="86">
      <iconSet iconSet="3Arrows">
        <cfvo type="percent" val="0"/>
        <cfvo type="percent" val="33"/>
        <cfvo type="percent" val="67"/>
      </iconSet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iconSet" priority="84">
      <iconSet iconSet="3Arrows">
        <cfvo type="percent" val="0"/>
        <cfvo type="percent" val="33"/>
        <cfvo type="percent" val="67"/>
      </iconSet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colorScale" priority="82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M1:CM1048576">
    <cfRule type="colorScale" priority="81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E1:E1048576">
    <cfRule type="colorScale" priority="78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DL1:DL1048576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{4F61216A-9890-4A3F-AD3A-3D7959352007}</x14:id>
        </ext>
      </extLst>
    </cfRule>
    <cfRule type="colorScale" priority="7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DM1:DM1048576">
    <cfRule type="colorScale" priority="73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N1:DN1048576">
    <cfRule type="colorScale" priority="71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O1:DO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:BK1048576">
    <cfRule type="colorScale" priority="69">
      <colorScale>
        <cfvo type="num" val="-9.9999999999999995E-8"/>
        <cfvo type="num" val="0"/>
        <cfvo type="max"/>
        <color rgb="FFF8696B"/>
        <color rgb="FFFFEB84"/>
        <color rgb="FF63BE7B"/>
      </colorScale>
    </cfRule>
  </conditionalFormatting>
  <conditionalFormatting sqref="BC1:BC1048576">
    <cfRule type="iconSet" priority="6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max"/>
        <color rgb="FFFCFCFF"/>
        <color rgb="FFF8696B"/>
      </colorScale>
    </cfRule>
  </conditionalFormatting>
  <conditionalFormatting sqref="BD1:BD1048576">
    <cfRule type="iconSet" priority="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max"/>
        <color rgb="FFFCFCFF"/>
        <color rgb="FFF8696B"/>
      </colorScale>
    </cfRule>
  </conditionalFormatting>
  <conditionalFormatting sqref="BE1:BE1048576">
    <cfRule type="colorScale" priority="56">
      <colorScale>
        <cfvo type="min"/>
        <cfvo type="max"/>
        <color rgb="FFFCFCFF"/>
        <color rgb="FFF8696B"/>
      </colorScale>
    </cfRule>
  </conditionalFormatting>
  <conditionalFormatting sqref="BF1:BF1048576">
    <cfRule type="iconSet" priority="5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max"/>
        <color rgb="FFFCFCFF"/>
        <color rgb="FFF8696B"/>
      </colorScale>
    </cfRule>
  </conditionalFormatting>
  <conditionalFormatting sqref="BG1:BG1048576">
    <cfRule type="colorScale" priority="54">
      <colorScale>
        <cfvo type="min"/>
        <cfvo type="max"/>
        <color rgb="FFFCFCFF"/>
        <color rgb="FFF8696B"/>
      </colorScale>
    </cfRule>
  </conditionalFormatting>
  <conditionalFormatting sqref="BH1:BH1048576">
    <cfRule type="iconSet" priority="4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5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max"/>
        <color rgb="FFFCFCFF"/>
        <color rgb="FFF8696B"/>
      </colorScale>
    </cfRule>
  </conditionalFormatting>
  <conditionalFormatting sqref="BI1:BI1048576">
    <cfRule type="colorScale" priority="48">
      <colorScale>
        <cfvo type="min"/>
        <cfvo type="max"/>
        <color rgb="FFFCFCFF"/>
        <color rgb="FFF8696B"/>
      </colorScale>
    </cfRule>
  </conditionalFormatting>
  <conditionalFormatting sqref="AB1:AB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iconSet" priority="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iconSet" priority="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iconSet" priority="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3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iconSet" priority="2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iconSet" priority="2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iconSet" priority="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AO1:AO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U1:U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{C22CB69F-8AFA-469D-867B-EBB7505D7AE7}</x14:id>
        </ext>
      </extLst>
    </cfRule>
    <cfRule type="colorScale" priority="15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V1:V104857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{816D13F8-AAB9-4A33-B99E-DDD60221E945}</x14:id>
        </ext>
      </extLst>
    </cfRule>
    <cfRule type="colorScale" priority="1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B1:CB1048576">
    <cfRule type="dataBar" priority="13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{FF1729FC-947B-46DA-B287-7C50BDD74C87}</x14:id>
        </ext>
      </extLst>
    </cfRule>
  </conditionalFormatting>
  <conditionalFormatting sqref="BX1:BX1048576">
    <cfRule type="dataBar" priority="1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{43F72FDF-6FDF-495B-8D8B-55D6F0008837}</x14:id>
        </ext>
      </extLst>
    </cfRule>
  </conditionalFormatting>
  <conditionalFormatting sqref="BY1:BY1048576">
    <cfRule type="dataBar" priority="1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{F71E2755-10B1-447B-BB5D-E45FC9F02155}</x14:id>
        </ext>
      </extLst>
    </cfRule>
  </conditionalFormatting>
  <conditionalFormatting sqref="BZ1:BZ1048576">
    <cfRule type="dataBar" priority="10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{FA68727A-294D-464F-830A-5B3B62746130}</x14:id>
        </ext>
      </extLst>
    </cfRule>
  </conditionalFormatting>
  <conditionalFormatting sqref="CA1:CA1048576">
    <cfRule type="dataBar" priority="9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{7D5D4EAA-D7BF-4F8D-ABCF-D193C6E98634}</x14:id>
        </ext>
      </extLst>
    </cfRule>
  </conditionalFormatting>
  <conditionalFormatting sqref="CF1:CF1048576">
    <cfRule type="dataBar" priority="8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{738BD825-FB36-434C-86CA-0E89EE02E3C6}</x14:id>
        </ext>
      </extLst>
    </cfRule>
  </conditionalFormatting>
  <conditionalFormatting sqref="CE1:CE1048576">
    <cfRule type="dataBar" priority="7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{9C7E29E8-54C5-44D9-BC5C-FD9EB8BE75B4}</x14:id>
        </ext>
      </extLst>
    </cfRule>
  </conditionalFormatting>
  <conditionalFormatting sqref="CC1:CC1048576">
    <cfRule type="dataBar" priority="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{4BF6CCD0-4735-4DD5-BDB2-6310B12B08DE}</x14:id>
        </ext>
      </extLst>
    </cfRule>
  </conditionalFormatting>
  <conditionalFormatting sqref="CD1:CD1048576">
    <cfRule type="dataBar" priority="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{7BB6B725-CD90-471A-A87E-12337C8B224E}</x14:id>
        </ext>
      </extLst>
    </cfRule>
  </conditionalFormatting>
  <conditionalFormatting sqref="DO17:DP1048576 AV2:AV1048576">
    <cfRule type="colorScale" priority="2446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7:DP1048576">
    <cfRule type="colorScale" priority="24461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6114">
      <colorScale>
        <cfvo type="min"/>
        <cfvo type="max"/>
        <color rgb="FFFFEF9C"/>
        <color rgb="FF63BE7B"/>
      </colorScale>
    </cfRule>
  </conditionalFormatting>
  <conditionalFormatting sqref="DE17:DE1048576">
    <cfRule type="colorScale" priority="2446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7:DP1048576">
    <cfRule type="colorScale" priority="2446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7:CU1048576 CS1:CU1 CS2:CS16">
    <cfRule type="colorScale" priority="2446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7:DD1048576">
    <cfRule type="colorScale" priority="2446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7:CT1048576 CT1">
    <cfRule type="colorScale" priority="2446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7:CU1048576 CU1">
    <cfRule type="colorScale" priority="2446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7:BT1048576 BT1">
    <cfRule type="colorScale" priority="2446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7:BU1048576 BU1">
    <cfRule type="colorScale" priority="2446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BA1048576 AZ1:AZ16">
    <cfRule type="colorScale" priority="2446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:CI16">
    <cfRule type="colorScale" priority="2446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6">
    <cfRule type="colorScale" priority="2446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:DD16">
    <cfRule type="colorScale" priority="2446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2:DD16">
    <cfRule type="colorScale" priority="2446146">
      <colorScale>
        <cfvo type="min"/>
        <cfvo type="max"/>
        <color rgb="FFFFEF9C"/>
        <color rgb="FF63BE7B"/>
      </colorScale>
    </cfRule>
    <cfRule type="colorScale" priority="2446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2:CT16">
    <cfRule type="colorScale" priority="2446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2:CU16">
    <cfRule type="colorScale" priority="2446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6">
    <cfRule type="colorScale" priority="2446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6">
    <cfRule type="colorScale" priority="2446151">
      <colorScale>
        <cfvo type="min"/>
        <cfvo type="max"/>
        <color rgb="FFFCFCFF"/>
        <color rgb="FFF8696B"/>
      </colorScale>
    </cfRule>
  </conditionalFormatting>
  <conditionalFormatting sqref="BT2:BT16">
    <cfRule type="colorScale" priority="2446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6">
    <cfRule type="colorScale" priority="2446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6">
    <cfRule type="colorScale" priority="2446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6">
    <cfRule type="colorScale" priority="2446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6">
    <cfRule type="iconSet" priority="2446156">
      <iconSet iconSet="3Arrows">
        <cfvo type="percent" val="0"/>
        <cfvo type="num" val="60"/>
        <cfvo type="num" val="80"/>
      </iconSet>
    </cfRule>
    <cfRule type="colorScale" priority="2446157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DV2:DV16">
    <cfRule type="dataBar" priority="2446158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{5EA88572-F783-4EDE-AB10-5F423FD4FA57}</x14:id>
        </ext>
      </extLst>
    </cfRule>
    <cfRule type="iconSet" priority="244615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35262B-D53E-42C8-9D2C-16F197CDE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F4307ECE-DDFB-4EED-8CCD-5828CE102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EC63933C-443B-4657-A399-F99D38004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0BA079DB-7021-4E66-B11E-668B4097D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139F3135-4876-475D-B8CB-4675C9108B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306DA4D5-2BC7-43F0-895F-AB55DD738C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DT1:DT1048576</xm:sqref>
        </x14:conditionalFormatting>
        <x14:conditionalFormatting xmlns:xm="http://schemas.microsoft.com/office/excel/2006/main">
          <x14:cfRule type="dataBar" id="{2B53CF0C-FF8D-4FB2-AA45-1DFB9C9EE3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54C7EF68-0AE8-41C9-896E-D9EE0D5F8E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DU1:DU1048576</xm:sqref>
        </x14:conditionalFormatting>
        <x14:conditionalFormatting xmlns:xm="http://schemas.microsoft.com/office/excel/2006/main">
          <x14:cfRule type="dataBar" id="{7534BBED-DCC0-4DE9-8ABA-B8AA32E7A6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DV1</xm:sqref>
        </x14:conditionalFormatting>
        <x14:conditionalFormatting xmlns:xm="http://schemas.microsoft.com/office/excel/2006/main">
          <x14:cfRule type="dataBar" id="{2D350DD9-2F9F-44A1-BBBD-7680AA84A7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02C4C10-8114-4B20-9F5A-ACA27CC70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3F6D464-159B-43BD-8153-4AE107642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C7B3FE09-BE37-45F9-9D75-66FC24ADAD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CB11ED99-0583-4502-B023-9104B76DD1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74BE4E89-FC0F-462A-9D04-6C26434AC1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4F61216A-9890-4A3F-AD3A-3D79593520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DL1:DL1048576</xm:sqref>
        </x14:conditionalFormatting>
        <x14:conditionalFormatting xmlns:xm="http://schemas.microsoft.com/office/excel/2006/main">
          <x14:cfRule type="dataBar" id="{C22CB69F-8AFA-469D-867B-EBB7505D7A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816D13F8-AAB9-4A33-B99E-DDD60221E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FF1729FC-947B-46DA-B287-7C50BDD74C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CB1:CB1048576</xm:sqref>
        </x14:conditionalFormatting>
        <x14:conditionalFormatting xmlns:xm="http://schemas.microsoft.com/office/excel/2006/main">
          <x14:cfRule type="dataBar" id="{43F72FDF-6FDF-495B-8D8B-55D6F0008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BX1:BX1048576</xm:sqref>
        </x14:conditionalFormatting>
        <x14:conditionalFormatting xmlns:xm="http://schemas.microsoft.com/office/excel/2006/main">
          <x14:cfRule type="dataBar" id="{F71E2755-10B1-447B-BB5D-E45FC9F021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FA68727A-294D-464F-830A-5B3B627461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7D5D4EAA-D7BF-4F8D-ABCF-D193C6E98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738BD825-FB36-434C-86CA-0E89EE02E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9C7E29E8-54C5-44D9-BC5C-FD9EB8BE7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CE1:CE1048576</xm:sqref>
        </x14:conditionalFormatting>
        <x14:conditionalFormatting xmlns:xm="http://schemas.microsoft.com/office/excel/2006/main">
          <x14:cfRule type="dataBar" id="{4BF6CCD0-4735-4DD5-BDB2-6310B12B08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7BB6B725-CD90-471A-A87E-12337C8B22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CD1:CD1048576</xm:sqref>
        </x14:conditionalFormatting>
        <x14:conditionalFormatting xmlns:xm="http://schemas.microsoft.com/office/excel/2006/main">
          <x14:cfRule type="dataBar" id="{5EA88572-F783-4EDE-AB10-5F423FD4F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DV2:DV16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🧤Goleiros</vt:lpstr>
      <vt:lpstr>🧱Zagueiros</vt:lpstr>
      <vt:lpstr>🛡️Laterais</vt:lpstr>
      <vt:lpstr>🛡️Volantes</vt:lpstr>
      <vt:lpstr>⚙️Box-To-Box</vt:lpstr>
      <vt:lpstr>⚙️Armadores</vt:lpstr>
      <vt:lpstr>🎯Avançados</vt:lpstr>
      <vt:lpstr>📊Time Estatísticas</vt:lpstr>
      <vt:lpstr>💪Placar de Esforço</vt:lpstr>
      <vt:lpstr>🌎Overall Análise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Usuário do Windows</cp:lastModifiedBy>
  <cp:lastPrinted>2023-08-07T09:15:15Z</cp:lastPrinted>
  <dcterms:created xsi:type="dcterms:W3CDTF">2015-06-05T18:19:34Z</dcterms:created>
  <dcterms:modified xsi:type="dcterms:W3CDTF">2026-04-15T14:39:31Z</dcterms:modified>
</cp:coreProperties>
</file>